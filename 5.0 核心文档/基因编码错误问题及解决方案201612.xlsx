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55" windowWidth="14805" windowHeight="7860"/>
  </bookViews>
  <sheets>
    <sheet name="统计" sheetId="1" r:id="rId1"/>
    <sheet name="错误mRNA总表" sheetId="4" r:id="rId2"/>
    <sheet name="INDEL位置信息" sheetId="7" r:id="rId3"/>
    <sheet name="用于纠正的INDEL" sheetId="11" r:id="rId4"/>
    <sheet name="最后核对情况" sheetId="9" r:id="rId5"/>
    <sheet name="区间变化核对" sheetId="12" r:id="rId6"/>
    <sheet name="染色体对应" sheetId="8" r:id="rId7"/>
    <sheet name="Sheet3" sheetId="3" r:id="rId8"/>
    <sheet name="Sheet2" sheetId="13" r:id="rId9"/>
  </sheets>
  <definedNames>
    <definedName name="_xlnm._FilterDatabase" localSheetId="2" hidden="1">INDEL位置信息!$A$1:$M$3722</definedName>
    <definedName name="_xlnm._FilterDatabase" localSheetId="1" hidden="1">错误mRNA总表!$A$1:$P$1594</definedName>
    <definedName name="_xlnm._FilterDatabase" localSheetId="3" hidden="1">用于纠正的INDEL!$A$1:$L$526</definedName>
  </definedNames>
  <calcPr calcId="144525"/>
</workbook>
</file>

<file path=xl/calcChain.xml><?xml version="1.0" encoding="utf-8"?>
<calcChain xmlns="http://schemas.openxmlformats.org/spreadsheetml/2006/main">
  <c r="G118" i="12" l="1"/>
  <c r="G119" i="12"/>
  <c r="C118" i="12"/>
  <c r="C119" i="12"/>
  <c r="E118" i="12"/>
  <c r="F118" i="12"/>
  <c r="E119" i="12"/>
  <c r="F119" i="12"/>
  <c r="D119" i="12"/>
  <c r="D118" i="12"/>
  <c r="D110" i="12"/>
  <c r="E110" i="12"/>
  <c r="F110" i="12"/>
  <c r="G110" i="12"/>
  <c r="H110" i="12"/>
  <c r="I110" i="12"/>
  <c r="J110" i="12"/>
  <c r="K110" i="12"/>
  <c r="L110" i="12"/>
  <c r="M110" i="12"/>
  <c r="D111" i="12"/>
  <c r="E111" i="12"/>
  <c r="F111" i="12"/>
  <c r="G111" i="12"/>
  <c r="H111" i="12"/>
  <c r="I111" i="12"/>
  <c r="J111" i="12"/>
  <c r="K111" i="12"/>
  <c r="L111" i="12"/>
  <c r="M111" i="12"/>
  <c r="C111" i="12"/>
  <c r="C110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C95" i="12"/>
  <c r="C94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C87" i="12"/>
  <c r="C86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V78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C71" i="12"/>
  <c r="C70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C63" i="12"/>
  <c r="C62" i="12"/>
  <c r="D54" i="12"/>
  <c r="E54" i="12"/>
  <c r="F54" i="12"/>
  <c r="G54" i="12"/>
  <c r="H54" i="12"/>
  <c r="I54" i="12"/>
  <c r="J54" i="12"/>
  <c r="K54" i="12"/>
  <c r="L54" i="12"/>
  <c r="M54" i="12"/>
  <c r="D55" i="12"/>
  <c r="E55" i="12"/>
  <c r="F55" i="12"/>
  <c r="G55" i="12"/>
  <c r="H55" i="12"/>
  <c r="I55" i="12"/>
  <c r="J55" i="12"/>
  <c r="K55" i="12"/>
  <c r="L55" i="12"/>
  <c r="M55" i="12"/>
  <c r="C55" i="12"/>
  <c r="C54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C31" i="12"/>
  <c r="C30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C23" i="12"/>
  <c r="C22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R102" i="12"/>
  <c r="S102" i="12"/>
  <c r="T102" i="12"/>
  <c r="U102" i="12"/>
  <c r="V102" i="12"/>
  <c r="W102" i="12"/>
  <c r="X102" i="12"/>
  <c r="C102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C38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C6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C14" i="12"/>
  <c r="M148" i="7" l="1"/>
  <c r="M6" i="7"/>
  <c r="K3426" i="7" l="1"/>
  <c r="J107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K5" i="7" s="1"/>
  <c r="B8" i="9" s="1"/>
  <c r="J71" i="4"/>
  <c r="J72" i="4"/>
  <c r="J73" i="4"/>
  <c r="J74" i="4"/>
  <c r="J75" i="4"/>
  <c r="J76" i="4"/>
  <c r="J77" i="4"/>
  <c r="J78" i="4"/>
  <c r="J79" i="4"/>
  <c r="J80" i="4"/>
  <c r="K3469" i="7" s="1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K1083" i="7" s="1"/>
  <c r="B27" i="9" s="1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K3144" i="7" s="1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K46" i="7" s="1"/>
  <c r="B53" i="9" s="1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K3430" i="7" s="1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K3538" i="7" s="1"/>
  <c r="B76" i="9" s="1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K3513" i="7" s="1"/>
  <c r="J614" i="4"/>
  <c r="J615" i="4"/>
  <c r="J616" i="4"/>
  <c r="J617" i="4"/>
  <c r="J618" i="4"/>
  <c r="J619" i="4"/>
  <c r="J620" i="4"/>
  <c r="J621" i="4"/>
  <c r="J622" i="4"/>
  <c r="J623" i="4"/>
  <c r="J624" i="4"/>
  <c r="J625" i="4"/>
  <c r="K3291" i="7" s="1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K3472" i="7" s="1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K3247" i="7" s="1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K3506" i="7" s="1"/>
  <c r="J809" i="4"/>
  <c r="J810" i="4"/>
  <c r="J811" i="4"/>
  <c r="J812" i="4"/>
  <c r="J813" i="4"/>
  <c r="J814" i="4"/>
  <c r="K148" i="7" s="1"/>
  <c r="J815" i="4"/>
  <c r="J816" i="4"/>
  <c r="J817" i="4"/>
  <c r="J818" i="4"/>
  <c r="J819" i="4"/>
  <c r="J820" i="4"/>
  <c r="J821" i="4"/>
  <c r="J822" i="4"/>
  <c r="J823" i="4"/>
  <c r="J824" i="4"/>
  <c r="J825" i="4"/>
  <c r="K3261" i="7" s="1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K3104" i="7" s="1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K3537" i="7" s="1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K3534" i="7" s="1"/>
  <c r="J999" i="4"/>
  <c r="J1000" i="4"/>
  <c r="J1001" i="4"/>
  <c r="J1002" i="4"/>
  <c r="J1003" i="4"/>
  <c r="J1004" i="4"/>
  <c r="J1005" i="4"/>
  <c r="J1006" i="4"/>
  <c r="J1007" i="4"/>
  <c r="J1008" i="4"/>
  <c r="J1009" i="4"/>
  <c r="K3295" i="7" s="1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K3202" i="7" s="1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K3290" i="7" s="1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K2981" i="7" s="1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K3440" i="7" s="1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K3273" i="7" s="1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K3497" i="7" s="1"/>
  <c r="J1309" i="4"/>
  <c r="J1310" i="4"/>
  <c r="J1311" i="4"/>
  <c r="J1312" i="4"/>
  <c r="K3665" i="7" s="1"/>
  <c r="B236" i="9" s="1"/>
  <c r="J1313" i="4"/>
  <c r="J1314" i="4"/>
  <c r="K3661" i="7" s="1"/>
  <c r="B237" i="9" s="1"/>
  <c r="J1315" i="4"/>
  <c r="K3542" i="7" s="1"/>
  <c r="J1316" i="4"/>
  <c r="J1317" i="4"/>
  <c r="K3650" i="7" s="1"/>
  <c r="J1318" i="4"/>
  <c r="J1319" i="4"/>
  <c r="J1320" i="4"/>
  <c r="J1321" i="4"/>
  <c r="K3713" i="7" s="1"/>
  <c r="B238" i="9" s="1"/>
  <c r="J1322" i="4"/>
  <c r="J1323" i="4"/>
  <c r="J1324" i="4"/>
  <c r="J1325" i="4"/>
  <c r="J1326" i="4"/>
  <c r="J1327" i="4"/>
  <c r="J1328" i="4"/>
  <c r="J1329" i="4"/>
  <c r="K3682" i="7" s="1"/>
  <c r="B239" i="9" s="1"/>
  <c r="J1330" i="4"/>
  <c r="J1331" i="4"/>
  <c r="J1332" i="4"/>
  <c r="J1333" i="4"/>
  <c r="J1334" i="4"/>
  <c r="K3570" i="7" s="1"/>
  <c r="B240" i="9" s="1"/>
  <c r="J1335" i="4"/>
  <c r="J1336" i="4"/>
  <c r="J1337" i="4"/>
  <c r="J1338" i="4"/>
  <c r="J2" i="4"/>
  <c r="K3541" i="7"/>
  <c r="K3535" i="7"/>
  <c r="K3533" i="7"/>
  <c r="K3523" i="7"/>
  <c r="K3508" i="7"/>
  <c r="K3507" i="7"/>
  <c r="K3505" i="7"/>
  <c r="K3504" i="7"/>
  <c r="K3503" i="7"/>
  <c r="K3501" i="7"/>
  <c r="K3500" i="7"/>
  <c r="K3499" i="7"/>
  <c r="K3488" i="7"/>
  <c r="K3487" i="7"/>
  <c r="K3486" i="7"/>
  <c r="K3485" i="7"/>
  <c r="K3484" i="7"/>
  <c r="K3481" i="7"/>
  <c r="K3475" i="7"/>
  <c r="K3465" i="7"/>
  <c r="K3435" i="7"/>
  <c r="K3432" i="7"/>
  <c r="K3427" i="7"/>
  <c r="K3421" i="7"/>
  <c r="K3420" i="7"/>
  <c r="K3418" i="7"/>
  <c r="B117" i="9" s="1"/>
  <c r="K3411" i="7"/>
  <c r="K3404" i="7"/>
  <c r="K3403" i="7"/>
  <c r="K3376" i="7"/>
  <c r="K3375" i="7"/>
  <c r="K3371" i="7"/>
  <c r="K3369" i="7"/>
  <c r="K3364" i="7"/>
  <c r="B41" i="9" s="1"/>
  <c r="K3363" i="7"/>
  <c r="K3361" i="7"/>
  <c r="K3360" i="7"/>
  <c r="K3359" i="7"/>
  <c r="K3358" i="7"/>
  <c r="K3357" i="7"/>
  <c r="K3356" i="7"/>
  <c r="K3355" i="7"/>
  <c r="K3344" i="7"/>
  <c r="B73" i="9" s="1"/>
  <c r="K3343" i="7"/>
  <c r="B103" i="9" s="1"/>
  <c r="K3340" i="7"/>
  <c r="K3329" i="7"/>
  <c r="K3328" i="7"/>
  <c r="K3327" i="7"/>
  <c r="K3326" i="7"/>
  <c r="K3325" i="7"/>
  <c r="K3324" i="7"/>
  <c r="K3323" i="7"/>
  <c r="K3322" i="7"/>
  <c r="K3321" i="7"/>
  <c r="K3302" i="7"/>
  <c r="K3300" i="7"/>
  <c r="K3282" i="7"/>
  <c r="K3281" i="7"/>
  <c r="K3280" i="7"/>
  <c r="K3279" i="7"/>
  <c r="K3278" i="7"/>
  <c r="K3277" i="7"/>
  <c r="K3276" i="7"/>
  <c r="K3275" i="7"/>
  <c r="B196" i="9" s="1"/>
  <c r="K3271" i="7"/>
  <c r="K3270" i="7"/>
  <c r="B133" i="9" s="1"/>
  <c r="K3267" i="7"/>
  <c r="K3266" i="7"/>
  <c r="K3265" i="7"/>
  <c r="K3264" i="7"/>
  <c r="K3263" i="7"/>
  <c r="K3262" i="7"/>
  <c r="K3256" i="7"/>
  <c r="K3253" i="7"/>
  <c r="K3241" i="7"/>
  <c r="K3240" i="7"/>
  <c r="B71" i="9" s="1"/>
  <c r="K3232" i="7"/>
  <c r="B15" i="9" s="1"/>
  <c r="K3221" i="7"/>
  <c r="K3180" i="7"/>
  <c r="K3177" i="7"/>
  <c r="B30" i="9" s="1"/>
  <c r="K3173" i="7"/>
  <c r="K3172" i="7"/>
  <c r="K3171" i="7"/>
  <c r="K3168" i="7"/>
  <c r="K3167" i="7"/>
  <c r="K3166" i="7"/>
  <c r="K3165" i="7"/>
  <c r="K3164" i="7"/>
  <c r="K3160" i="7"/>
  <c r="B69" i="9" s="1"/>
  <c r="K3159" i="7"/>
  <c r="B31" i="9" s="1"/>
  <c r="K3152" i="7"/>
  <c r="K3146" i="7"/>
  <c r="K3145" i="7"/>
  <c r="K3142" i="7"/>
  <c r="B120" i="9" s="1"/>
  <c r="K3117" i="7"/>
  <c r="K3105" i="7"/>
  <c r="K3103" i="7"/>
  <c r="B135" i="9" s="1"/>
  <c r="K3090" i="7"/>
  <c r="B102" i="9" s="1"/>
  <c r="K3089" i="7"/>
  <c r="K3088" i="7"/>
  <c r="K3087" i="7"/>
  <c r="K3081" i="7"/>
  <c r="K3073" i="7"/>
  <c r="K3072" i="7"/>
  <c r="K3047" i="7"/>
  <c r="K3045" i="7"/>
  <c r="K3014" i="7"/>
  <c r="K3004" i="7"/>
  <c r="B72" i="9" s="1"/>
  <c r="K2997" i="7"/>
  <c r="K2989" i="7"/>
  <c r="K2982" i="7"/>
  <c r="B56" i="9" s="1"/>
  <c r="K2968" i="7"/>
  <c r="K2966" i="7"/>
  <c r="K2965" i="7"/>
  <c r="K2960" i="7"/>
  <c r="B28" i="9" s="1"/>
  <c r="K2943" i="7"/>
  <c r="K2942" i="7"/>
  <c r="K2936" i="7"/>
  <c r="B25" i="9" s="1"/>
  <c r="K2933" i="7"/>
  <c r="K2932" i="7"/>
  <c r="K2931" i="7"/>
  <c r="B208" i="9" s="1"/>
  <c r="K2921" i="7"/>
  <c r="K2920" i="7"/>
  <c r="K2919" i="7"/>
  <c r="K2912" i="7"/>
  <c r="K2906" i="7"/>
  <c r="K2894" i="7"/>
  <c r="B82" i="9" s="1"/>
  <c r="K2880" i="7"/>
  <c r="K2879" i="7"/>
  <c r="K2878" i="7"/>
  <c r="K2877" i="7"/>
  <c r="B86" i="9" s="1"/>
  <c r="K2876" i="7"/>
  <c r="K2872" i="7"/>
  <c r="K2871" i="7"/>
  <c r="K2870" i="7"/>
  <c r="K2868" i="7"/>
  <c r="K2867" i="7"/>
  <c r="K2866" i="7"/>
  <c r="K2851" i="7"/>
  <c r="K2850" i="7"/>
  <c r="K2849" i="7"/>
  <c r="K2845" i="7"/>
  <c r="K2834" i="7"/>
  <c r="B29" i="9" s="1"/>
  <c r="K2833" i="7"/>
  <c r="K2832" i="7"/>
  <c r="K2798" i="7"/>
  <c r="K2797" i="7"/>
  <c r="B153" i="9" s="1"/>
  <c r="K2786" i="7"/>
  <c r="B75" i="9" s="1"/>
  <c r="K2782" i="7"/>
  <c r="B155" i="9" s="1"/>
  <c r="K2781" i="7"/>
  <c r="B61" i="9" s="1"/>
  <c r="K2780" i="7"/>
  <c r="K2779" i="7"/>
  <c r="K2768" i="7"/>
  <c r="K2761" i="7"/>
  <c r="K2760" i="7"/>
  <c r="B44" i="9" s="1"/>
  <c r="K2754" i="7"/>
  <c r="K2739" i="7"/>
  <c r="B50" i="9" s="1"/>
  <c r="K2736" i="7"/>
  <c r="B233" i="9" s="1"/>
  <c r="K2731" i="7"/>
  <c r="K2730" i="7"/>
  <c r="K2726" i="7"/>
  <c r="K2715" i="7"/>
  <c r="K2714" i="7"/>
  <c r="B221" i="9" s="1"/>
  <c r="K2707" i="7"/>
  <c r="K2702" i="7"/>
  <c r="B5" i="9" s="1"/>
  <c r="K2699" i="7"/>
  <c r="K2698" i="7"/>
  <c r="K2697" i="7"/>
  <c r="K2682" i="7"/>
  <c r="K2674" i="7"/>
  <c r="B52" i="9" s="1"/>
  <c r="K2666" i="7"/>
  <c r="B145" i="9" s="1"/>
  <c r="K2660" i="7"/>
  <c r="B70" i="9" s="1"/>
  <c r="K2637" i="7"/>
  <c r="B138" i="9" s="1"/>
  <c r="K2636" i="7"/>
  <c r="K2635" i="7"/>
  <c r="B40" i="9" s="1"/>
  <c r="K2634" i="7"/>
  <c r="K2632" i="7"/>
  <c r="B150" i="9" s="1"/>
  <c r="K2630" i="7"/>
  <c r="K2629" i="7"/>
  <c r="B187" i="9" s="1"/>
  <c r="K2616" i="7"/>
  <c r="K2615" i="7"/>
  <c r="K2606" i="7"/>
  <c r="K2605" i="7"/>
  <c r="K2604" i="7"/>
  <c r="K2598" i="7"/>
  <c r="K2597" i="7"/>
  <c r="K2578" i="7"/>
  <c r="K2577" i="7"/>
  <c r="B24" i="9" s="1"/>
  <c r="K2563" i="7"/>
  <c r="K2537" i="7"/>
  <c r="K2536" i="7"/>
  <c r="K2509" i="7"/>
  <c r="B110" i="9" s="1"/>
  <c r="K2506" i="7"/>
  <c r="K2498" i="7"/>
  <c r="B13" i="9" s="1"/>
  <c r="K2496" i="7"/>
  <c r="B114" i="9" s="1"/>
  <c r="K2486" i="7"/>
  <c r="K2484" i="7"/>
  <c r="K2474" i="7"/>
  <c r="B182" i="9" s="1"/>
  <c r="K2439" i="7"/>
  <c r="K2423" i="7"/>
  <c r="B149" i="9" s="1"/>
  <c r="K2417" i="7"/>
  <c r="B65" i="9" s="1"/>
  <c r="K2413" i="7"/>
  <c r="K2412" i="7"/>
  <c r="K2411" i="7"/>
  <c r="K2409" i="7"/>
  <c r="B127" i="9" s="1"/>
  <c r="K2405" i="7"/>
  <c r="K2404" i="7"/>
  <c r="K2397" i="7"/>
  <c r="K2380" i="7"/>
  <c r="K2378" i="7"/>
  <c r="B213" i="9" s="1"/>
  <c r="K2364" i="7"/>
  <c r="K2363" i="7"/>
  <c r="K2348" i="7"/>
  <c r="K2336" i="7"/>
  <c r="B49" i="9" s="1"/>
  <c r="K2335" i="7"/>
  <c r="B16" i="9" s="1"/>
  <c r="K2334" i="7"/>
  <c r="K2333" i="7"/>
  <c r="K2332" i="7"/>
  <c r="B165" i="9" s="1"/>
  <c r="K2322" i="7"/>
  <c r="K2315" i="7"/>
  <c r="B118" i="9" s="1"/>
  <c r="K2308" i="7"/>
  <c r="K2307" i="7"/>
  <c r="K2305" i="7"/>
  <c r="K2298" i="7"/>
  <c r="B148" i="9" s="1"/>
  <c r="K2290" i="7"/>
  <c r="K2288" i="7"/>
  <c r="B179" i="9" s="1"/>
  <c r="K2282" i="7"/>
  <c r="K2265" i="7"/>
  <c r="K2264" i="7"/>
  <c r="B162" i="9" s="1"/>
  <c r="K2263" i="7"/>
  <c r="K2255" i="7"/>
  <c r="B232" i="9" s="1"/>
  <c r="K2250" i="7"/>
  <c r="K2247" i="7"/>
  <c r="B92" i="9" s="1"/>
  <c r="K2243" i="7"/>
  <c r="K2237" i="7"/>
  <c r="K2236" i="7"/>
  <c r="K2235" i="7"/>
  <c r="B59" i="9" s="1"/>
  <c r="K2231" i="7"/>
  <c r="B227" i="9" s="1"/>
  <c r="K2230" i="7"/>
  <c r="K2229" i="7"/>
  <c r="K2228" i="7"/>
  <c r="K2227" i="7"/>
  <c r="K2226" i="7"/>
  <c r="B230" i="9" s="1"/>
  <c r="K2225" i="7"/>
  <c r="K2224" i="7"/>
  <c r="K2222" i="7"/>
  <c r="B224" i="9" s="1"/>
  <c r="K2221" i="7"/>
  <c r="K2220" i="7"/>
  <c r="K2216" i="7"/>
  <c r="K2215" i="7"/>
  <c r="K2213" i="7"/>
  <c r="B48" i="9" s="1"/>
  <c r="K2207" i="7"/>
  <c r="K2206" i="7"/>
  <c r="K2205" i="7"/>
  <c r="K2204" i="7"/>
  <c r="K2203" i="7"/>
  <c r="K2202" i="7"/>
  <c r="K2201" i="7"/>
  <c r="B229" i="9" s="1"/>
  <c r="K2200" i="7"/>
  <c r="K2199" i="7"/>
  <c r="B93" i="9" s="1"/>
  <c r="K2191" i="7"/>
  <c r="K2177" i="7"/>
  <c r="K2173" i="7"/>
  <c r="K2172" i="7"/>
  <c r="K2171" i="7"/>
  <c r="K2170" i="7"/>
  <c r="K2169" i="7"/>
  <c r="K2167" i="7"/>
  <c r="K2166" i="7"/>
  <c r="K2164" i="7"/>
  <c r="K2151" i="7"/>
  <c r="B108" i="9" s="1"/>
  <c r="K2150" i="7"/>
  <c r="K2144" i="7"/>
  <c r="B202" i="9" s="1"/>
  <c r="K2140" i="7"/>
  <c r="B33" i="9" s="1"/>
  <c r="K2139" i="7"/>
  <c r="K2138" i="7"/>
  <c r="K2137" i="7"/>
  <c r="K2136" i="7"/>
  <c r="B115" i="9" s="1"/>
  <c r="K2134" i="7"/>
  <c r="K2133" i="7"/>
  <c r="K2120" i="7"/>
  <c r="K2119" i="7"/>
  <c r="K2118" i="7"/>
  <c r="K2117" i="7"/>
  <c r="B3" i="9" s="1"/>
  <c r="K2116" i="7"/>
  <c r="B199" i="9" s="1"/>
  <c r="K2112" i="7"/>
  <c r="B195" i="9" s="1"/>
  <c r="K2101" i="7"/>
  <c r="K2100" i="7"/>
  <c r="K2099" i="7"/>
  <c r="K2098" i="7"/>
  <c r="K2097" i="7"/>
  <c r="K2096" i="7"/>
  <c r="K2091" i="7"/>
  <c r="K2090" i="7"/>
  <c r="B190" i="9" s="1"/>
  <c r="K2087" i="7"/>
  <c r="B181" i="9" s="1"/>
  <c r="K2068" i="7"/>
  <c r="B167" i="9" s="1"/>
  <c r="K2061" i="7"/>
  <c r="K2060" i="7"/>
  <c r="K2059" i="7"/>
  <c r="B6" i="9" s="1"/>
  <c r="K2043" i="7"/>
  <c r="K2042" i="7"/>
  <c r="B34" i="9" s="1"/>
  <c r="K2028" i="7"/>
  <c r="K2027" i="7"/>
  <c r="B79" i="9" s="1"/>
  <c r="K2018" i="7"/>
  <c r="B81" i="9" s="1"/>
  <c r="K2011" i="7"/>
  <c r="B139" i="9" s="1"/>
  <c r="K2010" i="7"/>
  <c r="K2005" i="7"/>
  <c r="K2004" i="7"/>
  <c r="K1978" i="7"/>
  <c r="B39" i="9" s="1"/>
  <c r="K1972" i="7"/>
  <c r="K1971" i="7"/>
  <c r="K1954" i="7"/>
  <c r="B107" i="9" s="1"/>
  <c r="K1947" i="7"/>
  <c r="K1945" i="7"/>
  <c r="B216" i="9" s="1"/>
  <c r="K1940" i="7"/>
  <c r="B113" i="9" s="1"/>
  <c r="K1937" i="7"/>
  <c r="B210" i="9" s="1"/>
  <c r="K1936" i="7"/>
  <c r="K1935" i="7"/>
  <c r="B37" i="9" s="1"/>
  <c r="K1931" i="7"/>
  <c r="K1905" i="7"/>
  <c r="K1904" i="7"/>
  <c r="K1903" i="7"/>
  <c r="B144" i="9" s="1"/>
  <c r="K1895" i="7"/>
  <c r="B143" i="9" s="1"/>
  <c r="K1886" i="7"/>
  <c r="B106" i="9" s="1"/>
  <c r="K1880" i="7"/>
  <c r="K1874" i="7"/>
  <c r="K1873" i="7"/>
  <c r="K1872" i="7"/>
  <c r="K1871" i="7"/>
  <c r="K1867" i="7"/>
  <c r="B104" i="9" s="1"/>
  <c r="K1848" i="7"/>
  <c r="B212" i="9" s="1"/>
  <c r="K1842" i="7"/>
  <c r="K1841" i="7"/>
  <c r="K1840" i="7"/>
  <c r="K1804" i="7"/>
  <c r="B209" i="9" s="1"/>
  <c r="K1794" i="7"/>
  <c r="B42" i="9" s="1"/>
  <c r="K1776" i="7"/>
  <c r="K1774" i="7"/>
  <c r="K1773" i="7"/>
  <c r="K1772" i="7"/>
  <c r="K1771" i="7"/>
  <c r="B134" i="9" s="1"/>
  <c r="K1764" i="7"/>
  <c r="K1743" i="7"/>
  <c r="B217" i="9" s="1"/>
  <c r="K1742" i="7"/>
  <c r="K1741" i="7"/>
  <c r="K1740" i="7"/>
  <c r="K1701" i="7"/>
  <c r="B146" i="9" s="1"/>
  <c r="K1685" i="7"/>
  <c r="B219" i="9" s="1"/>
  <c r="K1684" i="7"/>
  <c r="K1671" i="7"/>
  <c r="K1670" i="7"/>
  <c r="K1668" i="7"/>
  <c r="K1667" i="7"/>
  <c r="K1657" i="7"/>
  <c r="K1656" i="7"/>
  <c r="K1655" i="7"/>
  <c r="K1653" i="7"/>
  <c r="K1650" i="7"/>
  <c r="K1648" i="7"/>
  <c r="K1646" i="7"/>
  <c r="K1645" i="7"/>
  <c r="B4" i="9" s="1"/>
  <c r="K1628" i="7"/>
  <c r="K1627" i="7"/>
  <c r="K1626" i="7"/>
  <c r="K1625" i="7"/>
  <c r="K1624" i="7"/>
  <c r="K1616" i="7"/>
  <c r="B80" i="9" s="1"/>
  <c r="K1604" i="7"/>
  <c r="B140" i="9" s="1"/>
  <c r="K1603" i="7"/>
  <c r="K1601" i="7"/>
  <c r="B85" i="9" s="1"/>
  <c r="K1590" i="7"/>
  <c r="B105" i="9" s="1"/>
  <c r="K1580" i="7"/>
  <c r="K1579" i="7"/>
  <c r="B57" i="9" s="1"/>
  <c r="K1557" i="7"/>
  <c r="B215" i="9" s="1"/>
  <c r="K1556" i="7"/>
  <c r="K1555" i="7"/>
  <c r="B194" i="9" s="1"/>
  <c r="K1554" i="7"/>
  <c r="K1551" i="7"/>
  <c r="K1550" i="7"/>
  <c r="B185" i="9" s="1"/>
  <c r="K1523" i="7"/>
  <c r="B129" i="9" s="1"/>
  <c r="K1479" i="7"/>
  <c r="B180" i="9" s="1"/>
  <c r="K1475" i="7"/>
  <c r="B45" i="9" s="1"/>
  <c r="K1472" i="7"/>
  <c r="K1468" i="7"/>
  <c r="K1467" i="7"/>
  <c r="K1466" i="7"/>
  <c r="K1465" i="7"/>
  <c r="K1464" i="7"/>
  <c r="K1463" i="7"/>
  <c r="K1462" i="7"/>
  <c r="B193" i="9" s="1"/>
  <c r="K1446" i="7"/>
  <c r="B55" i="9" s="1"/>
  <c r="K1445" i="7"/>
  <c r="K1438" i="7"/>
  <c r="K1432" i="7"/>
  <c r="K1400" i="7"/>
  <c r="B87" i="9" s="1"/>
  <c r="K1387" i="7"/>
  <c r="K1386" i="7"/>
  <c r="K1384" i="7"/>
  <c r="B225" i="9" s="1"/>
  <c r="K1376" i="7"/>
  <c r="B157" i="9" s="1"/>
  <c r="K1372" i="7"/>
  <c r="K1371" i="7"/>
  <c r="B119" i="9" s="1"/>
  <c r="K1368" i="7"/>
  <c r="K1366" i="7"/>
  <c r="K1365" i="7"/>
  <c r="B200" i="9" s="1"/>
  <c r="K1363" i="7"/>
  <c r="K1362" i="7"/>
  <c r="K1361" i="7"/>
  <c r="K1360" i="7"/>
  <c r="K1359" i="7"/>
  <c r="K1358" i="7"/>
  <c r="B228" i="9" s="1"/>
  <c r="K1357" i="7"/>
  <c r="K1356" i="7"/>
  <c r="K1352" i="7"/>
  <c r="B184" i="9" s="1"/>
  <c r="K1351" i="7"/>
  <c r="B94" i="9" s="1"/>
  <c r="K1347" i="7"/>
  <c r="B2" i="9" s="1"/>
  <c r="K1343" i="7"/>
  <c r="K1342" i="7"/>
  <c r="B207" i="9" s="1"/>
  <c r="K1309" i="7"/>
  <c r="K1308" i="7"/>
  <c r="B17" i="9" s="1"/>
  <c r="K1297" i="7"/>
  <c r="B206" i="9" s="1"/>
  <c r="K1296" i="7"/>
  <c r="B11" i="9" s="1"/>
  <c r="K1292" i="7"/>
  <c r="B101" i="9" s="1"/>
  <c r="K1270" i="7"/>
  <c r="K1269" i="7"/>
  <c r="K1255" i="7"/>
  <c r="K1254" i="7"/>
  <c r="B172" i="9" s="1"/>
  <c r="K1251" i="7"/>
  <c r="K1250" i="7"/>
  <c r="B20" i="9" s="1"/>
  <c r="K1242" i="7"/>
  <c r="K1241" i="7"/>
  <c r="B175" i="9" s="1"/>
  <c r="K1231" i="7"/>
  <c r="B226" i="9" s="1"/>
  <c r="K1228" i="7"/>
  <c r="K1227" i="7"/>
  <c r="K1226" i="7"/>
  <c r="B63" i="9" s="1"/>
  <c r="K1225" i="7"/>
  <c r="K1224" i="7"/>
  <c r="B10" i="9" s="1"/>
  <c r="K1215" i="7"/>
  <c r="K1214" i="7"/>
  <c r="B171" i="9" s="1"/>
  <c r="K1207" i="7"/>
  <c r="B88" i="9" s="1"/>
  <c r="K1200" i="7"/>
  <c r="K1199" i="7"/>
  <c r="B161" i="9" s="1"/>
  <c r="K1198" i="7"/>
  <c r="B142" i="9" s="1"/>
  <c r="K1191" i="7"/>
  <c r="K1190" i="7"/>
  <c r="K1189" i="7"/>
  <c r="K1188" i="7"/>
  <c r="K1187" i="7"/>
  <c r="K1181" i="7"/>
  <c r="K1179" i="7"/>
  <c r="B109" i="9" s="1"/>
  <c r="K1169" i="7"/>
  <c r="B62" i="9" s="1"/>
  <c r="K1159" i="7"/>
  <c r="B116" i="9" s="1"/>
  <c r="K1149" i="7"/>
  <c r="B66" i="9" s="1"/>
  <c r="K1131" i="7"/>
  <c r="K1130" i="7"/>
  <c r="K1129" i="7"/>
  <c r="K1128" i="7"/>
  <c r="K1127" i="7"/>
  <c r="K1119" i="7"/>
  <c r="B132" i="9" s="1"/>
  <c r="K1118" i="7"/>
  <c r="B36" i="9" s="1"/>
  <c r="K1117" i="7"/>
  <c r="B218" i="9" s="1"/>
  <c r="K1116" i="7"/>
  <c r="B23" i="9" s="1"/>
  <c r="K1115" i="7"/>
  <c r="K1114" i="7"/>
  <c r="K1113" i="7"/>
  <c r="K1112" i="7"/>
  <c r="B99" i="9" s="1"/>
  <c r="K1111" i="7"/>
  <c r="K1110" i="7"/>
  <c r="B77" i="9" s="1"/>
  <c r="K1109" i="7"/>
  <c r="K1108" i="7"/>
  <c r="K1107" i="7"/>
  <c r="K1105" i="7"/>
  <c r="B1" i="9" s="1"/>
  <c r="K1102" i="7"/>
  <c r="K1101" i="7"/>
  <c r="K1100" i="7"/>
  <c r="K1099" i="7"/>
  <c r="K1098" i="7"/>
  <c r="K1097" i="7"/>
  <c r="K1096" i="7"/>
  <c r="K1095" i="7"/>
  <c r="K1084" i="7"/>
  <c r="K1054" i="7"/>
  <c r="K1053" i="7"/>
  <c r="K1052" i="7"/>
  <c r="K1051" i="7"/>
  <c r="K1046" i="7"/>
  <c r="K1041" i="7"/>
  <c r="K1040" i="7"/>
  <c r="B169" i="9" s="1"/>
  <c r="K1038" i="7"/>
  <c r="K1037" i="7"/>
  <c r="K1031" i="7"/>
  <c r="K1030" i="7"/>
  <c r="K1029" i="7"/>
  <c r="K1028" i="7"/>
  <c r="B163" i="9" s="1"/>
  <c r="K1024" i="7"/>
  <c r="B164" i="9" s="1"/>
  <c r="K1022" i="7"/>
  <c r="B201" i="9" s="1"/>
  <c r="K1021" i="7"/>
  <c r="K1009" i="7"/>
  <c r="K975" i="7"/>
  <c r="K974" i="7"/>
  <c r="K973" i="7"/>
  <c r="K972" i="7"/>
  <c r="B74" i="9" s="1"/>
  <c r="K971" i="7"/>
  <c r="K970" i="7"/>
  <c r="B78" i="9" s="1"/>
  <c r="K968" i="7"/>
  <c r="B168" i="9" s="1"/>
  <c r="K933" i="7"/>
  <c r="K932" i="7"/>
  <c r="B211" i="9" s="1"/>
  <c r="K923" i="7"/>
  <c r="B68" i="9" s="1"/>
  <c r="K919" i="7"/>
  <c r="K917" i="7"/>
  <c r="K916" i="7"/>
  <c r="K913" i="7"/>
  <c r="B22" i="9" s="1"/>
  <c r="K911" i="7"/>
  <c r="K910" i="7"/>
  <c r="B231" i="9" s="1"/>
  <c r="K904" i="7"/>
  <c r="K903" i="7"/>
  <c r="B96" i="9" s="1"/>
  <c r="K898" i="7"/>
  <c r="K896" i="7"/>
  <c r="K889" i="7"/>
  <c r="K888" i="7"/>
  <c r="B166" i="9" s="1"/>
  <c r="K854" i="7"/>
  <c r="K853" i="7"/>
  <c r="K852" i="7"/>
  <c r="K851" i="7"/>
  <c r="K850" i="7"/>
  <c r="K849" i="7"/>
  <c r="K848" i="7"/>
  <c r="K847" i="7"/>
  <c r="K846" i="7"/>
  <c r="K845" i="7"/>
  <c r="K844" i="7"/>
  <c r="B123" i="9" s="1"/>
  <c r="K808" i="7"/>
  <c r="B183" i="9" s="1"/>
  <c r="K774" i="7"/>
  <c r="B178" i="9" s="1"/>
  <c r="K744" i="7"/>
  <c r="K718" i="7"/>
  <c r="K717" i="7"/>
  <c r="B89" i="9" s="1"/>
  <c r="K699" i="7"/>
  <c r="B111" i="9" s="1"/>
  <c r="K688" i="7"/>
  <c r="B112" i="9" s="1"/>
  <c r="K687" i="7"/>
  <c r="B173" i="9" s="1"/>
  <c r="K685" i="7"/>
  <c r="K684" i="7"/>
  <c r="K683" i="7"/>
  <c r="B67" i="9" s="1"/>
  <c r="K668" i="7"/>
  <c r="K662" i="7"/>
  <c r="B160" i="9" s="1"/>
  <c r="K660" i="7"/>
  <c r="B176" i="9" s="1"/>
  <c r="K659" i="7"/>
  <c r="B222" i="9" s="1"/>
  <c r="K657" i="7"/>
  <c r="K653" i="7"/>
  <c r="B14" i="9" s="1"/>
  <c r="K652" i="7"/>
  <c r="B9" i="9" s="1"/>
  <c r="K629" i="7"/>
  <c r="K628" i="7"/>
  <c r="K624" i="7"/>
  <c r="K623" i="7"/>
  <c r="K622" i="7"/>
  <c r="K619" i="7"/>
  <c r="K614" i="7"/>
  <c r="K613" i="7"/>
  <c r="B95" i="9" s="1"/>
  <c r="K612" i="7"/>
  <c r="B51" i="9" s="1"/>
  <c r="K587" i="7"/>
  <c r="K566" i="7"/>
  <c r="K565" i="7"/>
  <c r="K555" i="7"/>
  <c r="K554" i="7"/>
  <c r="K551" i="7"/>
  <c r="K550" i="7"/>
  <c r="K548" i="7"/>
  <c r="K547" i="7"/>
  <c r="K543" i="7"/>
  <c r="K542" i="7"/>
  <c r="K522" i="7"/>
  <c r="K521" i="7"/>
  <c r="B12" i="9" s="1"/>
  <c r="K519" i="7"/>
  <c r="K518" i="7"/>
  <c r="B58" i="9" s="1"/>
  <c r="K514" i="7"/>
  <c r="K513" i="7"/>
  <c r="K511" i="7"/>
  <c r="K510" i="7"/>
  <c r="K509" i="7"/>
  <c r="B177" i="9" s="1"/>
  <c r="K508" i="7"/>
  <c r="B197" i="9" s="1"/>
  <c r="K495" i="7"/>
  <c r="K493" i="7"/>
  <c r="B47" i="9" s="1"/>
  <c r="K485" i="7"/>
  <c r="K484" i="7"/>
  <c r="B98" i="9" s="1"/>
  <c r="K477" i="7"/>
  <c r="K467" i="7"/>
  <c r="B147" i="9" s="1"/>
  <c r="K465" i="7"/>
  <c r="K464" i="7"/>
  <c r="K455" i="7"/>
  <c r="K454" i="7"/>
  <c r="K450" i="7"/>
  <c r="B131" i="9" s="1"/>
  <c r="K448" i="7"/>
  <c r="B83" i="9" s="1"/>
  <c r="K446" i="7"/>
  <c r="B204" i="9" s="1"/>
  <c r="K435" i="7"/>
  <c r="K434" i="7"/>
  <c r="K433" i="7"/>
  <c r="B186" i="9" s="1"/>
  <c r="K431" i="7"/>
  <c r="K430" i="7"/>
  <c r="K426" i="7"/>
  <c r="B64" i="9" s="1"/>
  <c r="K424" i="7"/>
  <c r="B203" i="9" s="1"/>
  <c r="K423" i="7"/>
  <c r="K422" i="7"/>
  <c r="B223" i="9" s="1"/>
  <c r="K418" i="7"/>
  <c r="K417" i="7"/>
  <c r="K416" i="7"/>
  <c r="K415" i="7"/>
  <c r="B124" i="9" s="1"/>
  <c r="K413" i="7"/>
  <c r="K411" i="7"/>
  <c r="K410" i="7"/>
  <c r="K409" i="7"/>
  <c r="K408" i="7"/>
  <c r="B192" i="9" s="1"/>
  <c r="K403" i="7"/>
  <c r="B35" i="9" s="1"/>
  <c r="K396" i="7"/>
  <c r="K395" i="7"/>
  <c r="K381" i="7"/>
  <c r="K380" i="7"/>
  <c r="K379" i="7"/>
  <c r="B214" i="9" s="1"/>
  <c r="K378" i="7"/>
  <c r="B170" i="9" s="1"/>
  <c r="K359" i="7"/>
  <c r="B122" i="9" s="1"/>
  <c r="K357" i="7"/>
  <c r="B151" i="9" s="1"/>
  <c r="K327" i="7"/>
  <c r="B46" i="9" s="1"/>
  <c r="K322" i="7"/>
  <c r="B21" i="9" s="1"/>
  <c r="K320" i="7"/>
  <c r="K319" i="7"/>
  <c r="K318" i="7"/>
  <c r="B158" i="9" s="1"/>
  <c r="K311" i="7"/>
  <c r="B43" i="9" s="1"/>
  <c r="K303" i="7"/>
  <c r="B141" i="9" s="1"/>
  <c r="K292" i="7"/>
  <c r="K289" i="7"/>
  <c r="K286" i="7"/>
  <c r="B198" i="9" s="1"/>
  <c r="K285" i="7"/>
  <c r="K284" i="7"/>
  <c r="K283" i="7"/>
  <c r="K282" i="7"/>
  <c r="K281" i="7"/>
  <c r="B152" i="9" s="1"/>
  <c r="K275" i="7"/>
  <c r="B205" i="9" s="1"/>
  <c r="K263" i="7"/>
  <c r="K262" i="7"/>
  <c r="K261" i="7"/>
  <c r="B188" i="9" s="1"/>
  <c r="K246" i="7"/>
  <c r="B7" i="9" s="1"/>
  <c r="K244" i="7"/>
  <c r="B90" i="9" s="1"/>
  <c r="K243" i="7"/>
  <c r="B121" i="9" s="1"/>
  <c r="K242" i="7"/>
  <c r="K241" i="7"/>
  <c r="K240" i="7"/>
  <c r="K239" i="7"/>
  <c r="K227" i="7"/>
  <c r="B156" i="9" s="1"/>
  <c r="K226" i="7"/>
  <c r="B100" i="9" s="1"/>
  <c r="K224" i="7"/>
  <c r="K223" i="7"/>
  <c r="B191" i="9" s="1"/>
  <c r="K210" i="7"/>
  <c r="K209" i="7"/>
  <c r="K208" i="7"/>
  <c r="B54" i="9" s="1"/>
  <c r="K207" i="7"/>
  <c r="K206" i="7"/>
  <c r="K204" i="7"/>
  <c r="K202" i="7"/>
  <c r="B130" i="9" s="1"/>
  <c r="K194" i="7"/>
  <c r="B32" i="9" s="1"/>
  <c r="K180" i="7"/>
  <c r="B234" i="9" s="1"/>
  <c r="K179" i="7"/>
  <c r="K177" i="7"/>
  <c r="K176" i="7"/>
  <c r="B137" i="9" s="1"/>
  <c r="K166" i="7"/>
  <c r="B136" i="9" s="1"/>
  <c r="K165" i="7"/>
  <c r="B84" i="9" s="1"/>
  <c r="K160" i="7"/>
  <c r="B60" i="9" s="1"/>
  <c r="K139" i="7"/>
  <c r="K138" i="7"/>
  <c r="K132" i="7"/>
  <c r="B128" i="9" s="1"/>
  <c r="K119" i="7"/>
  <c r="K118" i="7"/>
  <c r="K105" i="7"/>
  <c r="K104" i="7"/>
  <c r="K103" i="7"/>
  <c r="K98" i="7"/>
  <c r="K97" i="7"/>
  <c r="K82" i="7"/>
  <c r="B126" i="9" s="1"/>
  <c r="K72" i="7"/>
  <c r="B159" i="9" s="1"/>
  <c r="K62" i="7"/>
  <c r="K61" i="7"/>
  <c r="K49" i="7"/>
  <c r="B97" i="9" s="1"/>
  <c r="K47" i="7"/>
  <c r="K17" i="7"/>
  <c r="B235" i="9" s="1"/>
  <c r="K15" i="7"/>
  <c r="B38" i="9" s="1"/>
  <c r="K7" i="7"/>
  <c r="B220" i="9" s="1"/>
  <c r="K6" i="7"/>
  <c r="B174" i="9" s="1"/>
  <c r="M3" i="7"/>
  <c r="M4" i="7"/>
  <c r="M7" i="7"/>
  <c r="M8" i="7"/>
  <c r="M9" i="7"/>
  <c r="M10" i="7"/>
  <c r="M11" i="7"/>
  <c r="M12" i="7"/>
  <c r="M13" i="7"/>
  <c r="M14" i="7"/>
  <c r="M16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9" i="7"/>
  <c r="M150" i="7"/>
  <c r="M151" i="7"/>
  <c r="M152" i="7"/>
  <c r="M153" i="7"/>
  <c r="M154" i="7"/>
  <c r="M155" i="7"/>
  <c r="M156" i="7"/>
  <c r="M157" i="7"/>
  <c r="M158" i="7"/>
  <c r="M159" i="7"/>
  <c r="M161" i="7"/>
  <c r="M162" i="7"/>
  <c r="M163" i="7"/>
  <c r="M164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5" i="7"/>
  <c r="M196" i="7"/>
  <c r="M197" i="7"/>
  <c r="M198" i="7"/>
  <c r="M199" i="7"/>
  <c r="M200" i="7"/>
  <c r="M201" i="7"/>
  <c r="M203" i="7"/>
  <c r="M204" i="7"/>
  <c r="M205" i="7"/>
  <c r="M206" i="7"/>
  <c r="M207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8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4" i="7"/>
  <c r="M405" i="7"/>
  <c r="M406" i="7"/>
  <c r="M407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5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7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3" i="7"/>
  <c r="M654" i="7"/>
  <c r="M655" i="7"/>
  <c r="M656" i="7"/>
  <c r="M658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4" i="7"/>
  <c r="M925" i="7"/>
  <c r="M926" i="7"/>
  <c r="M927" i="7"/>
  <c r="M928" i="7"/>
  <c r="M929" i="7"/>
  <c r="M930" i="7"/>
  <c r="M931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9" i="7"/>
  <c r="M1030" i="7"/>
  <c r="M1031" i="7"/>
  <c r="M1032" i="7"/>
  <c r="M1033" i="7"/>
  <c r="M1034" i="7"/>
  <c r="M1035" i="7"/>
  <c r="M1036" i="7"/>
  <c r="M1037" i="7"/>
  <c r="M1038" i="7"/>
  <c r="M1039" i="7"/>
  <c r="M1041" i="7"/>
  <c r="M1042" i="7"/>
  <c r="M1043" i="7"/>
  <c r="M1044" i="7"/>
  <c r="M1045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50" i="7"/>
  <c r="M1151" i="7"/>
  <c r="M1152" i="7"/>
  <c r="M1153" i="7"/>
  <c r="M1154" i="7"/>
  <c r="M1155" i="7"/>
  <c r="M1156" i="7"/>
  <c r="M1157" i="7"/>
  <c r="M1158" i="7"/>
  <c r="M1160" i="7"/>
  <c r="M1161" i="7"/>
  <c r="M1162" i="7"/>
  <c r="M1163" i="7"/>
  <c r="M1164" i="7"/>
  <c r="M1165" i="7"/>
  <c r="M1166" i="7"/>
  <c r="M1167" i="7"/>
  <c r="M1168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8" i="7"/>
  <c r="M1209" i="7"/>
  <c r="M1210" i="7"/>
  <c r="M1211" i="7"/>
  <c r="M1212" i="7"/>
  <c r="M1213" i="7"/>
  <c r="M1216" i="7"/>
  <c r="M1217" i="7"/>
  <c r="M1218" i="7"/>
  <c r="M1219" i="7"/>
  <c r="M1220" i="7"/>
  <c r="M1221" i="7"/>
  <c r="M1222" i="7"/>
  <c r="M1223" i="7"/>
  <c r="M1224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8" i="7"/>
  <c r="M1299" i="7"/>
  <c r="M1300" i="7"/>
  <c r="M1301" i="7"/>
  <c r="M1302" i="7"/>
  <c r="M1303" i="7"/>
  <c r="M1304" i="7"/>
  <c r="M1305" i="7"/>
  <c r="M1306" i="7"/>
  <c r="M1307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8" i="7"/>
  <c r="M1349" i="7"/>
  <c r="M1350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6" i="7"/>
  <c r="M1367" i="7"/>
  <c r="M1368" i="7"/>
  <c r="M1369" i="7"/>
  <c r="M1370" i="7"/>
  <c r="M1373" i="7"/>
  <c r="M1374" i="7"/>
  <c r="M1375" i="7"/>
  <c r="M1376" i="7"/>
  <c r="M1377" i="7"/>
  <c r="M1378" i="7"/>
  <c r="M1379" i="7"/>
  <c r="M1380" i="7"/>
  <c r="M1381" i="7"/>
  <c r="M1382" i="7"/>
  <c r="M1383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8" i="7"/>
  <c r="M1869" i="7"/>
  <c r="M1870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7" i="7"/>
  <c r="M1888" i="7"/>
  <c r="M1889" i="7"/>
  <c r="M1890" i="7"/>
  <c r="M1891" i="7"/>
  <c r="M1892" i="7"/>
  <c r="M1893" i="7"/>
  <c r="M1894" i="7"/>
  <c r="M1896" i="7"/>
  <c r="M1897" i="7"/>
  <c r="M1898" i="7"/>
  <c r="M1899" i="7"/>
  <c r="M1900" i="7"/>
  <c r="M1901" i="7"/>
  <c r="M1902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2" i="7"/>
  <c r="M1933" i="7"/>
  <c r="M1934" i="7"/>
  <c r="M1935" i="7"/>
  <c r="M1936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2" i="7"/>
  <c r="M2013" i="7"/>
  <c r="M2014" i="7"/>
  <c r="M2015" i="7"/>
  <c r="M2016" i="7"/>
  <c r="M2017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8" i="7"/>
  <c r="M2209" i="7"/>
  <c r="M2210" i="7"/>
  <c r="M2211" i="7"/>
  <c r="M2212" i="7"/>
  <c r="M2214" i="7"/>
  <c r="M2217" i="7"/>
  <c r="M2218" i="7"/>
  <c r="M2219" i="7"/>
  <c r="M2220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1" i="7"/>
  <c r="M2252" i="7"/>
  <c r="M2253" i="7"/>
  <c r="M2254" i="7"/>
  <c r="M2256" i="7"/>
  <c r="M2257" i="7"/>
  <c r="M2258" i="7"/>
  <c r="M2259" i="7"/>
  <c r="M2260" i="7"/>
  <c r="M2261" i="7"/>
  <c r="M2262" i="7"/>
  <c r="M2263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3" i="7"/>
  <c r="M2324" i="7"/>
  <c r="M2325" i="7"/>
  <c r="M2326" i="7"/>
  <c r="M2327" i="7"/>
  <c r="M2328" i="7"/>
  <c r="M2329" i="7"/>
  <c r="M2330" i="7"/>
  <c r="M2331" i="7"/>
  <c r="M2333" i="7"/>
  <c r="M2334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10" i="7"/>
  <c r="M2411" i="7"/>
  <c r="M2412" i="7"/>
  <c r="M2413" i="7"/>
  <c r="M2414" i="7"/>
  <c r="M2415" i="7"/>
  <c r="M2416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7" i="7"/>
  <c r="M2499" i="7"/>
  <c r="M2500" i="7"/>
  <c r="M2501" i="7"/>
  <c r="M2502" i="7"/>
  <c r="M2503" i="7"/>
  <c r="M2504" i="7"/>
  <c r="M2505" i="7"/>
  <c r="M2507" i="7"/>
  <c r="M2508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2" i="7"/>
  <c r="M2733" i="7"/>
  <c r="M2734" i="7"/>
  <c r="M2735" i="7"/>
  <c r="M2736" i="7"/>
  <c r="M2737" i="7"/>
  <c r="M2738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5" i="7"/>
  <c r="M2756" i="7"/>
  <c r="M2757" i="7"/>
  <c r="M2758" i="7"/>
  <c r="M2759" i="7"/>
  <c r="M2760" i="7"/>
  <c r="M2762" i="7"/>
  <c r="M2763" i="7"/>
  <c r="M2764" i="7"/>
  <c r="M2765" i="7"/>
  <c r="M2766" i="7"/>
  <c r="M2767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5" i="7"/>
  <c r="M2836" i="7"/>
  <c r="M2837" i="7"/>
  <c r="M2838" i="7"/>
  <c r="M2839" i="7"/>
  <c r="M2840" i="7"/>
  <c r="M2841" i="7"/>
  <c r="M2842" i="7"/>
  <c r="M2843" i="7"/>
  <c r="M2844" i="7"/>
  <c r="M2846" i="7"/>
  <c r="M2847" i="7"/>
  <c r="M2848" i="7"/>
  <c r="M2849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5" i="7"/>
  <c r="M2896" i="7"/>
  <c r="M2897" i="7"/>
  <c r="M2898" i="7"/>
  <c r="M2899" i="7"/>
  <c r="M2900" i="7"/>
  <c r="M2901" i="7"/>
  <c r="M2902" i="7"/>
  <c r="M2903" i="7"/>
  <c r="M2904" i="7"/>
  <c r="M2905" i="7"/>
  <c r="M2907" i="7"/>
  <c r="M2908" i="7"/>
  <c r="M2909" i="7"/>
  <c r="M2910" i="7"/>
  <c r="M2911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8" i="7"/>
  <c r="M2999" i="7"/>
  <c r="M3000" i="7"/>
  <c r="M3001" i="7"/>
  <c r="M3002" i="7"/>
  <c r="M3003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2" i="7"/>
  <c r="M3293" i="7"/>
  <c r="M3294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2" i="7"/>
  <c r="M3413" i="7"/>
  <c r="M3414" i="7"/>
  <c r="M3415" i="7"/>
  <c r="M3416" i="7"/>
  <c r="M3417" i="7"/>
  <c r="M3418" i="7"/>
  <c r="M3419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2" i="7"/>
  <c r="M1347" i="7"/>
  <c r="M1764" i="7"/>
  <c r="M5" i="7"/>
  <c r="M652" i="7"/>
  <c r="M521" i="7"/>
  <c r="M2498" i="7"/>
  <c r="M2335" i="7"/>
  <c r="M1308" i="7"/>
  <c r="M465" i="7"/>
  <c r="M1116" i="7"/>
  <c r="M3420" i="7"/>
  <c r="M2936" i="7"/>
  <c r="M2960" i="7"/>
  <c r="M2834" i="7"/>
  <c r="M3177" i="7"/>
  <c r="M3159" i="7"/>
  <c r="M194" i="7"/>
  <c r="M403" i="7"/>
  <c r="M1118" i="7"/>
  <c r="M15" i="7"/>
  <c r="M2563" i="7"/>
  <c r="M3364" i="7"/>
  <c r="M327" i="7"/>
  <c r="M3267" i="7"/>
  <c r="M2213" i="7"/>
  <c r="M2336" i="7"/>
  <c r="M2739" i="7"/>
  <c r="M2615" i="7"/>
  <c r="M2731" i="7"/>
  <c r="M208" i="7"/>
  <c r="M1446" i="7"/>
  <c r="M2982" i="7"/>
  <c r="M160" i="7"/>
  <c r="M1169" i="7"/>
  <c r="M426" i="7"/>
  <c r="M2417" i="7"/>
  <c r="M1149" i="7"/>
  <c r="M683" i="7"/>
  <c r="M923" i="7"/>
  <c r="M3160" i="7"/>
  <c r="M3240" i="7"/>
  <c r="M3004" i="7"/>
  <c r="M972" i="7"/>
  <c r="M1616" i="7"/>
  <c r="M2018" i="7"/>
  <c r="M2894" i="7"/>
  <c r="M448" i="7"/>
  <c r="M165" i="7"/>
  <c r="M2877" i="7"/>
  <c r="M1400" i="7"/>
  <c r="M1207" i="7"/>
  <c r="M3291" i="7"/>
  <c r="M1351" i="7"/>
  <c r="M613" i="7"/>
  <c r="M49" i="7"/>
  <c r="M1684" i="7"/>
  <c r="M1867" i="7"/>
  <c r="M1590" i="7"/>
  <c r="M1886" i="7"/>
  <c r="M2439" i="7"/>
  <c r="M2151" i="7"/>
  <c r="M2509" i="7"/>
  <c r="M699" i="7"/>
  <c r="M2164" i="7"/>
  <c r="M2496" i="7"/>
  <c r="M2136" i="7"/>
  <c r="M1159" i="7"/>
  <c r="M1371" i="7"/>
  <c r="M243" i="7"/>
  <c r="M359" i="7"/>
  <c r="M3081" i="7"/>
  <c r="M2409" i="7"/>
  <c r="M1603" i="7"/>
  <c r="M202" i="7"/>
  <c r="M1119" i="7"/>
  <c r="M166" i="7"/>
  <c r="M565" i="7"/>
  <c r="M2011" i="7"/>
  <c r="M1895" i="7"/>
  <c r="M1903" i="7"/>
  <c r="M657" i="7"/>
  <c r="M357" i="7"/>
  <c r="M2782" i="7"/>
  <c r="M227" i="7"/>
  <c r="M72" i="7"/>
  <c r="M1225" i="7"/>
  <c r="M2264" i="7"/>
  <c r="M3295" i="7"/>
  <c r="M2322" i="7"/>
  <c r="M2332" i="7"/>
  <c r="M888" i="7"/>
  <c r="M2068" i="7"/>
  <c r="M3411" i="7"/>
  <c r="M3533" i="7"/>
  <c r="M1215" i="7"/>
  <c r="M2850" i="7"/>
  <c r="M1479" i="7"/>
  <c r="M2087" i="7"/>
  <c r="M2250" i="7"/>
  <c r="M408" i="7"/>
  <c r="M1462" i="7"/>
  <c r="M508" i="7"/>
  <c r="M1365" i="7"/>
  <c r="M424" i="7"/>
  <c r="M1653" i="7"/>
  <c r="M275" i="7"/>
  <c r="M1871" i="7"/>
  <c r="M1937" i="7"/>
  <c r="M932" i="7"/>
  <c r="M1848" i="7"/>
  <c r="M379" i="7"/>
  <c r="M1557" i="7"/>
  <c r="M1743" i="7"/>
  <c r="M1117" i="7"/>
  <c r="M659" i="7"/>
  <c r="M1384" i="7"/>
  <c r="M2203" i="7"/>
  <c r="M2255" i="7"/>
  <c r="M2912" i="7"/>
  <c r="M180" i="7"/>
  <c r="M17" i="7"/>
  <c r="K3274" i="7" l="1"/>
  <c r="K3431" i="7"/>
  <c r="K3289" i="7"/>
  <c r="B189" i="9" s="1"/>
  <c r="K3502" i="7"/>
  <c r="L403" i="11"/>
  <c r="L399" i="11"/>
  <c r="L402" i="11"/>
  <c r="L398" i="11"/>
  <c r="L401" i="11"/>
  <c r="L397" i="11"/>
  <c r="L400" i="11"/>
  <c r="L396" i="11"/>
  <c r="L395" i="11"/>
  <c r="B18" i="9"/>
  <c r="B19" i="9"/>
  <c r="M2906" i="7"/>
  <c r="M2878" i="7"/>
  <c r="M2754" i="7"/>
  <c r="M2674" i="7"/>
  <c r="M2506" i="7"/>
  <c r="M2206" i="7"/>
  <c r="M2202" i="7"/>
  <c r="M2150" i="7"/>
  <c r="M2010" i="7"/>
  <c r="M1978" i="7"/>
  <c r="M1214" i="7"/>
  <c r="M1046" i="7"/>
  <c r="M614" i="7"/>
  <c r="M566" i="7"/>
  <c r="M522" i="7"/>
  <c r="M446" i="7"/>
  <c r="M210" i="7"/>
  <c r="M3497" i="7"/>
  <c r="M3481" i="7"/>
  <c r="M3465" i="7"/>
  <c r="M3421" i="7"/>
  <c r="M3329" i="7"/>
  <c r="M3241" i="7"/>
  <c r="M2997" i="7"/>
  <c r="M2845" i="7"/>
  <c r="M2761" i="7"/>
  <c r="M2221" i="7"/>
  <c r="M2205" i="7"/>
  <c r="M2201" i="7"/>
  <c r="M1905" i="7"/>
  <c r="M1297" i="7"/>
  <c r="M889" i="7"/>
  <c r="M493" i="7"/>
  <c r="M381" i="7"/>
  <c r="M209" i="7"/>
  <c r="M3328" i="7"/>
  <c r="M2768" i="7"/>
  <c r="M2380" i="7"/>
  <c r="M2216" i="7"/>
  <c r="M2204" i="7"/>
  <c r="M1904" i="7"/>
  <c r="M1372" i="7"/>
  <c r="M1040" i="7"/>
  <c r="M1028" i="7"/>
  <c r="M380" i="7"/>
  <c r="M3327" i="7"/>
  <c r="M2215" i="7"/>
  <c r="M2207" i="7"/>
  <c r="M1931" i="7"/>
  <c r="G15" i="1"/>
</calcChain>
</file>

<file path=xl/sharedStrings.xml><?xml version="1.0" encoding="utf-8"?>
<sst xmlns="http://schemas.openxmlformats.org/spreadsheetml/2006/main" count="33731" uniqueCount="8903">
  <si>
    <t>NM_000348</t>
  </si>
  <si>
    <t>chr2</t>
  </si>
  <si>
    <t>SRD5A2</t>
  </si>
  <si>
    <t>部分基因编码错误纠正</t>
    <phoneticPr fontId="1" type="noConversion"/>
  </si>
  <si>
    <r>
      <t>1</t>
    </r>
    <r>
      <rPr>
        <sz val="10"/>
        <color theme="1"/>
        <rFont val="宋体"/>
        <family val="3"/>
        <charset val="134"/>
      </rPr>
      <t>、以前方案为根据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纠正</t>
    </r>
    <phoneticPr fontId="1" type="noConversion"/>
  </si>
  <si>
    <r>
      <rPr>
        <sz val="10"/>
        <color theme="1"/>
        <rFont val="宋体"/>
        <family val="3"/>
        <charset val="134"/>
      </rPr>
      <t>总</t>
    </r>
    <r>
      <rPr>
        <sz val="10"/>
        <color theme="1"/>
        <rFont val="Times New Roman"/>
        <family val="1"/>
      </rPr>
      <t>mRNA</t>
    </r>
    <phoneticPr fontId="1" type="noConversion"/>
  </si>
  <si>
    <r>
      <rPr>
        <sz val="10"/>
        <color theme="1"/>
        <rFont val="宋体"/>
        <family val="3"/>
        <charset val="134"/>
      </rPr>
      <t>存在错误</t>
    </r>
    <r>
      <rPr>
        <sz val="10"/>
        <color theme="1"/>
        <rFont val="Times New Roman"/>
        <family val="1"/>
      </rPr>
      <t>mRNA</t>
    </r>
    <phoneticPr fontId="1" type="noConversion"/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</si>
  <si>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AA=1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</si>
  <si>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AA=2）</t>
    </r>
    <r>
      <rPr>
        <sz val="10"/>
        <color theme="1"/>
        <rFont val="宋体"/>
        <family val="3"/>
        <charset val="134"/>
      </rPr>
      <t/>
    </r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</si>
  <si>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AA=3）</t>
    </r>
    <r>
      <rPr>
        <sz val="10"/>
        <color theme="1"/>
        <rFont val="宋体"/>
        <family val="3"/>
        <charset val="134"/>
      </rPr>
      <t/>
    </r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</si>
  <si>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AA=4）</t>
    </r>
    <r>
      <rPr>
        <sz val="10"/>
        <color theme="1"/>
        <rFont val="宋体"/>
        <family val="3"/>
        <charset val="134"/>
      </rPr>
      <t/>
    </r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</si>
  <si>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AA=5）</t>
    </r>
    <r>
      <rPr>
        <sz val="10"/>
        <color theme="1"/>
        <rFont val="宋体"/>
        <family val="3"/>
        <charset val="134"/>
      </rPr>
      <t/>
    </r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</si>
  <si>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AA=6）</t>
    </r>
    <r>
      <rPr>
        <sz val="10"/>
        <color theme="1"/>
        <rFont val="宋体"/>
        <family val="3"/>
        <charset val="134"/>
      </rPr>
      <t/>
    </r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</si>
  <si>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AA=7）</t>
    </r>
    <r>
      <rPr>
        <sz val="10"/>
        <color theme="1"/>
        <rFont val="宋体"/>
        <family val="3"/>
        <charset val="134"/>
      </rPr>
      <t/>
    </r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</si>
  <si>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AA=8）</t>
    </r>
    <r>
      <rPr>
        <sz val="10"/>
        <color theme="1"/>
        <rFont val="宋体"/>
        <family val="3"/>
        <charset val="134"/>
      </rPr>
      <t/>
    </r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</si>
  <si>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AA=9）</t>
    </r>
    <r>
      <rPr>
        <sz val="10"/>
        <color theme="1"/>
        <rFont val="宋体"/>
        <family val="3"/>
        <charset val="134"/>
      </rPr>
      <t/>
    </r>
  </si>
  <si>
    <r>
      <t>cds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AA=10）</t>
    </r>
    <r>
      <rPr>
        <sz val="10"/>
        <color theme="1"/>
        <rFont val="宋体"/>
        <family val="3"/>
        <charset val="134"/>
      </rPr>
      <t/>
    </r>
  </si>
  <si>
    <t>解决方案：</t>
    <phoneticPr fontId="1" type="noConversion"/>
  </si>
  <si>
    <r>
      <t>4</t>
    </r>
    <r>
      <rPr>
        <sz val="10"/>
        <color theme="1"/>
        <rFont val="宋体"/>
        <family val="3"/>
        <charset val="134"/>
      </rPr>
      <t>、部分</t>
    </r>
    <r>
      <rPr>
        <sz val="10"/>
        <color theme="1"/>
        <rFont val="Times New Roman"/>
        <family val="1"/>
      </rPr>
      <t>mRNA</t>
    </r>
    <r>
      <rPr>
        <sz val="10"/>
        <color theme="1"/>
        <rFont val="宋体"/>
        <family val="3"/>
        <charset val="134"/>
      </rPr>
      <t>因基因组组装问题可能无法解决</t>
    </r>
    <phoneticPr fontId="1" type="noConversion"/>
  </si>
  <si>
    <r>
      <t>2</t>
    </r>
    <r>
      <rPr>
        <sz val="10"/>
        <color theme="1"/>
        <rFont val="宋体"/>
        <family val="3"/>
        <charset val="134"/>
      </rPr>
      <t>、通过</t>
    </r>
    <r>
      <rPr>
        <sz val="10"/>
        <color theme="1"/>
        <rFont val="Times New Roman"/>
        <family val="1"/>
      </rPr>
      <t>INDEL</t>
    </r>
    <r>
      <rPr>
        <sz val="10"/>
        <color theme="1"/>
        <rFont val="宋体"/>
        <family val="3"/>
        <charset val="134"/>
      </rPr>
      <t>的位置对造成错误的编码进行修正</t>
    </r>
    <phoneticPr fontId="1" type="noConversion"/>
  </si>
  <si>
    <r>
      <rPr>
        <sz val="10"/>
        <color theme="1"/>
        <rFont val="宋体"/>
        <family val="3"/>
        <charset val="134"/>
      </rPr>
      <t>可分三大类：相对基因组存在小的</t>
    </r>
    <r>
      <rPr>
        <sz val="10"/>
        <color theme="1"/>
        <rFont val="Times New Roman"/>
        <family val="1"/>
      </rPr>
      <t>INDEL</t>
    </r>
    <r>
      <rPr>
        <sz val="10"/>
        <color theme="1"/>
        <rFont val="宋体"/>
        <family val="3"/>
        <charset val="134"/>
      </rPr>
      <t>、外显子（</t>
    </r>
    <r>
      <rPr>
        <sz val="10"/>
        <color theme="1"/>
        <rFont val="Times New Roman"/>
        <family val="1"/>
      </rPr>
      <t>CDS</t>
    </r>
    <r>
      <rPr>
        <sz val="10"/>
        <color theme="1"/>
        <rFont val="宋体"/>
        <family val="3"/>
        <charset val="134"/>
      </rPr>
      <t>）变化、外显子（</t>
    </r>
    <r>
      <rPr>
        <sz val="10"/>
        <color theme="1"/>
        <rFont val="Times New Roman"/>
        <family val="1"/>
      </rPr>
      <t>CDS</t>
    </r>
    <r>
      <rPr>
        <sz val="10"/>
        <color theme="1"/>
        <rFont val="宋体"/>
        <family val="3"/>
        <charset val="134"/>
      </rPr>
      <t>）变化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family val="3"/>
        <charset val="134"/>
      </rPr>
      <t>相对基因组存在小的</t>
    </r>
    <r>
      <rPr>
        <sz val="10"/>
        <color theme="1"/>
        <rFont val="Times New Roman"/>
        <family val="1"/>
      </rPr>
      <t>INDEL</t>
    </r>
    <phoneticPr fontId="1" type="noConversion"/>
  </si>
  <si>
    <t>第二类：外显子（CDS）变化</t>
    <phoneticPr fontId="1" type="noConversion"/>
  </si>
  <si>
    <t>第三类：外显子（CDS）变化+相对基因组存在小的INDEL</t>
    <phoneticPr fontId="1" type="noConversion"/>
  </si>
  <si>
    <r>
      <t>1</t>
    </r>
    <r>
      <rPr>
        <sz val="10"/>
        <color theme="1"/>
        <rFont val="宋体"/>
        <family val="3"/>
        <charset val="134"/>
      </rPr>
      <t>、结合第一类与第二类</t>
    </r>
    <phoneticPr fontId="1" type="noConversion"/>
  </si>
  <si>
    <r>
      <t>8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</si>
  <si>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2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</si>
  <si>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2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</si>
  <si>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cds</t>
    </r>
    <r>
      <rPr>
        <sz val="10"/>
        <color theme="1"/>
        <rFont val="宋体"/>
        <family val="3"/>
        <charset val="134"/>
      </rPr>
      <t>不为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的倍数（</t>
    </r>
    <r>
      <rPr>
        <sz val="10"/>
        <color theme="1"/>
        <rFont val="Times New Roman"/>
        <family val="1"/>
      </rPr>
      <t>AA&lt;=10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</si>
  <si>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cds</t>
    </r>
    <r>
      <rPr>
        <sz val="10"/>
        <color rgb="FFFF0000"/>
        <rFont val="宋体"/>
        <family val="3"/>
        <charset val="134"/>
      </rPr>
      <t>为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的倍数（</t>
    </r>
    <r>
      <rPr>
        <sz val="10"/>
        <color rgb="FFFF0000"/>
        <rFont val="Times New Roman"/>
        <family val="1"/>
      </rPr>
      <t>AA&gt;10</t>
    </r>
    <r>
      <rPr>
        <sz val="10"/>
        <color rgb="FFFF0000"/>
        <rFont val="宋体"/>
        <family val="3"/>
        <charset val="134"/>
      </rPr>
      <t>）</t>
    </r>
    <phoneticPr fontId="1" type="noConversion"/>
  </si>
  <si>
    <r>
      <t>cds</t>
    </r>
    <r>
      <rPr>
        <sz val="10"/>
        <color rgb="FFFF0000"/>
        <rFont val="宋体"/>
        <family val="3"/>
        <charset val="134"/>
      </rPr>
      <t>不为</t>
    </r>
    <r>
      <rPr>
        <sz val="10"/>
        <color rgb="FFFF0000"/>
        <rFont val="Times New Roman"/>
        <family val="1"/>
      </rPr>
      <t>3</t>
    </r>
    <r>
      <rPr>
        <sz val="10"/>
        <color rgb="FFFF0000"/>
        <rFont val="宋体"/>
        <family val="3"/>
        <charset val="134"/>
      </rPr>
      <t>的倍数（</t>
    </r>
    <r>
      <rPr>
        <sz val="10"/>
        <color rgb="FFFF0000"/>
        <rFont val="Times New Roman"/>
        <family val="1"/>
      </rPr>
      <t>AA&gt;10</t>
    </r>
    <r>
      <rPr>
        <sz val="10"/>
        <color rgb="FFFF0000"/>
        <rFont val="宋体"/>
        <family val="3"/>
        <charset val="134"/>
      </rPr>
      <t>）</t>
    </r>
    <phoneticPr fontId="1" type="noConversion"/>
  </si>
  <si>
    <r>
      <t>3</t>
    </r>
    <r>
      <rPr>
        <sz val="10"/>
        <color theme="1"/>
        <rFont val="宋体"/>
        <family val="3"/>
        <charset val="134"/>
      </rPr>
      <t>、优先解决上表中后三列中的错误</t>
    </r>
    <r>
      <rPr>
        <sz val="10"/>
        <color theme="1"/>
        <rFont val="Times New Roman"/>
        <family val="1"/>
      </rPr>
      <t>mRNA</t>
    </r>
    <r>
      <rPr>
        <sz val="10"/>
        <color theme="1"/>
        <rFont val="宋体"/>
        <family val="3"/>
        <charset val="134"/>
      </rPr>
      <t>，前面这些很可能为碱基错误造成</t>
    </r>
    <phoneticPr fontId="1" type="noConversion"/>
  </si>
  <si>
    <t>ABO</t>
  </si>
  <si>
    <t>NM_020469</t>
  </si>
  <si>
    <t>chr9</t>
  </si>
  <si>
    <t>ALG9</t>
  </si>
  <si>
    <t>NM_001077690</t>
  </si>
  <si>
    <t>chr11</t>
  </si>
  <si>
    <t>NM_024740</t>
  </si>
  <si>
    <t>AOAH</t>
  </si>
  <si>
    <t>NM_001177506</t>
  </si>
  <si>
    <t>chr7</t>
  </si>
  <si>
    <t>APOL4</t>
  </si>
  <si>
    <t>NM_030643</t>
  </si>
  <si>
    <t>chr22</t>
  </si>
  <si>
    <t>NM_145660</t>
  </si>
  <si>
    <t>C17orf100</t>
  </si>
  <si>
    <t>NM_001105520</t>
  </si>
  <si>
    <t>chr17</t>
  </si>
  <si>
    <t>C19orf55</t>
  </si>
  <si>
    <t>NM_001039887</t>
  </si>
  <si>
    <t>chr19</t>
  </si>
  <si>
    <t>C20orf132</t>
  </si>
  <si>
    <t>NM_152503</t>
  </si>
  <si>
    <t>chr20</t>
  </si>
  <si>
    <t>NM_213631</t>
  </si>
  <si>
    <t>NM_213632</t>
  </si>
  <si>
    <t>CEACAM20</t>
  </si>
  <si>
    <t>NM_001102597</t>
  </si>
  <si>
    <t>NM_001102598</t>
  </si>
  <si>
    <t>NM_001102599</t>
  </si>
  <si>
    <t>NM_001102600</t>
  </si>
  <si>
    <t>COPZ2</t>
  </si>
  <si>
    <t>NM_016429</t>
  </si>
  <si>
    <t>CWC15</t>
  </si>
  <si>
    <t>NM_016403</t>
  </si>
  <si>
    <t>CYP4F8</t>
  </si>
  <si>
    <t>NM_007253</t>
  </si>
  <si>
    <t>DIXDC1</t>
  </si>
  <si>
    <t>NM_001037954</t>
  </si>
  <si>
    <t>FAM228B</t>
  </si>
  <si>
    <t>NM_001145710</t>
  </si>
  <si>
    <t>FAM58A</t>
  </si>
  <si>
    <t>NM_001130997</t>
  </si>
  <si>
    <t>chrX</t>
  </si>
  <si>
    <t>NM_152274</t>
  </si>
  <si>
    <t>FLJ22184</t>
  </si>
  <si>
    <t>NM_001190467</t>
  </si>
  <si>
    <t>FOXI3</t>
  </si>
  <si>
    <t>NM_001135649</t>
  </si>
  <si>
    <t>GPHB5</t>
  </si>
  <si>
    <t>NM_145171</t>
  </si>
  <si>
    <t>chr14</t>
  </si>
  <si>
    <t>GRIA3</t>
  </si>
  <si>
    <t>NM_001256743</t>
  </si>
  <si>
    <t>GRIP2</t>
  </si>
  <si>
    <t>NM_001080423</t>
  </si>
  <si>
    <t>chr3</t>
  </si>
  <si>
    <t>HSH2D</t>
  </si>
  <si>
    <t>NM_032855</t>
  </si>
  <si>
    <t>IQSEC1</t>
  </si>
  <si>
    <t>NM_001134382</t>
  </si>
  <si>
    <t>ITIH5</t>
  </si>
  <si>
    <t>NM_030569</t>
  </si>
  <si>
    <t>chr10</t>
  </si>
  <si>
    <t>NM_032817</t>
  </si>
  <si>
    <t>KIR2DL4</t>
  </si>
  <si>
    <t>NM_002255</t>
  </si>
  <si>
    <t>LTBP4</t>
  </si>
  <si>
    <t>NM_001042544</t>
  </si>
  <si>
    <t>NM_001042545</t>
  </si>
  <si>
    <t>NM_003573</t>
  </si>
  <si>
    <t>MAL2</t>
  </si>
  <si>
    <t>NM_052886</t>
  </si>
  <si>
    <t>chr8</t>
  </si>
  <si>
    <t>MMP28</t>
  </si>
  <si>
    <t>NM_024302</t>
  </si>
  <si>
    <t>chr13</t>
  </si>
  <si>
    <t>NUDT18</t>
  </si>
  <si>
    <t>NM_024815</t>
  </si>
  <si>
    <t>OPLAH</t>
  </si>
  <si>
    <t>NM_017570</t>
  </si>
  <si>
    <t>PCSK6</t>
  </si>
  <si>
    <t>NM_002570</t>
  </si>
  <si>
    <t>chr15</t>
  </si>
  <si>
    <t>NM_138319</t>
  </si>
  <si>
    <t>NM_138322</t>
  </si>
  <si>
    <t>NM_138323</t>
  </si>
  <si>
    <t>NM_138324</t>
  </si>
  <si>
    <t>NM_138325</t>
  </si>
  <si>
    <t>PKD1L2</t>
  </si>
  <si>
    <t>NM_052892</t>
  </si>
  <si>
    <t>chr16</t>
  </si>
  <si>
    <t>PLCD3</t>
  </si>
  <si>
    <t>NM_133373</t>
  </si>
  <si>
    <t>PLEKHA2</t>
  </si>
  <si>
    <t>NM_021623</t>
  </si>
  <si>
    <t>PLK1S1</t>
  </si>
  <si>
    <t>NM_001163022</t>
  </si>
  <si>
    <t>NM_001163023</t>
  </si>
  <si>
    <t>NM_018474</t>
  </si>
  <si>
    <t>PNLIPRP2</t>
  </si>
  <si>
    <t>NM_005396</t>
  </si>
  <si>
    <t>PRKDC</t>
  </si>
  <si>
    <t>NM_001081640</t>
  </si>
  <si>
    <t>NM_006904</t>
  </si>
  <si>
    <t>RECQL4</t>
  </si>
  <si>
    <t>NM_004260</t>
  </si>
  <si>
    <t>RHBG</t>
  </si>
  <si>
    <t>NM_001256395</t>
  </si>
  <si>
    <t>chr1</t>
  </si>
  <si>
    <t>NM_001256396</t>
  </si>
  <si>
    <t>NM_020407</t>
  </si>
  <si>
    <t>RYK</t>
  </si>
  <si>
    <t>NM_001005861</t>
  </si>
  <si>
    <t>NM_002958</t>
  </si>
  <si>
    <t>SENP3</t>
  </si>
  <si>
    <t>NM_015670</t>
  </si>
  <si>
    <t>SGK110</t>
  </si>
  <si>
    <t>NM_001199824</t>
  </si>
  <si>
    <t>SLC37A4</t>
  </si>
  <si>
    <t>NM_001164277</t>
  </si>
  <si>
    <t>NM_001164278</t>
  </si>
  <si>
    <t>NM_001164279</t>
  </si>
  <si>
    <t>NM_001164280</t>
  </si>
  <si>
    <t>NM_001467</t>
  </si>
  <si>
    <t>SPON1</t>
  </si>
  <si>
    <t>NM_006108</t>
  </si>
  <si>
    <t>SPPL2B</t>
  </si>
  <si>
    <t>NM_001077238</t>
  </si>
  <si>
    <t>NM_152988</t>
  </si>
  <si>
    <t>SSPO</t>
  </si>
  <si>
    <t>NM_198455</t>
  </si>
  <si>
    <t>SYNM</t>
  </si>
  <si>
    <t>NM_015286</t>
  </si>
  <si>
    <t>NM_145728</t>
  </si>
  <si>
    <t>TEX13A</t>
  </si>
  <si>
    <t>NM_031274</t>
  </si>
  <si>
    <t>TPSB2</t>
  </si>
  <si>
    <t>NM_024164</t>
  </si>
  <si>
    <t>TREH</t>
  </si>
  <si>
    <t>NM_007180</t>
  </si>
  <si>
    <t>TYW1B</t>
  </si>
  <si>
    <t>NM_001145440</t>
  </si>
  <si>
    <t>ZNF187</t>
  </si>
  <si>
    <t>NM_001023560</t>
  </si>
  <si>
    <t>chr6</t>
  </si>
  <si>
    <t>NM_001111039</t>
  </si>
  <si>
    <t>ZNF516</t>
  </si>
  <si>
    <t>NM_014643</t>
  </si>
  <si>
    <t>chr18</t>
  </si>
  <si>
    <t>ZNF518A</t>
  </si>
  <si>
    <t>NM_014803</t>
  </si>
  <si>
    <t>ZNF761</t>
  </si>
  <si>
    <t>NM_001008401</t>
  </si>
  <si>
    <t>NM_000804</t>
  </si>
  <si>
    <t>NM_001001419</t>
  </si>
  <si>
    <t>chr5</t>
  </si>
  <si>
    <t>NM_001001420</t>
  </si>
  <si>
    <t>NM_001005914</t>
  </si>
  <si>
    <t>NM_001010855</t>
  </si>
  <si>
    <t>NM_001013742</t>
  </si>
  <si>
    <t>NM_001030010</t>
  </si>
  <si>
    <t>NM_001039476</t>
  </si>
  <si>
    <t>NM_001048201</t>
  </si>
  <si>
    <t>NM_001077350</t>
  </si>
  <si>
    <t>NM_001110199</t>
  </si>
  <si>
    <t>NM_001170637</t>
  </si>
  <si>
    <t>NM_001243247</t>
  </si>
  <si>
    <t>NM_001243248</t>
  </si>
  <si>
    <t>NM_001243249</t>
  </si>
  <si>
    <t>NM_001271466</t>
  </si>
  <si>
    <t>NM_002426</t>
  </si>
  <si>
    <t>NM_003954</t>
  </si>
  <si>
    <t>NM_004472</t>
  </si>
  <si>
    <t>NM_004636</t>
  </si>
  <si>
    <t>NM_004866</t>
  </si>
  <si>
    <t>NM_004879</t>
  </si>
  <si>
    <t>NM_005671</t>
  </si>
  <si>
    <t>NM_005828</t>
  </si>
  <si>
    <t>NM_005903</t>
  </si>
  <si>
    <t>NM_006158</t>
  </si>
  <si>
    <t>NM_006249</t>
  </si>
  <si>
    <t>chr12</t>
  </si>
  <si>
    <t>NM_006478</t>
  </si>
  <si>
    <t>NM_012314</t>
  </si>
  <si>
    <t>NM_012324</t>
  </si>
  <si>
    <t>NM_013282</t>
  </si>
  <si>
    <t>NM_014249</t>
  </si>
  <si>
    <t>NM_014262</t>
  </si>
  <si>
    <t>NM_015326</t>
  </si>
  <si>
    <t>NM_015584</t>
  </si>
  <si>
    <t>NM_015653</t>
  </si>
  <si>
    <t>NM_016324</t>
  </si>
  <si>
    <t>NM_016325</t>
  </si>
  <si>
    <t>NM_016346</t>
  </si>
  <si>
    <t>NM_019119</t>
  </si>
  <si>
    <t>NM_021729</t>
  </si>
  <si>
    <t>NM_024644</t>
  </si>
  <si>
    <t>NM_030930</t>
  </si>
  <si>
    <t>NM_031945</t>
  </si>
  <si>
    <t>NM_032102</t>
  </si>
  <si>
    <t>NM_032534</t>
  </si>
  <si>
    <t>NM_033401</t>
  </si>
  <si>
    <t>NM_133457</t>
  </si>
  <si>
    <t>NM_133502</t>
  </si>
  <si>
    <t>NM_152236</t>
  </si>
  <si>
    <t>NM_152758</t>
  </si>
  <si>
    <t>NM_152914</t>
  </si>
  <si>
    <t>NM_178167</t>
  </si>
  <si>
    <t>NM_178844</t>
  </si>
  <si>
    <t>NM_181606</t>
  </si>
  <si>
    <t>chr21</t>
  </si>
  <si>
    <t>NM_207411</t>
  </si>
  <si>
    <t>NM_207421</t>
  </si>
  <si>
    <t>NM_001017915</t>
  </si>
  <si>
    <t>NM_001039350</t>
  </si>
  <si>
    <t>NM_001077693</t>
  </si>
  <si>
    <t>NM_001099289</t>
  </si>
  <si>
    <t>NM_001113239</t>
  </si>
  <si>
    <t>NM_001122636</t>
  </si>
  <si>
    <t>NM_001220765</t>
  </si>
  <si>
    <t>NM_001220766</t>
  </si>
  <si>
    <t>NM_001220767</t>
  </si>
  <si>
    <t>NM_001220768</t>
  </si>
  <si>
    <t>NM_001220769</t>
  </si>
  <si>
    <t>NM_001220770</t>
  </si>
  <si>
    <t>NM_001220771</t>
  </si>
  <si>
    <t>NM_001936</t>
  </si>
  <si>
    <t>NM_002929</t>
  </si>
  <si>
    <t>NM_004522</t>
  </si>
  <si>
    <t>NM_005541</t>
  </si>
  <si>
    <t>NM_006060</t>
  </si>
  <si>
    <t>NM_014938</t>
  </si>
  <si>
    <t>NM_022740</t>
  </si>
  <si>
    <t>NM_130797</t>
  </si>
  <si>
    <t>NM_173471</t>
  </si>
  <si>
    <t>第三次修正数目</t>
    <phoneticPr fontId="1" type="noConversion"/>
  </si>
  <si>
    <r>
      <t>5</t>
    </r>
    <r>
      <rPr>
        <sz val="10"/>
        <color theme="1"/>
        <rFont val="宋体"/>
        <family val="3"/>
        <charset val="134"/>
      </rPr>
      <t>、</t>
    </r>
    <r>
      <rPr>
        <sz val="10"/>
        <color rgb="FFFF0000"/>
        <rFont val="宋体"/>
        <family val="3"/>
        <charset val="134"/>
      </rPr>
      <t>部分</t>
    </r>
    <r>
      <rPr>
        <sz val="10"/>
        <color rgb="FFFF0000"/>
        <rFont val="Times New Roman"/>
        <family val="1"/>
      </rPr>
      <t>UTR</t>
    </r>
    <r>
      <rPr>
        <sz val="10"/>
        <color rgb="FFFF0000"/>
        <rFont val="宋体"/>
        <family val="3"/>
        <charset val="134"/>
      </rPr>
      <t>区错误，不影响编码，暂时不解决</t>
    </r>
    <phoneticPr fontId="1" type="noConversion"/>
  </si>
  <si>
    <t>第一次修正数目</t>
    <phoneticPr fontId="1" type="noConversion"/>
  </si>
  <si>
    <t>ALDH3B1</t>
  </si>
  <si>
    <t>ARMC9</t>
  </si>
  <si>
    <t>C14orf169</t>
  </si>
  <si>
    <t>C17orf103</t>
  </si>
  <si>
    <t>CNTNAP4</t>
  </si>
  <si>
    <t>DCAF7</t>
  </si>
  <si>
    <t>DGKK</t>
  </si>
  <si>
    <t>EI24</t>
  </si>
  <si>
    <t>EMID2</t>
  </si>
  <si>
    <t>FOLR3</t>
  </si>
  <si>
    <t>FOXD1</t>
  </si>
  <si>
    <t>GAS2L1</t>
  </si>
  <si>
    <t>KIR2DS4</t>
  </si>
  <si>
    <t>KRBA1</t>
  </si>
  <si>
    <t>KRTAP7-1</t>
  </si>
  <si>
    <t>LEPREL2</t>
  </si>
  <si>
    <t>MAP3K14</t>
  </si>
  <si>
    <t>MAPK8IP2</t>
  </si>
  <si>
    <t>MMP12</t>
  </si>
  <si>
    <t>NEFL</t>
  </si>
  <si>
    <t>NLRC3</t>
  </si>
  <si>
    <t>NPRL3</t>
  </si>
  <si>
    <t>NR2E3</t>
  </si>
  <si>
    <t>PADI6</t>
  </si>
  <si>
    <t>PCDHB9</t>
  </si>
  <si>
    <t>PIK3R6</t>
  </si>
  <si>
    <t>POLDIP2</t>
  </si>
  <si>
    <t>PRB3</t>
  </si>
  <si>
    <t>RIBC2</t>
  </si>
  <si>
    <t>SCAMP1</t>
  </si>
  <si>
    <t>SEMA3B</t>
  </si>
  <si>
    <t>SMAD5</t>
  </si>
  <si>
    <t>SRRM3</t>
  </si>
  <si>
    <t>SRSF8</t>
  </si>
  <si>
    <t>TSPAN10</t>
  </si>
  <si>
    <t>UBXN8</t>
  </si>
  <si>
    <t>UHRF1</t>
  </si>
  <si>
    <t>UNC93B1</t>
  </si>
  <si>
    <t>VPS11</t>
  </si>
  <si>
    <t>XKR5</t>
  </si>
  <si>
    <t>YTHDF3</t>
  </si>
  <si>
    <t>ZNF274</t>
  </si>
  <si>
    <t>ZNF598</t>
  </si>
  <si>
    <t>NM_015658</t>
  </si>
  <si>
    <t>NM_152228</t>
  </si>
  <si>
    <t>NM_033493</t>
  </si>
  <si>
    <t>NM_033492</t>
  </si>
  <si>
    <t>NM_033486</t>
  </si>
  <si>
    <t>NM_033488</t>
  </si>
  <si>
    <t>NM_033489</t>
  </si>
  <si>
    <t>NM_001256947</t>
  </si>
  <si>
    <t>NM_182533</t>
  </si>
  <si>
    <t>NM_001256946</t>
  </si>
  <si>
    <t>NM_024654</t>
  </si>
  <si>
    <t>NM_001286</t>
  </si>
  <si>
    <t>NM_001256959</t>
  </si>
  <si>
    <t>NM_015849</t>
  </si>
  <si>
    <t>NM_017940</t>
  </si>
  <si>
    <t>NM_018125</t>
  </si>
  <si>
    <t>NM_001011722</t>
  </si>
  <si>
    <t>NM_005216</t>
  </si>
  <si>
    <t>NM_016124</t>
  </si>
  <si>
    <t>NM_138616</t>
  </si>
  <si>
    <t>NM_138617</t>
  </si>
  <si>
    <t>NM_138618</t>
  </si>
  <si>
    <t>NM_020485</t>
  </si>
  <si>
    <t>NM_001013642</t>
  </si>
  <si>
    <t>NM_001161708</t>
  </si>
  <si>
    <t>NM_030786</t>
  </si>
  <si>
    <t>NM_145238</t>
  </si>
  <si>
    <t>NM_014571</t>
  </si>
  <si>
    <t>NM_006367</t>
  </si>
  <si>
    <t>NM_001105530</t>
  </si>
  <si>
    <t>XM_002342102</t>
  </si>
  <si>
    <t>NM_001243766</t>
  </si>
  <si>
    <t>NM_017739</t>
  </si>
  <si>
    <t>NM_001039464</t>
  </si>
  <si>
    <t>NM_152607</t>
  </si>
  <si>
    <t>NM_001110533</t>
  </si>
  <si>
    <t>NM_176877</t>
  </si>
  <si>
    <t>NM_001285</t>
  </si>
  <si>
    <t>NM_032270</t>
  </si>
  <si>
    <t>NM_001242810</t>
  </si>
  <si>
    <t>NM_001242805</t>
  </si>
  <si>
    <t>NM_001242806</t>
  </si>
  <si>
    <t>NM_207189</t>
  </si>
  <si>
    <t>NM_001242808</t>
  </si>
  <si>
    <t>NM_001242807</t>
  </si>
  <si>
    <t>NM_001726</t>
  </si>
  <si>
    <t>NM_007358</t>
  </si>
  <si>
    <t>NM_001164392</t>
  </si>
  <si>
    <t>NM_001164391</t>
  </si>
  <si>
    <t>NM_001164393</t>
  </si>
  <si>
    <t>NM_001128142</t>
  </si>
  <si>
    <t>NM_015485</t>
  </si>
  <si>
    <t>NM_001199682</t>
  </si>
  <si>
    <t>NM_000110</t>
  </si>
  <si>
    <t>NM_001160301</t>
  </si>
  <si>
    <t>NM_001918</t>
  </si>
  <si>
    <t>NM_020775</t>
  </si>
  <si>
    <t>NM_001267048</t>
  </si>
  <si>
    <t>NM_000757</t>
  </si>
  <si>
    <t>NM_172211</t>
  </si>
  <si>
    <t>NM_172212</t>
  </si>
  <si>
    <t>NM_172210</t>
  </si>
  <si>
    <t>NM_012411</t>
  </si>
  <si>
    <t>NM_001193431</t>
  </si>
  <si>
    <t>NM_015967</t>
  </si>
  <si>
    <t>NM_004284</t>
  </si>
  <si>
    <t>NM_024568</t>
  </si>
  <si>
    <t>NM_001256336</t>
  </si>
  <si>
    <t>NM_001256337</t>
  </si>
  <si>
    <t>NM_001256338</t>
  </si>
  <si>
    <t>NM_001102663</t>
  </si>
  <si>
    <t>NM_001163258</t>
  </si>
  <si>
    <t>NM_018379</t>
  </si>
  <si>
    <t>NM_001040217</t>
  </si>
  <si>
    <t>NM_001163260</t>
  </si>
  <si>
    <t>NM_001163259</t>
  </si>
  <si>
    <t>NM_182578</t>
  </si>
  <si>
    <t>NM_015841</t>
  </si>
  <si>
    <t>NM_015840</t>
  </si>
  <si>
    <t>NM_001111</t>
  </si>
  <si>
    <t>NM_178229</t>
  </si>
  <si>
    <t>NM_000130</t>
  </si>
  <si>
    <t>NM_024420</t>
  </si>
  <si>
    <t>NM_206933</t>
  </si>
  <si>
    <t>NM_007123</t>
  </si>
  <si>
    <t>NM_138794</t>
  </si>
  <si>
    <t>NM_003268</t>
  </si>
  <si>
    <t>NM_001143962</t>
  </si>
  <si>
    <t>NM_001748</t>
  </si>
  <si>
    <t>NM_001010858</t>
  </si>
  <si>
    <t>NM_001204221</t>
  </si>
  <si>
    <t>NM_020394</t>
  </si>
  <si>
    <t>NM_173858</t>
  </si>
  <si>
    <t>NM_198074</t>
  </si>
  <si>
    <t>NM_001085474</t>
  </si>
  <si>
    <t>NM_005680</t>
  </si>
  <si>
    <t>NM_012344</t>
  </si>
  <si>
    <t>NM_001006946</t>
  </si>
  <si>
    <t>NM_002997</t>
  </si>
  <si>
    <t>NM_000384</t>
  </si>
  <si>
    <t>NM_002254</t>
  </si>
  <si>
    <t>NM_007046</t>
  </si>
  <si>
    <t>NM_032604</t>
  </si>
  <si>
    <t>NM_016252</t>
  </si>
  <si>
    <t>NM_206943</t>
  </si>
  <si>
    <t>NM_000627</t>
  </si>
  <si>
    <t>NM_001166264</t>
  </si>
  <si>
    <t>NM_001166265</t>
  </si>
  <si>
    <t>NM_001166266</t>
  </si>
  <si>
    <t>NM_000104</t>
  </si>
  <si>
    <t>NM_019063</t>
  </si>
  <si>
    <t>NM_001145076</t>
  </si>
  <si>
    <t>NM_014911</t>
  </si>
  <si>
    <t>NM_015717</t>
  </si>
  <si>
    <t>NM_015120</t>
  </si>
  <si>
    <t>NM_016347</t>
  </si>
  <si>
    <t>NM_001206841</t>
  </si>
  <si>
    <t>NM_001206840</t>
  </si>
  <si>
    <t>NM_021088</t>
  </si>
  <si>
    <t>NM_001017396</t>
  </si>
  <si>
    <t>NM_000682</t>
  </si>
  <si>
    <t>NM_002285</t>
  </si>
  <si>
    <t>NM_001025108</t>
  </si>
  <si>
    <t>NM_001145664</t>
  </si>
  <si>
    <t>NM_181453</t>
  </si>
  <si>
    <t>NM_020868</t>
  </si>
  <si>
    <t>NM_001178036</t>
  </si>
  <si>
    <t>NM_001178037</t>
  </si>
  <si>
    <t>NM_001178034</t>
  </si>
  <si>
    <t>NM_001004360</t>
  </si>
  <si>
    <t>NM_001271049</t>
  </si>
  <si>
    <t>NM_207312</t>
  </si>
  <si>
    <t>XM_001724242</t>
  </si>
  <si>
    <t>NM_004543</t>
  </si>
  <si>
    <t>NM_001164508</t>
  </si>
  <si>
    <t>NM_001164507</t>
  </si>
  <si>
    <t>NM_001271208</t>
  </si>
  <si>
    <t>NM_001128212</t>
  </si>
  <si>
    <t>NM_001128213</t>
  </si>
  <si>
    <t>NM_152528</t>
  </si>
  <si>
    <t>NM_002977</t>
  </si>
  <si>
    <t>NM_024770</t>
  </si>
  <si>
    <t>NM_001017371</t>
  </si>
  <si>
    <t>NM_002500</t>
  </si>
  <si>
    <t>NM_002210</t>
  </si>
  <si>
    <t>NM_001145000</t>
  </si>
  <si>
    <t>NM_001144999</t>
  </si>
  <si>
    <t>NM_005795</t>
  </si>
  <si>
    <t>NM_000090</t>
  </si>
  <si>
    <t>NM_019048</t>
  </si>
  <si>
    <t>NM_033066</t>
  </si>
  <si>
    <t>NM_201266</t>
  </si>
  <si>
    <t>NM_003872</t>
  </si>
  <si>
    <t>NM_201279</t>
  </si>
  <si>
    <t>NM_018534</t>
  </si>
  <si>
    <t>NM_201267</t>
  </si>
  <si>
    <t>NM_201264</t>
  </si>
  <si>
    <t>NM_001099334</t>
  </si>
  <si>
    <t>NM_212474</t>
  </si>
  <si>
    <t>NM_212476</t>
  </si>
  <si>
    <t>NM_212478</t>
  </si>
  <si>
    <t>NM_002026</t>
  </si>
  <si>
    <t>NM_212482</t>
  </si>
  <si>
    <t>NM_000597</t>
  </si>
  <si>
    <t>NM_020935</t>
  </si>
  <si>
    <t>NM_015680</t>
  </si>
  <si>
    <t>NM_012100</t>
  </si>
  <si>
    <t>NM_024536</t>
  </si>
  <si>
    <t>NM_001195731</t>
  </si>
  <si>
    <t>NM_052902</t>
  </si>
  <si>
    <t>NM_005070</t>
  </si>
  <si>
    <t>NM_201574</t>
  </si>
  <si>
    <t>NM_004509</t>
  </si>
  <si>
    <t>NM_080424</t>
  </si>
  <si>
    <t>NM_004510</t>
  </si>
  <si>
    <t>NM_025139</t>
  </si>
  <si>
    <t>NM_023083</t>
  </si>
  <si>
    <t>NM_023085</t>
  </si>
  <si>
    <t>NM_005336</t>
  </si>
  <si>
    <t>NM_203346</t>
  </si>
  <si>
    <t>NM_001243900</t>
  </si>
  <si>
    <t>NM_182916</t>
  </si>
  <si>
    <t>NM_153460</t>
  </si>
  <si>
    <t>NM_001203263</t>
  </si>
  <si>
    <t>NM_001203264</t>
  </si>
  <si>
    <t>NM_032732</t>
  </si>
  <si>
    <t>NM_001203265</t>
  </si>
  <si>
    <t>NM_153461</t>
  </si>
  <si>
    <t>NM_015513</t>
  </si>
  <si>
    <t>NM_001031717</t>
  </si>
  <si>
    <t>NM_001077415</t>
  </si>
  <si>
    <t>NM_005126</t>
  </si>
  <si>
    <t>NM_001145425</t>
  </si>
  <si>
    <t>NM_001135602</t>
  </si>
  <si>
    <t>NM_000404</t>
  </si>
  <si>
    <t>NM_001079811</t>
  </si>
  <si>
    <t>XM_001717544</t>
  </si>
  <si>
    <t>NM_001177643</t>
  </si>
  <si>
    <t>NM_001177644</t>
  </si>
  <si>
    <t>NM_001177634</t>
  </si>
  <si>
    <t>NM_001177640</t>
  </si>
  <si>
    <t>NM_001177642</t>
  </si>
  <si>
    <t>NM_001177636</t>
  </si>
  <si>
    <t>NM_001165928</t>
  </si>
  <si>
    <t>NM_001177637</t>
  </si>
  <si>
    <t>NM_001177638</t>
  </si>
  <si>
    <t>NM_001177641</t>
  </si>
  <si>
    <t>NM_004393</t>
  </si>
  <si>
    <t>NM_001177635</t>
  </si>
  <si>
    <t>NM_001177639</t>
  </si>
  <si>
    <t>NM_021971</t>
  </si>
  <si>
    <t>NM_013334</t>
  </si>
  <si>
    <t>NM_001244937</t>
  </si>
  <si>
    <t>NM_002447</t>
  </si>
  <si>
    <t>NM_001171904</t>
  </si>
  <si>
    <t>NM_014703</t>
  </si>
  <si>
    <t>NM_015512</t>
  </si>
  <si>
    <t>NM_007184</t>
  </si>
  <si>
    <t>NM_205853</t>
  </si>
  <si>
    <t>NM_018403</t>
  </si>
  <si>
    <t>NM_015123</t>
  </si>
  <si>
    <t>NM_000158</t>
  </si>
  <si>
    <t>NM_024616</t>
  </si>
  <si>
    <t>NM_181780</t>
  </si>
  <si>
    <t>NM_033364</t>
  </si>
  <si>
    <t>NM_003889</t>
  </si>
  <si>
    <t>NM_033013</t>
  </si>
  <si>
    <t>NM_005335</t>
  </si>
  <si>
    <t>NM_175862</t>
  </si>
  <si>
    <t>NM_001206924</t>
  </si>
  <si>
    <t>NM_001206925</t>
  </si>
  <si>
    <t>NM_006889</t>
  </si>
  <si>
    <t>NM_176892</t>
  </si>
  <si>
    <t>NM_000388</t>
  </si>
  <si>
    <t>NM_001178065</t>
  </si>
  <si>
    <t>NM_033049</t>
  </si>
  <si>
    <t>NM_024628</t>
  </si>
  <si>
    <t>NM_001195483</t>
  </si>
  <si>
    <t>NM_001008486</t>
  </si>
  <si>
    <t>NM_001008485</t>
  </si>
  <si>
    <t>NM_017836</t>
  </si>
  <si>
    <t>NM_001173513</t>
  </si>
  <si>
    <t>NM_052883</t>
  </si>
  <si>
    <t>NM_015103</t>
  </si>
  <si>
    <t>NM_032169</t>
  </si>
  <si>
    <t>NM_001063</t>
  </si>
  <si>
    <t>NM_000096</t>
  </si>
  <si>
    <t>NM_033540</t>
  </si>
  <si>
    <t>NM_001194946</t>
  </si>
  <si>
    <t>NM_198241</t>
  </si>
  <si>
    <t>NM_001194947</t>
  </si>
  <si>
    <t>NM_198244</t>
  </si>
  <si>
    <t>NM_182917</t>
  </si>
  <si>
    <t>NM_001080513</t>
  </si>
  <si>
    <t>NM_001166304</t>
  </si>
  <si>
    <t>NM_017861</t>
  </si>
  <si>
    <t>NM_182524</t>
  </si>
  <si>
    <t>chr4</t>
  </si>
  <si>
    <t>NM_001039127</t>
  </si>
  <si>
    <t>NM_000283</t>
  </si>
  <si>
    <t>NM_001145291</t>
  </si>
  <si>
    <t>NM_001145292</t>
  </si>
  <si>
    <t>NM_001199021</t>
  </si>
  <si>
    <t>NM_001128325</t>
  </si>
  <si>
    <t>NM_012445</t>
  </si>
  <si>
    <t>NM_001168243</t>
  </si>
  <si>
    <t>NM_001141936</t>
  </si>
  <si>
    <t>NM_002111</t>
  </si>
  <si>
    <t>NM_017816</t>
  </si>
  <si>
    <t>NM_001145725</t>
  </si>
  <si>
    <t>NM_018986</t>
  </si>
  <si>
    <t>NM_001014448</t>
  </si>
  <si>
    <t>NM_001014447</t>
  </si>
  <si>
    <t>NM_003652</t>
  </si>
  <si>
    <t>NM_006424</t>
  </si>
  <si>
    <t>NM_001177998</t>
  </si>
  <si>
    <t>NM_001177999</t>
  </si>
  <si>
    <t>NM_001169118</t>
  </si>
  <si>
    <t>NM_001169117</t>
  </si>
  <si>
    <t>NM_020860</t>
  </si>
  <si>
    <t>NM_024677</t>
  </si>
  <si>
    <t>NM_133267</t>
  </si>
  <si>
    <t>NM_001129907</t>
  </si>
  <si>
    <t>NM_002092</t>
  </si>
  <si>
    <t>NM_003715</t>
  </si>
  <si>
    <t>NM_133636</t>
  </si>
  <si>
    <t>NM_144645</t>
  </si>
  <si>
    <t>NM_006457</t>
  </si>
  <si>
    <t>NM_001256426</t>
  </si>
  <si>
    <t>NM_001256427</t>
  </si>
  <si>
    <t>NM_001011513</t>
  </si>
  <si>
    <t>NM_001256425</t>
  </si>
  <si>
    <t>NM_001256428</t>
  </si>
  <si>
    <t>NM_001102470</t>
  </si>
  <si>
    <t>NM_000672</t>
  </si>
  <si>
    <t>NM_000669</t>
  </si>
  <si>
    <t>NM_017935</t>
  </si>
  <si>
    <t>NM_001127507</t>
  </si>
  <si>
    <t>NM_001083907</t>
  </si>
  <si>
    <t>NM_001100874</t>
  </si>
  <si>
    <t>NM_139173</t>
  </si>
  <si>
    <t>NM_001163436</t>
  </si>
  <si>
    <t>NM_033115</t>
  </si>
  <si>
    <t>NM_001163437</t>
  </si>
  <si>
    <t>NM_001163435</t>
  </si>
  <si>
    <t>NM_001184705</t>
  </si>
  <si>
    <t>NM_005327</t>
  </si>
  <si>
    <t>NM_000204</t>
  </si>
  <si>
    <t>NM_152400</t>
  </si>
  <si>
    <t>NM_001128174</t>
  </si>
  <si>
    <t>NM_003360</t>
  </si>
  <si>
    <t>NM_001237</t>
  </si>
  <si>
    <t>NM_002006</t>
  </si>
  <si>
    <t>NM_018717</t>
  </si>
  <si>
    <t>NM_002100</t>
  </si>
  <si>
    <t>NM_173662</t>
  </si>
  <si>
    <t>NM_001083619</t>
  </si>
  <si>
    <t>NM_000826</t>
  </si>
  <si>
    <t>NM_001083620</t>
  </si>
  <si>
    <t>NM_001243374</t>
  </si>
  <si>
    <t>NM_005429</t>
  </si>
  <si>
    <t>NM_018248</t>
  </si>
  <si>
    <t>NM_152683</t>
  </si>
  <si>
    <t>NM_016180</t>
  </si>
  <si>
    <t>NM_001012509</t>
  </si>
  <si>
    <t>NM_198566</t>
  </si>
  <si>
    <t>NM_006144</t>
  </si>
  <si>
    <t>NM_000521</t>
  </si>
  <si>
    <t>NM_006633</t>
  </si>
  <si>
    <t>NM_005242</t>
  </si>
  <si>
    <t>NM_001105251</t>
  </si>
  <si>
    <t>NM_014733</t>
  </si>
  <si>
    <t>NM_203406</t>
  </si>
  <si>
    <t>NM_152548</t>
  </si>
  <si>
    <t>NM_022140</t>
  </si>
  <si>
    <t>NM_152624</t>
  </si>
  <si>
    <t>NM_001242377</t>
  </si>
  <si>
    <t>NM_001085377</t>
  </si>
  <si>
    <t>NM_002387</t>
  </si>
  <si>
    <t>NM_020796</t>
  </si>
  <si>
    <t>NM_001008738</t>
  </si>
  <si>
    <t>NM_133372</t>
  </si>
  <si>
    <t>NM_012159</t>
  </si>
  <si>
    <t>NM_006790</t>
  </si>
  <si>
    <t>NM_139199</t>
  </si>
  <si>
    <t>NM_016604</t>
  </si>
  <si>
    <t>NM_005847</t>
  </si>
  <si>
    <t>NM_152685</t>
  </si>
  <si>
    <t>NM_017706</t>
  </si>
  <si>
    <t>NM_021182</t>
  </si>
  <si>
    <t>NM_152550</t>
  </si>
  <si>
    <t>NM_000024</t>
  </si>
  <si>
    <t>NM_014983</t>
  </si>
  <si>
    <t>NM_003062</t>
  </si>
  <si>
    <t>NM_004395</t>
  </si>
  <si>
    <t>NM_080881</t>
  </si>
  <si>
    <t>NM_006261</t>
  </si>
  <si>
    <t>NM_001264</t>
  </si>
  <si>
    <t>NM_001173531</t>
  </si>
  <si>
    <t>NM_203289</t>
  </si>
  <si>
    <t>NM_000544</t>
  </si>
  <si>
    <t>NM_024165</t>
  </si>
  <si>
    <t>NM_002636</t>
  </si>
  <si>
    <t>NM_003214</t>
  </si>
  <si>
    <t>NM_001243186</t>
  </si>
  <si>
    <t>NM_003192</t>
  </si>
  <si>
    <t>NM_001025366</t>
  </si>
  <si>
    <t>NM_003376</t>
  </si>
  <si>
    <t>NM_001204385</t>
  </si>
  <si>
    <t>NM_001025367</t>
  </si>
  <si>
    <t>NM_001025368</t>
  </si>
  <si>
    <t>NM_001033756</t>
  </si>
  <si>
    <t>NM_001025369</t>
  </si>
  <si>
    <t>NM_001025370</t>
  </si>
  <si>
    <t>NM_001171622</t>
  </si>
  <si>
    <t>NM_020745</t>
  </si>
  <si>
    <t>NM_001145652</t>
  </si>
  <si>
    <t>NM_001704</t>
  </si>
  <si>
    <t>NM_017934</t>
  </si>
  <si>
    <t>NM_012115</t>
  </si>
  <si>
    <t>NM_001137667</t>
  </si>
  <si>
    <t>NM_001137668</t>
  </si>
  <si>
    <t>NM_001624</t>
  </si>
  <si>
    <t>NM_002290</t>
  </si>
  <si>
    <t>NM_001105206</t>
  </si>
  <si>
    <t>NM_001105207</t>
  </si>
  <si>
    <t>NM_000426</t>
  </si>
  <si>
    <t>NM_001079823</t>
  </si>
  <si>
    <t>NM_001901</t>
  </si>
  <si>
    <t>NM_175057</t>
  </si>
  <si>
    <t>NM_078488</t>
  </si>
  <si>
    <t>NM_004665</t>
  </si>
  <si>
    <t>NM_001242350</t>
  </si>
  <si>
    <t>NM_020455</t>
  </si>
  <si>
    <t>NM_198569</t>
  </si>
  <si>
    <t>NM_001032394</t>
  </si>
  <si>
    <t>NM_001032395</t>
  </si>
  <si>
    <t>NM_012454</t>
  </si>
  <si>
    <t>NM_001010927</t>
  </si>
  <si>
    <t>NM_000876</t>
  </si>
  <si>
    <t>NM_005922</t>
  </si>
  <si>
    <t>NM_006724</t>
  </si>
  <si>
    <t>NM_006869</t>
  </si>
  <si>
    <t>NM_173565</t>
  </si>
  <si>
    <t>NM_000535</t>
  </si>
  <si>
    <t>NM_175886</t>
  </si>
  <si>
    <t>NM_022150</t>
  </si>
  <si>
    <t>NM_153620</t>
  </si>
  <si>
    <t>NM_005522</t>
  </si>
  <si>
    <t>NM_014817</t>
  </si>
  <si>
    <t>NM_001161834</t>
  </si>
  <si>
    <t>NM_001220773</t>
  </si>
  <si>
    <t>NM_001220774</t>
  </si>
  <si>
    <t>NM_001220775</t>
  </si>
  <si>
    <t>NM_001220776</t>
  </si>
  <si>
    <t>NM_001220772</t>
  </si>
  <si>
    <t>NM_001082971</t>
  </si>
  <si>
    <t>NM_001242888</t>
  </si>
  <si>
    <t>NM_001242886</t>
  </si>
  <si>
    <t>NM_001242889</t>
  </si>
  <si>
    <t>NM_001242887</t>
  </si>
  <si>
    <t>NM_000790</t>
  </si>
  <si>
    <t>NM_001242890</t>
  </si>
  <si>
    <t>NM_015411</t>
  </si>
  <si>
    <t>NM_001130069</t>
  </si>
  <si>
    <t>NM_001042469</t>
  </si>
  <si>
    <t>NM_001042470</t>
  </si>
  <si>
    <t>NM_006524</t>
  </si>
  <si>
    <t>NM_001145441</t>
  </si>
  <si>
    <t>NM_003388</t>
  </si>
  <si>
    <t>NM_032421</t>
  </si>
  <si>
    <t>NM_031925</t>
  </si>
  <si>
    <t>NM_030570</t>
  </si>
  <si>
    <t>NM_182684</t>
  </si>
  <si>
    <t>NM_001184962</t>
  </si>
  <si>
    <t>NM_173059</t>
  </si>
  <si>
    <t>NM_003386</t>
  </si>
  <si>
    <t>NM_020979</t>
  </si>
  <si>
    <t>NM_001145268</t>
  </si>
  <si>
    <t>NM_001145269</t>
  </si>
  <si>
    <t>NM_001085386</t>
  </si>
  <si>
    <t>NM_199072</t>
  </si>
  <si>
    <t>NM_001166346</t>
  </si>
  <si>
    <t>NM_022742</t>
  </si>
  <si>
    <t>NM_001135914</t>
  </si>
  <si>
    <t>NM_199349</t>
  </si>
  <si>
    <t>NM_012133</t>
  </si>
  <si>
    <t>NM_015135</t>
  </si>
  <si>
    <t>NM_001128619</t>
  </si>
  <si>
    <t>NM_001130966</t>
  </si>
  <si>
    <t>NM_001166254</t>
  </si>
  <si>
    <t>NM_001166253</t>
  </si>
  <si>
    <t>NM_001061</t>
  </si>
  <si>
    <t>NM_030984</t>
  </si>
  <si>
    <t>NM_176817</t>
  </si>
  <si>
    <t>NM_000083</t>
  </si>
  <si>
    <t>NM_001206938</t>
  </si>
  <si>
    <t>NM_014719</t>
  </si>
  <si>
    <t>NM_173681</t>
  </si>
  <si>
    <t>NM_024596</t>
  </si>
  <si>
    <t>NM_001172574</t>
  </si>
  <si>
    <t>NM_001040032</t>
  </si>
  <si>
    <t>NM_001007090</t>
  </si>
  <si>
    <t>NM_006197</t>
  </si>
  <si>
    <t>NM_003841</t>
  </si>
  <si>
    <t>NM_145004</t>
  </si>
  <si>
    <t>NM_020130</t>
  </si>
  <si>
    <t>NM_144651</t>
  </si>
  <si>
    <t>NM_015364</t>
  </si>
  <si>
    <t>NM_001172087</t>
  </si>
  <si>
    <t>NM_001172086</t>
  </si>
  <si>
    <t>NM_001079867</t>
  </si>
  <si>
    <t>NM_000318</t>
  </si>
  <si>
    <t>NM_001099673</t>
  </si>
  <si>
    <t>NM_001099671</t>
  </si>
  <si>
    <t>NM_001099672</t>
  </si>
  <si>
    <t>NM_001099670</t>
  </si>
  <si>
    <t>NM_003184</t>
  </si>
  <si>
    <t>NM_144963</t>
  </si>
  <si>
    <t>NM_002467</t>
  </si>
  <si>
    <t>NM_207414</t>
  </si>
  <si>
    <t>NM_001077527</t>
  </si>
  <si>
    <t>NM_003724</t>
  </si>
  <si>
    <t>NM_032378</t>
  </si>
  <si>
    <t>NM_001130053</t>
  </si>
  <si>
    <t>NM_001261843</t>
  </si>
  <si>
    <t>NM_001082480</t>
  </si>
  <si>
    <t>NM_014789</t>
  </si>
  <si>
    <t>NM_198488</t>
  </si>
  <si>
    <t>NM_015356</t>
  </si>
  <si>
    <t>NM_182706</t>
  </si>
  <si>
    <t>NM_031308</t>
  </si>
  <si>
    <t>NM_001916</t>
  </si>
  <si>
    <t>NM_032450</t>
  </si>
  <si>
    <t>NM_001099280</t>
  </si>
  <si>
    <t>NM_001099281</t>
  </si>
  <si>
    <t>NM_130849</t>
  </si>
  <si>
    <t>NM_017767</t>
  </si>
  <si>
    <t>NM_001001874</t>
  </si>
  <si>
    <t>NM_033516</t>
  </si>
  <si>
    <t>NM_001001875</t>
  </si>
  <si>
    <t>NM_000459</t>
  </si>
  <si>
    <t>NM_004323</t>
  </si>
  <si>
    <t>NM_001197097</t>
  </si>
  <si>
    <t>NM_007343</t>
  </si>
  <si>
    <t>NM_001197098</t>
  </si>
  <si>
    <t>NM_002771</t>
  </si>
  <si>
    <t>NM_020702</t>
  </si>
  <si>
    <t>NM_014806</t>
  </si>
  <si>
    <t>NM_001135999</t>
  </si>
  <si>
    <t>NM_001193335</t>
  </si>
  <si>
    <t>NM_017680</t>
  </si>
  <si>
    <t>NM_001173425</t>
  </si>
  <si>
    <t>NM_015404</t>
  </si>
  <si>
    <t>NM_001083885</t>
  </si>
  <si>
    <t>NM_002077</t>
  </si>
  <si>
    <t>NM_001252021</t>
  </si>
  <si>
    <t>NM_001252018</t>
  </si>
  <si>
    <t>NM_001085347</t>
  </si>
  <si>
    <t>NM_016035</t>
  </si>
  <si>
    <t>NM_032799</t>
  </si>
  <si>
    <t>NM_000755</t>
  </si>
  <si>
    <t>NM_001257363</t>
  </si>
  <si>
    <t>XM_001726942</t>
  </si>
  <si>
    <t>NM_007171</t>
  </si>
  <si>
    <t>NM_001101677</t>
  </si>
  <si>
    <t>NM_001012415</t>
  </si>
  <si>
    <t>NM_212533</t>
  </si>
  <si>
    <t>NM_001606</t>
  </si>
  <si>
    <t>NM_001177317</t>
  </si>
  <si>
    <t>NM_001177316</t>
  </si>
  <si>
    <t>NM_080877</t>
  </si>
  <si>
    <t>NM_001818</t>
  </si>
  <si>
    <t>NM_017782</t>
  </si>
  <si>
    <t>NM_024693</t>
  </si>
  <si>
    <t>NM_018706</t>
  </si>
  <si>
    <t>NM_001008211</t>
  </si>
  <si>
    <t>NM_001008213</t>
  </si>
  <si>
    <t>NM_001008212</t>
  </si>
  <si>
    <t>NM_021980</t>
  </si>
  <si>
    <t>NM_003638</t>
  </si>
  <si>
    <t>NM_001244973</t>
  </si>
  <si>
    <t>NM_001244972</t>
  </si>
  <si>
    <t>NM_003873</t>
  </si>
  <si>
    <t>NM_001024629</t>
  </si>
  <si>
    <t>NM_001024628</t>
  </si>
  <si>
    <t>XM_001714786</t>
  </si>
  <si>
    <t>NM_001018071</t>
  </si>
  <si>
    <t>NM_001042512</t>
  </si>
  <si>
    <t>NM_020984</t>
  </si>
  <si>
    <t>NM_020985</t>
  </si>
  <si>
    <t>NM_020986</t>
  </si>
  <si>
    <t>NM_001142933</t>
  </si>
  <si>
    <t>NM_001142934</t>
  </si>
  <si>
    <t>NM_020549</t>
  </si>
  <si>
    <t>NM_001142929</t>
  </si>
  <si>
    <t>NM_003631</t>
  </si>
  <si>
    <t>NM_199452</t>
  </si>
  <si>
    <t>NM_025130</t>
  </si>
  <si>
    <t>NM_152710</t>
  </si>
  <si>
    <t>NM_001145031</t>
  </si>
  <si>
    <t>NM_002658</t>
  </si>
  <si>
    <t>NM_001127182</t>
  </si>
  <si>
    <t>NM_018131</t>
  </si>
  <si>
    <t>NM_000769</t>
  </si>
  <si>
    <t>NM_015385</t>
  </si>
  <si>
    <t>NM_024991</t>
  </si>
  <si>
    <t>NM_006434</t>
  </si>
  <si>
    <t>NM_001034957</t>
  </si>
  <si>
    <t>NM_001034956</t>
  </si>
  <si>
    <t>NM_001034955</t>
  </si>
  <si>
    <t>NM_001034954</t>
  </si>
  <si>
    <t>NM_001256619</t>
  </si>
  <si>
    <t>NM_138469</t>
  </si>
  <si>
    <t>NM_014472</t>
  </si>
  <si>
    <t>NM_001256621</t>
  </si>
  <si>
    <t>NM_001256620</t>
  </si>
  <si>
    <t>NM_000392</t>
  </si>
  <si>
    <t>NM_003987</t>
  </si>
  <si>
    <t>NM_003990</t>
  </si>
  <si>
    <t>NM_000278</t>
  </si>
  <si>
    <t>NM_003989</t>
  </si>
  <si>
    <t>NM_004248</t>
  </si>
  <si>
    <t>NM_177400</t>
  </si>
  <si>
    <t>NM_003641</t>
  </si>
  <si>
    <t>NM_001012302</t>
  </si>
  <si>
    <t>NM_031264</t>
  </si>
  <si>
    <t>NM_001171968</t>
  </si>
  <si>
    <t>NM_021924</t>
  </si>
  <si>
    <t>NM_002457</t>
  </si>
  <si>
    <t>NM_001012709</t>
  </si>
  <si>
    <t>NM_138567</t>
  </si>
  <si>
    <t>NM_003621</t>
  </si>
  <si>
    <t>NM_001256568</t>
  </si>
  <si>
    <t>NM_001256569</t>
  </si>
  <si>
    <t>NM_001170690</t>
  </si>
  <si>
    <t>NM_020974</t>
  </si>
  <si>
    <t>NM_001100163</t>
  </si>
  <si>
    <t>NM_001042559</t>
  </si>
  <si>
    <t>NM_001418</t>
  </si>
  <si>
    <t>NM_001172705</t>
  </si>
  <si>
    <t>NM_021961</t>
  </si>
  <si>
    <t>NM_001033953</t>
  </si>
  <si>
    <t>NM_001741</t>
  </si>
  <si>
    <t>NM_001033952</t>
  </si>
  <si>
    <t>NM_005013</t>
  </si>
  <si>
    <t>NM_000331</t>
  </si>
  <si>
    <t>NM_001178006</t>
  </si>
  <si>
    <t>NM_199161</t>
  </si>
  <si>
    <t>NM_173588</t>
  </si>
  <si>
    <t>NM_005788</t>
  </si>
  <si>
    <t>NM_001145167</t>
  </si>
  <si>
    <t>NM_001145166</t>
  </si>
  <si>
    <t>NM_000378</t>
  </si>
  <si>
    <t>NM_024424</t>
  </si>
  <si>
    <t>NM_024426</t>
  </si>
  <si>
    <t>NM_024662</t>
  </si>
  <si>
    <t>NM_001144030</t>
  </si>
  <si>
    <t>NM_000448</t>
  </si>
  <si>
    <t>NM_057174</t>
  </si>
  <si>
    <t>NM_004813</t>
  </si>
  <si>
    <t>NM_152264</t>
  </si>
  <si>
    <t>NM_001128225</t>
  </si>
  <si>
    <t>NM_000327</t>
  </si>
  <si>
    <t>NM_001146729</t>
  </si>
  <si>
    <t>NM_001146728</t>
  </si>
  <si>
    <t>NM_054108</t>
  </si>
  <si>
    <t>NM_032344</t>
  </si>
  <si>
    <t>NM_001128613</t>
  </si>
  <si>
    <t>NM_001128612</t>
  </si>
  <si>
    <t>NM_012094</t>
  </si>
  <si>
    <t>NM_181651</t>
  </si>
  <si>
    <t>NM_181652</t>
  </si>
  <si>
    <t>NM_130804</t>
  </si>
  <si>
    <t>NM_130803</t>
  </si>
  <si>
    <t>NM_130802</t>
  </si>
  <si>
    <t>NM_130799</t>
  </si>
  <si>
    <t>NM_000244</t>
  </si>
  <si>
    <t>NM_130801</t>
  </si>
  <si>
    <t>NM_130800</t>
  </si>
  <si>
    <t>NM_001335</t>
  </si>
  <si>
    <t>NM_152762</t>
  </si>
  <si>
    <t>NM_006946</t>
  </si>
  <si>
    <t>NM_014578</t>
  </si>
  <si>
    <t>NM_001031615</t>
  </si>
  <si>
    <t>NM_000695</t>
  </si>
  <si>
    <t>NM_001161473</t>
  </si>
  <si>
    <t>NM_000694</t>
  </si>
  <si>
    <t>NM_017635</t>
  </si>
  <si>
    <t>NM_016028</t>
  </si>
  <si>
    <t>NM_012309</t>
  </si>
  <si>
    <t>NM_007256</t>
  </si>
  <si>
    <t>NM_001145212</t>
  </si>
  <si>
    <t>NM_001145211</t>
  </si>
  <si>
    <t>NM_138706</t>
  </si>
  <si>
    <t>NM_001814</t>
  </si>
  <si>
    <t>NM_001143837</t>
  </si>
  <si>
    <t>NM_001143836</t>
  </si>
  <si>
    <t>NM_016931</t>
  </si>
  <si>
    <t>NM_001077243</t>
  </si>
  <si>
    <t>NM_000829</t>
  </si>
  <si>
    <t>NM_000051</t>
  </si>
  <si>
    <t>NM_015065</t>
  </si>
  <si>
    <t>NM_033425</t>
  </si>
  <si>
    <t>NM_031938</t>
  </si>
  <si>
    <t>NM_001256398</t>
  </si>
  <si>
    <t>NM_001037290</t>
  </si>
  <si>
    <t>NM_001256397</t>
  </si>
  <si>
    <t>NM_001256400</t>
  </si>
  <si>
    <t>NM_001242607</t>
  </si>
  <si>
    <t>NM_181351</t>
  </si>
  <si>
    <t>NM_000615</t>
  </si>
  <si>
    <t>NM_001076682</t>
  </si>
  <si>
    <t>NM_001242608</t>
  </si>
  <si>
    <t>NM_138973</t>
  </si>
  <si>
    <t>NM_138971</t>
  </si>
  <si>
    <t>NM_138972</t>
  </si>
  <si>
    <t>NM_012104</t>
  </si>
  <si>
    <t>NM_001207049</t>
  </si>
  <si>
    <t>NM_001207048</t>
  </si>
  <si>
    <t>NM_019894</t>
  </si>
  <si>
    <t>NM_001083947</t>
  </si>
  <si>
    <t>NM_001173551</t>
  </si>
  <si>
    <t>NM_001173552</t>
  </si>
  <si>
    <t>NM_003105</t>
  </si>
  <si>
    <t>NM_001007277</t>
  </si>
  <si>
    <t>NM_031307</t>
  </si>
  <si>
    <t>NM_014758</t>
  </si>
  <si>
    <t>NM_003213</t>
  </si>
  <si>
    <t>NM_201441</t>
  </si>
  <si>
    <t>NM_000552</t>
  </si>
  <si>
    <t>NM_001242</t>
  </si>
  <si>
    <t>NM_006331</t>
  </si>
  <si>
    <t>NM_174941</t>
  </si>
  <si>
    <t>NM_144670</t>
  </si>
  <si>
    <t>NM_000014</t>
  </si>
  <si>
    <t>NM_016523</t>
  </si>
  <si>
    <t>NM_001114396</t>
  </si>
  <si>
    <t>NM_002262</t>
  </si>
  <si>
    <t>NM_213657</t>
  </si>
  <si>
    <t>NM_213658</t>
  </si>
  <si>
    <t>NM_007328</t>
  </si>
  <si>
    <t>NM_002259</t>
  </si>
  <si>
    <t>NM_005039</t>
  </si>
  <si>
    <t>NM_006143</t>
  </si>
  <si>
    <t>NM_001204101</t>
  </si>
  <si>
    <t>NM_001082973</t>
  </si>
  <si>
    <t>NM_018272</t>
  </si>
  <si>
    <t>NM_001204102</t>
  </si>
  <si>
    <t>NM_177444</t>
  </si>
  <si>
    <t>NM_003622</t>
  </si>
  <si>
    <t>NM_001198916</t>
  </si>
  <si>
    <t>NM_018169</t>
  </si>
  <si>
    <t>NM_001013620</t>
  </si>
  <si>
    <t>NM_198578</t>
  </si>
  <si>
    <t>XM_003846356</t>
  </si>
  <si>
    <t>NM_001098531</t>
  </si>
  <si>
    <t>NM_006105</t>
  </si>
  <si>
    <t>NM_001098532</t>
  </si>
  <si>
    <t>NM_182559</t>
  </si>
  <si>
    <t>NM_021640</t>
  </si>
  <si>
    <t>NM_006741</t>
  </si>
  <si>
    <t>NM_001166279</t>
  </si>
  <si>
    <t>NM_014871</t>
  </si>
  <si>
    <t>NM_001127460</t>
  </si>
  <si>
    <t>NM_207344</t>
  </si>
  <si>
    <t>NM_001111270</t>
  </si>
  <si>
    <t>NM_182947</t>
  </si>
  <si>
    <t>NM_152440</t>
  </si>
  <si>
    <t>NM_001145026</t>
  </si>
  <si>
    <t>NM_003566</t>
  </si>
  <si>
    <t>NM_020698</t>
  </si>
  <si>
    <t>NM_018711</t>
  </si>
  <si>
    <t>NM_006836</t>
  </si>
  <si>
    <t>NM_000545</t>
  </si>
  <si>
    <t>NM_002562</t>
  </si>
  <si>
    <t>NM_032790</t>
  </si>
  <si>
    <t>NM_002150</t>
  </si>
  <si>
    <t>NM_003565</t>
  </si>
  <si>
    <t>NM_000231</t>
  </si>
  <si>
    <t>NM_005932</t>
  </si>
  <si>
    <t>NM_002097</t>
  </si>
  <si>
    <t>NM_001265</t>
  </si>
  <si>
    <t>NM_032849</t>
  </si>
  <si>
    <t>NM_000059</t>
  </si>
  <si>
    <t>NM_031431</t>
  </si>
  <si>
    <t>NM_001164213</t>
  </si>
  <si>
    <t>NM_001164211</t>
  </si>
  <si>
    <t>NM_015116</t>
  </si>
  <si>
    <t>NM_001204425</t>
  </si>
  <si>
    <t>NM_000123</t>
  </si>
  <si>
    <t>NM_000452</t>
  </si>
  <si>
    <t>NM_032572</t>
  </si>
  <si>
    <t>NM_001164815</t>
  </si>
  <si>
    <t>NM_001164814</t>
  </si>
  <si>
    <t>NM_014977</t>
  </si>
  <si>
    <t>NM_004050</t>
  </si>
  <si>
    <t>NM_001199839</t>
  </si>
  <si>
    <t>NM_001199864</t>
  </si>
  <si>
    <t>NM_001048205</t>
  </si>
  <si>
    <t>NM_005132</t>
  </si>
  <si>
    <t>NM_002687</t>
  </si>
  <si>
    <t>NM_004713</t>
  </si>
  <si>
    <t>NM_020921</t>
  </si>
  <si>
    <t>NM_182946</t>
  </si>
  <si>
    <t>NM_182944</t>
  </si>
  <si>
    <t>NM_174978</t>
  </si>
  <si>
    <t>NM_001128596</t>
  </si>
  <si>
    <t>NM_001128595</t>
  </si>
  <si>
    <t>NM_152332</t>
  </si>
  <si>
    <t>NM_001756</t>
  </si>
  <si>
    <t>NM_018036</t>
  </si>
  <si>
    <t>NM_003836</t>
  </si>
  <si>
    <t>NM_175741</t>
  </si>
  <si>
    <t>NM_001211</t>
  </si>
  <si>
    <t>NM_138356</t>
  </si>
  <si>
    <t>NM_016132</t>
  </si>
  <si>
    <t>NM_000138</t>
  </si>
  <si>
    <t>NM_001142495</t>
  </si>
  <si>
    <t>NM_000259</t>
  </si>
  <si>
    <t>NM_003613</t>
  </si>
  <si>
    <t>NM_017858</t>
  </si>
  <si>
    <t>NM_001031715</t>
  </si>
  <si>
    <t>NM_015492</t>
  </si>
  <si>
    <t>NM_004136</t>
  </si>
  <si>
    <t>NM_001267580</t>
  </si>
  <si>
    <t>NM_199413</t>
  </si>
  <si>
    <t>NM_003981</t>
  </si>
  <si>
    <t>NM_020211</t>
  </si>
  <si>
    <t>NM_001166287</t>
  </si>
  <si>
    <t>NM_001166283</t>
  </si>
  <si>
    <t>NM_001166288</t>
  </si>
  <si>
    <t>NM_001166289</t>
  </si>
  <si>
    <t>NM_001166286</t>
  </si>
  <si>
    <t>NM_001040616</t>
  </si>
  <si>
    <t>NM_138321</t>
  </si>
  <si>
    <t>NM_138320</t>
  </si>
  <si>
    <t>NM_012467</t>
  </si>
  <si>
    <t>NM_001099456</t>
  </si>
  <si>
    <t>NM_000296</t>
  </si>
  <si>
    <t>NM_001009944</t>
  </si>
  <si>
    <t>NM_001198536</t>
  </si>
  <si>
    <t>NM_032569</t>
  </si>
  <si>
    <t>NM_002705</t>
  </si>
  <si>
    <t>NM_000246</t>
  </si>
  <si>
    <t>NM_021247</t>
  </si>
  <si>
    <t>NM_001130006</t>
  </si>
  <si>
    <t>NM_002094</t>
  </si>
  <si>
    <t>NM_001171</t>
  </si>
  <si>
    <t>NM_014711</t>
  </si>
  <si>
    <t>NM_001199022</t>
  </si>
  <si>
    <t>NM_001010845</t>
  </si>
  <si>
    <t>NM_130464</t>
  </si>
  <si>
    <t>XM_003403461</t>
  </si>
  <si>
    <t>NM_013302</t>
  </si>
  <si>
    <t>NM_001145545</t>
  </si>
  <si>
    <t>NM_001054</t>
  </si>
  <si>
    <t>NM_177528</t>
  </si>
  <si>
    <t>NM_014298</t>
  </si>
  <si>
    <t>NM_152338</t>
  </si>
  <si>
    <t>NM_014771</t>
  </si>
  <si>
    <t>NM_001207033</t>
  </si>
  <si>
    <t>NM_001207034</t>
  </si>
  <si>
    <t>NM_024706</t>
  </si>
  <si>
    <t>NM_001172670</t>
  </si>
  <si>
    <t>NM_001172669</t>
  </si>
  <si>
    <t>NM_001172668</t>
  </si>
  <si>
    <t>NM_001265588</t>
  </si>
  <si>
    <t>NM_003414</t>
  </si>
  <si>
    <t>NM_024745</t>
  </si>
  <si>
    <t>NM_031885</t>
  </si>
  <si>
    <t>NM_032935</t>
  </si>
  <si>
    <t>NM_176870</t>
  </si>
  <si>
    <t>NM_000339</t>
  </si>
  <si>
    <t>NM_001126108</t>
  </si>
  <si>
    <t>NM_001126107</t>
  </si>
  <si>
    <t>NM_022355</t>
  </si>
  <si>
    <t>NM_181536</t>
  </si>
  <si>
    <t>NM_139353</t>
  </si>
  <si>
    <t>NM_001243156</t>
  </si>
  <si>
    <t>NM_005679</t>
  </si>
  <si>
    <t>NM_013276</t>
  </si>
  <si>
    <t>NM_001014985</t>
  </si>
  <si>
    <t>NM_181844</t>
  </si>
  <si>
    <t>NM_001181</t>
  </si>
  <si>
    <t>NM_080912</t>
  </si>
  <si>
    <t>NM_080914</t>
  </si>
  <si>
    <t>NM_000937</t>
  </si>
  <si>
    <t>NM_001204477</t>
  </si>
  <si>
    <t>NM_178571</t>
  </si>
  <si>
    <t>NM_004140</t>
  </si>
  <si>
    <t>NM_015077</t>
  </si>
  <si>
    <t>NM_001242366</t>
  </si>
  <si>
    <t>NM_080669</t>
  </si>
  <si>
    <t>NM_001145053</t>
  </si>
  <si>
    <t>NM_198529</t>
  </si>
  <si>
    <t>NM_005937</t>
  </si>
  <si>
    <t>NM_001242442</t>
  </si>
  <si>
    <t>NM_000421</t>
  </si>
  <si>
    <t>NM_033062</t>
  </si>
  <si>
    <t>NM_033060</t>
  </si>
  <si>
    <t>NM_002274</t>
  </si>
  <si>
    <t>NM_153490</t>
  </si>
  <si>
    <t>NM_002275</t>
  </si>
  <si>
    <t>NM_000526</t>
  </si>
  <si>
    <t>NM_031421</t>
  </si>
  <si>
    <t>NM_024927</t>
  </si>
  <si>
    <t>NM_173079</t>
  </si>
  <si>
    <t>NM_004160</t>
  </si>
  <si>
    <t>NM_005892</t>
  </si>
  <si>
    <t>NM_001193465</t>
  </si>
  <si>
    <t>NM_015443</t>
  </si>
  <si>
    <t>NM_001193466</t>
  </si>
  <si>
    <t>NM_016428</t>
  </si>
  <si>
    <t>NM_001135186</t>
  </si>
  <si>
    <t>NM_032595</t>
  </si>
  <si>
    <t>NM_000088</t>
  </si>
  <si>
    <t>NM_001038704</t>
  </si>
  <si>
    <t>NM_203425</t>
  </si>
  <si>
    <t>NM_020748</t>
  </si>
  <si>
    <t>NM_000442</t>
  </si>
  <si>
    <t>NM_002737</t>
  </si>
  <si>
    <t>NM_014877</t>
  </si>
  <si>
    <t>NM_017941</t>
  </si>
  <si>
    <t>NM_001100621</t>
  </si>
  <si>
    <t>NM_001100622</t>
  </si>
  <si>
    <t>NM_001204408</t>
  </si>
  <si>
    <t>NM_001204410</t>
  </si>
  <si>
    <t>NM_001143998</t>
  </si>
  <si>
    <t>NM_001039573</t>
  </si>
  <si>
    <t>NM_001143999</t>
  </si>
  <si>
    <t>NM_003003</t>
  </si>
  <si>
    <t>NM_001144001</t>
  </si>
  <si>
    <t>XM_003118748</t>
  </si>
  <si>
    <t>NM_001080519</t>
  </si>
  <si>
    <t>NM_031968</t>
  </si>
  <si>
    <t>NM_130386</t>
  </si>
  <si>
    <t>NM_018439</t>
  </si>
  <si>
    <t>NM_014939</t>
  </si>
  <si>
    <t>NM_012319</t>
  </si>
  <si>
    <t>NM_145055</t>
  </si>
  <si>
    <t>NM_001008239</t>
  </si>
  <si>
    <t>NM_005603</t>
  </si>
  <si>
    <t>NM_080475</t>
  </si>
  <si>
    <t>NM_001093729</t>
  </si>
  <si>
    <t>NM_024781</t>
  </si>
  <si>
    <t>NM_001201465</t>
  </si>
  <si>
    <t>NM_138966</t>
  </si>
  <si>
    <t>NM_032649</t>
  </si>
  <si>
    <t>NM_005317</t>
  </si>
  <si>
    <t>NM_001258351</t>
  </si>
  <si>
    <t>NM_214710</t>
  </si>
  <si>
    <t>NM_002695</t>
  </si>
  <si>
    <t>NM_000479</t>
  </si>
  <si>
    <t>NM_005483</t>
  </si>
  <si>
    <t>NM_001001520</t>
  </si>
  <si>
    <t>NM_032631</t>
  </si>
  <si>
    <t>NM_015015</t>
  </si>
  <si>
    <t>NM_001097641</t>
  </si>
  <si>
    <t>NM_001097640</t>
  </si>
  <si>
    <t>NM_001097639</t>
  </si>
  <si>
    <t>NM_000149</t>
  </si>
  <si>
    <t>NM_030957</t>
  </si>
  <si>
    <t>NM_005815</t>
  </si>
  <si>
    <t>NM_138352</t>
  </si>
  <si>
    <t>NM_023944</t>
  </si>
  <si>
    <t>NM_018467</t>
  </si>
  <si>
    <t>NM_173544</t>
  </si>
  <si>
    <t>NM_001098524</t>
  </si>
  <si>
    <t>NM_005027</t>
  </si>
  <si>
    <t>NM_182515</t>
  </si>
  <si>
    <t>XM_003959954</t>
  </si>
  <si>
    <t>NM_001190347</t>
  </si>
  <si>
    <t>NM_001126056</t>
  </si>
  <si>
    <t>NM_033317</t>
  </si>
  <si>
    <t>NM_001126059</t>
  </si>
  <si>
    <t>NM_001035516</t>
  </si>
  <si>
    <t>NM_019104</t>
  </si>
  <si>
    <t>NM_001042631</t>
  </si>
  <si>
    <t>NM_000762</t>
  </si>
  <si>
    <t>NM_021913</t>
  </si>
  <si>
    <t>NM_001699</t>
  </si>
  <si>
    <t>NM_001098506</t>
  </si>
  <si>
    <t>NM_033543</t>
  </si>
  <si>
    <t>NM_020406</t>
  </si>
  <si>
    <t>NM_006297</t>
  </si>
  <si>
    <t>NM_013359</t>
  </si>
  <si>
    <t>NM_001260486</t>
  </si>
  <si>
    <t>NM_003445</t>
  </si>
  <si>
    <t>NM_001260488</t>
  </si>
  <si>
    <t>NM_198089</t>
  </si>
  <si>
    <t>NM_001260487</t>
  </si>
  <si>
    <t>NM_007056</t>
  </si>
  <si>
    <t>NM_175875</t>
  </si>
  <si>
    <t>NM_001079881</t>
  </si>
  <si>
    <t>NM_001079880</t>
  </si>
  <si>
    <t>NM_016457</t>
  </si>
  <si>
    <t>NM_001079882</t>
  </si>
  <si>
    <t>NM_001736</t>
  </si>
  <si>
    <t>NM_024682</t>
  </si>
  <si>
    <t>NM_001168222</t>
  </si>
  <si>
    <t>NM_007121</t>
  </si>
  <si>
    <t>NM_001256647</t>
  </si>
  <si>
    <t>NM_001244000</t>
  </si>
  <si>
    <t>NM_001077492</t>
  </si>
  <si>
    <t>NM_001077491</t>
  </si>
  <si>
    <t>NM_012427</t>
  </si>
  <si>
    <t>NM_198457</t>
  </si>
  <si>
    <t>NM_031895</t>
  </si>
  <si>
    <t>NM_001256017</t>
  </si>
  <si>
    <t>NM_016363</t>
  </si>
  <si>
    <t>NM_001083899</t>
  </si>
  <si>
    <t>NM_001256715</t>
  </si>
  <si>
    <t>NM_178837</t>
  </si>
  <si>
    <t>NM_001256716</t>
  </si>
  <si>
    <t>NM_001256714</t>
  </si>
  <si>
    <t>NM_001002836</t>
  </si>
  <si>
    <t>NM_001199295</t>
  </si>
  <si>
    <t>NM_153263</t>
  </si>
  <si>
    <t>NM_033089</t>
  </si>
  <si>
    <t>NM_004609</t>
  </si>
  <si>
    <t>NM_004587</t>
  </si>
  <si>
    <t>NM_001042576</t>
  </si>
  <si>
    <t>NM_020536</t>
  </si>
  <si>
    <t>NM_003434</t>
  </si>
  <si>
    <t>NM_001083330</t>
  </si>
  <si>
    <t>NM_001247</t>
  </si>
  <si>
    <t>NM_001114089</t>
  </si>
  <si>
    <t>NM_002110</t>
  </si>
  <si>
    <t>NM_001172130</t>
  </si>
  <si>
    <t>NM_015338</t>
  </si>
  <si>
    <t>NM_020820</t>
  </si>
  <si>
    <t>NM_199203</t>
  </si>
  <si>
    <t>NM_001162505</t>
  </si>
  <si>
    <t>NM_199129</t>
  </si>
  <si>
    <t>NM_080615</t>
  </si>
  <si>
    <t>NM_022082</t>
  </si>
  <si>
    <t>NM_199260</t>
  </si>
  <si>
    <t>NM_199259</t>
  </si>
  <si>
    <t>NM_199261</t>
  </si>
  <si>
    <t>NM_002772</t>
  </si>
  <si>
    <t>NM_017446</t>
  </si>
  <si>
    <t>NM_080794</t>
  </si>
  <si>
    <t>NM_182749</t>
  </si>
  <si>
    <t>NM_013240</t>
  </si>
  <si>
    <t>NM_001162496</t>
  </si>
  <si>
    <t>NM_019596</t>
  </si>
  <si>
    <t>NM_001162495</t>
  </si>
  <si>
    <t>NM_153681</t>
  </si>
  <si>
    <t>NM_007341</t>
  </si>
  <si>
    <t>NM_001199527</t>
  </si>
  <si>
    <t>NM_001199528</t>
  </si>
  <si>
    <t>NM_173568</t>
  </si>
  <si>
    <t>NM_001004416</t>
  </si>
  <si>
    <t>NM_004649</t>
  </si>
  <si>
    <t>NM_198155</t>
  </si>
  <si>
    <t>NM_003307</t>
  </si>
  <si>
    <t>NM_198689</t>
  </si>
  <si>
    <t>NM_130445</t>
  </si>
  <si>
    <t>NM_030582</t>
  </si>
  <si>
    <t>NM_016335</t>
  </si>
  <si>
    <t>NM_001195226</t>
  </si>
  <si>
    <t>NM_000854</t>
  </si>
  <si>
    <t>NM_015330</t>
  </si>
  <si>
    <t>NM_001145468</t>
  </si>
  <si>
    <t>NM_001254732</t>
  </si>
  <si>
    <t>NM_001254733</t>
  </si>
  <si>
    <t>NM_001166019</t>
  </si>
  <si>
    <t>NM_145730</t>
  </si>
  <si>
    <t>NM_001127</t>
  </si>
  <si>
    <t>NM_001017437</t>
  </si>
  <si>
    <t>NM_001082579</t>
  </si>
  <si>
    <t>NM_001082578</t>
  </si>
  <si>
    <t>NM_006386</t>
  </si>
  <si>
    <t>NM_001098504</t>
  </si>
  <si>
    <t>NM_014293</t>
  </si>
  <si>
    <t>NM_004900</t>
  </si>
  <si>
    <t>NM_001270411</t>
  </si>
  <si>
    <t>NM_001025161</t>
  </si>
  <si>
    <t>NM_000106</t>
  </si>
  <si>
    <t>NM_006486</t>
  </si>
  <si>
    <t>NM_006485</t>
  </si>
  <si>
    <t>NM_001996</t>
  </si>
  <si>
    <t>NM_006487</t>
  </si>
  <si>
    <t>NM_017931</t>
  </si>
  <si>
    <t>NM_016426</t>
  </si>
  <si>
    <t>NM_020461</t>
  </si>
  <si>
    <t>NM_016431</t>
  </si>
  <si>
    <t>NM_033517</t>
  </si>
  <si>
    <t>NM_001012288</t>
  </si>
  <si>
    <t>NM_022148</t>
  </si>
  <si>
    <t>NM_001172732</t>
  </si>
  <si>
    <t>NM_021785</t>
  </si>
  <si>
    <t>NM_001172739</t>
  </si>
  <si>
    <t>NM_001172743</t>
  </si>
  <si>
    <t>NM_173699</t>
  </si>
  <si>
    <t>NM_000109</t>
  </si>
  <si>
    <t>NM_004006</t>
  </si>
  <si>
    <t>NM_004009</t>
  </si>
  <si>
    <t>NM_004010</t>
  </si>
  <si>
    <t>NM_004007</t>
  </si>
  <si>
    <t>NM_004011</t>
  </si>
  <si>
    <t>NM_004012</t>
  </si>
  <si>
    <t>NM_004023</t>
  </si>
  <si>
    <t>NM_004020</t>
  </si>
  <si>
    <t>NM_004022</t>
  </si>
  <si>
    <t>NM_004021</t>
  </si>
  <si>
    <t>NM_004013</t>
  </si>
  <si>
    <t>NM_004014</t>
  </si>
  <si>
    <t>NM_017883</t>
  </si>
  <si>
    <t>NM_001166426</t>
  </si>
  <si>
    <t>NM_024859</t>
  </si>
  <si>
    <t>NM_001099681</t>
  </si>
  <si>
    <t>NM_001099682</t>
  </si>
  <si>
    <t>NM_001099680</t>
  </si>
  <si>
    <t>NM_001199687</t>
  </si>
  <si>
    <t>NM_021783</t>
  </si>
  <si>
    <t>NM_001242310</t>
  </si>
  <si>
    <t>NM_153252</t>
  </si>
  <si>
    <t>NM_033048</t>
  </si>
  <si>
    <t>NM_001184771</t>
  </si>
  <si>
    <t>NM_001011657</t>
  </si>
  <si>
    <t>NM_000828</t>
  </si>
  <si>
    <t>NM_007325</t>
  </si>
  <si>
    <t>NM_021946</t>
  </si>
  <si>
    <t>NM_001010986</t>
  </si>
  <si>
    <t>NM_173694</t>
  </si>
  <si>
    <t>NM_001171907</t>
  </si>
  <si>
    <t>NM_178124</t>
  </si>
  <si>
    <t>NM_001171908</t>
  </si>
  <si>
    <t>NM_001171909</t>
  </si>
  <si>
    <t>NM_001174092</t>
  </si>
  <si>
    <t>NM_032508</t>
  </si>
  <si>
    <t>NM_021048</t>
  </si>
  <si>
    <t>NM_001251828</t>
  </si>
  <si>
    <t>NM_001011543</t>
  </si>
  <si>
    <t>NM_003372</t>
  </si>
  <si>
    <t>chrY</t>
  </si>
  <si>
    <t>INPP5D</t>
  </si>
  <si>
    <t>C8orf59</t>
  </si>
  <si>
    <t>CDK11B</t>
  </si>
  <si>
    <t>NBPF1</t>
  </si>
  <si>
    <t>CAPN8</t>
  </si>
  <si>
    <t>ALMS1</t>
  </si>
  <si>
    <t>ZNF2</t>
  </si>
  <si>
    <t>ADRA2B</t>
  </si>
  <si>
    <t>IGFBP2</t>
  </si>
  <si>
    <t>VPRBP</t>
  </si>
  <si>
    <t>DCP1A</t>
  </si>
  <si>
    <t>RYBP</t>
  </si>
  <si>
    <t>MUC13</t>
  </si>
  <si>
    <t>ZNF718</t>
  </si>
  <si>
    <t>HTT</t>
  </si>
  <si>
    <t>USO1</t>
  </si>
  <si>
    <t>MAML3</t>
  </si>
  <si>
    <t>E2F3</t>
  </si>
  <si>
    <t>TRIL</t>
  </si>
  <si>
    <t>SH2B2</t>
  </si>
  <si>
    <t>KCP</t>
  </si>
  <si>
    <t>COPG2</t>
  </si>
  <si>
    <t>HIPK2</t>
  </si>
  <si>
    <t>DPP6</t>
  </si>
  <si>
    <t>EPPK1</t>
  </si>
  <si>
    <t>ASPN</t>
  </si>
  <si>
    <t>PARG</t>
  </si>
  <si>
    <t>PAX2</t>
  </si>
  <si>
    <t>DOCK1</t>
  </si>
  <si>
    <t>MUC2</t>
  </si>
  <si>
    <t>KRTAP5-4</t>
  </si>
  <si>
    <t>B3GNT6</t>
  </si>
  <si>
    <t>KLRF1</t>
  </si>
  <si>
    <t>ORAI1</t>
  </si>
  <si>
    <t>GRK1</t>
  </si>
  <si>
    <t>REC8</t>
  </si>
  <si>
    <t>BCL6B</t>
  </si>
  <si>
    <t>TTC25</t>
  </si>
  <si>
    <t>BAHCC1</t>
  </si>
  <si>
    <t>C18orf25</t>
  </si>
  <si>
    <t>HDGFRP2</t>
  </si>
  <si>
    <t>ZNF714</t>
  </si>
  <si>
    <t>NR1H2</t>
  </si>
  <si>
    <t>ZNF787</t>
  </si>
  <si>
    <t>ZCCHC3</t>
  </si>
  <si>
    <t>KRTAP10-7</t>
  </si>
  <si>
    <t>COL18A1</t>
  </si>
  <si>
    <t>CECR2</t>
  </si>
  <si>
    <t>SAMD11</t>
  </si>
  <si>
    <t>NOC2L</t>
  </si>
  <si>
    <t>TAS1R3</t>
  </si>
  <si>
    <t>C1orf86</t>
  </si>
  <si>
    <t>CLCN6</t>
  </si>
  <si>
    <t>CELA2B</t>
  </si>
  <si>
    <t>ARHGEF10L</t>
  </si>
  <si>
    <t>DDOST</t>
  </si>
  <si>
    <t>RHD</t>
  </si>
  <si>
    <t>RHCE</t>
  </si>
  <si>
    <t>TRNP1</t>
  </si>
  <si>
    <t>SYNC</t>
  </si>
  <si>
    <t>ZSCAN20</t>
  </si>
  <si>
    <t>HEYL</t>
  </si>
  <si>
    <t>POMGNT1</t>
  </si>
  <si>
    <t>HEATR8</t>
  </si>
  <si>
    <t>C1orf177</t>
  </si>
  <si>
    <t>INADL</t>
  </si>
  <si>
    <t>CLCA1</t>
  </si>
  <si>
    <t>LRRC8C</t>
  </si>
  <si>
    <t>BRDT</t>
  </si>
  <si>
    <t>MTF2</t>
  </si>
  <si>
    <t>RWDD3</t>
  </si>
  <si>
    <t>DPYD</t>
  </si>
  <si>
    <t>DBT</t>
  </si>
  <si>
    <t>KIAA1324</t>
  </si>
  <si>
    <t>CSF1</t>
  </si>
  <si>
    <t>PTPN22</t>
  </si>
  <si>
    <t>CHD1L</t>
  </si>
  <si>
    <t>NBPF16</t>
  </si>
  <si>
    <t>FAM63A</t>
  </si>
  <si>
    <t>THEM5</t>
  </si>
  <si>
    <t>ADAR</t>
  </si>
  <si>
    <t>IQGAP3</t>
  </si>
  <si>
    <t>F5</t>
  </si>
  <si>
    <t>PLA2G4A</t>
  </si>
  <si>
    <t>USH2A</t>
  </si>
  <si>
    <t>LYPLAL1</t>
  </si>
  <si>
    <t>TLR5</t>
  </si>
  <si>
    <t>CAPN2</t>
  </si>
  <si>
    <t>RNF187</t>
  </si>
  <si>
    <t>ZNF695</t>
  </si>
  <si>
    <t>VN1R5</t>
  </si>
  <si>
    <t>OR2C3</t>
  </si>
  <si>
    <t>TAF1B</t>
  </si>
  <si>
    <t>NTSR2</t>
  </si>
  <si>
    <t>SDC1</t>
  </si>
  <si>
    <t>KIF3C</t>
  </si>
  <si>
    <t>EMILIN1</t>
  </si>
  <si>
    <t>ABHD1</t>
  </si>
  <si>
    <t>BIRC6</t>
  </si>
  <si>
    <t>LTBP1</t>
  </si>
  <si>
    <t>CYP1B1</t>
  </si>
  <si>
    <t>AAK1</t>
  </si>
  <si>
    <t>CD207</t>
  </si>
  <si>
    <t>TGOLN2</t>
  </si>
  <si>
    <t>AFF3</t>
  </si>
  <si>
    <t>RFX8</t>
  </si>
  <si>
    <t>GCC2</t>
  </si>
  <si>
    <t>DPP10</t>
  </si>
  <si>
    <t>PCDP1</t>
  </si>
  <si>
    <t>TUBA3E</t>
  </si>
  <si>
    <t>NEB</t>
  </si>
  <si>
    <t>WDSUB1</t>
  </si>
  <si>
    <t>SCN9A</t>
  </si>
  <si>
    <t>METTL8</t>
  </si>
  <si>
    <t>SP3</t>
  </si>
  <si>
    <t>NEUROD1</t>
  </si>
  <si>
    <t>ITGAV</t>
  </si>
  <si>
    <t>CALCRL</t>
  </si>
  <si>
    <t>COL3A1</t>
  </si>
  <si>
    <t>ASNSD1</t>
  </si>
  <si>
    <t>MPP4</t>
  </si>
  <si>
    <t>NRP2</t>
  </si>
  <si>
    <t>C2orf80</t>
  </si>
  <si>
    <t>USP37</t>
  </si>
  <si>
    <t>CNPPD1</t>
  </si>
  <si>
    <t>DNPEP</t>
  </si>
  <si>
    <t>CHPF</t>
  </si>
  <si>
    <t>STK11IP</t>
  </si>
  <si>
    <t>SLC4A3</t>
  </si>
  <si>
    <t>CAPN10</t>
  </si>
  <si>
    <t>HDLBP</t>
  </si>
  <si>
    <t>TRNT1</t>
  </si>
  <si>
    <t>IL17RC</t>
  </si>
  <si>
    <t>CRELD1</t>
  </si>
  <si>
    <t>NR1D2</t>
  </si>
  <si>
    <t>GLB1</t>
  </si>
  <si>
    <t>DAG1</t>
  </si>
  <si>
    <t>GMPPB</t>
  </si>
  <si>
    <t>MST1R</t>
  </si>
  <si>
    <t>DNAH1</t>
  </si>
  <si>
    <t>NISCH</t>
  </si>
  <si>
    <t>MUSTN1</t>
  </si>
  <si>
    <t>FRMD4B</t>
  </si>
  <si>
    <t>GBE1</t>
  </si>
  <si>
    <t>C3orf52</t>
  </si>
  <si>
    <t>BTLA</t>
  </si>
  <si>
    <t>MAATS1</t>
  </si>
  <si>
    <t>NR1I2</t>
  </si>
  <si>
    <t>HCLS1</t>
  </si>
  <si>
    <t>CD86</t>
  </si>
  <si>
    <t>CASR</t>
  </si>
  <si>
    <t>SLC41A3</t>
  </si>
  <si>
    <t>TXNRD3</t>
  </si>
  <si>
    <t>ACAD11</t>
  </si>
  <si>
    <t>TF</t>
  </si>
  <si>
    <t>CP</t>
  </si>
  <si>
    <t>MFN1</t>
  </si>
  <si>
    <t>EIF4G1</t>
  </si>
  <si>
    <t>CPN2</t>
  </si>
  <si>
    <t>PIGX</t>
  </si>
  <si>
    <t>PDE6B</t>
  </si>
  <si>
    <t>SPON2</t>
  </si>
  <si>
    <t>C4orf48</t>
  </si>
  <si>
    <t>LYAR</t>
  </si>
  <si>
    <t>SH3TC1</t>
  </si>
  <si>
    <t>CPZ</t>
  </si>
  <si>
    <t>GBA3</t>
  </si>
  <si>
    <t>SLC34A2</t>
  </si>
  <si>
    <t>STIM2</t>
  </si>
  <si>
    <t>NSUN7</t>
  </si>
  <si>
    <t>GSX2</t>
  </si>
  <si>
    <t>TMPRSS11BNL</t>
  </si>
  <si>
    <t>GRSF1</t>
  </si>
  <si>
    <t>HELQ</t>
  </si>
  <si>
    <t>C4orf36</t>
  </si>
  <si>
    <t>PDLIM5</t>
  </si>
  <si>
    <t>ADH6</t>
  </si>
  <si>
    <t>ADH1C</t>
  </si>
  <si>
    <t>BANK1</t>
  </si>
  <si>
    <t>SLC9B1</t>
  </si>
  <si>
    <t>TBCK</t>
  </si>
  <si>
    <t>HADH</t>
  </si>
  <si>
    <t>CFI</t>
  </si>
  <si>
    <t>C4orf32</t>
  </si>
  <si>
    <t>UGT8</t>
  </si>
  <si>
    <t>CCNA2</t>
  </si>
  <si>
    <t>FGF2</t>
  </si>
  <si>
    <t>GYPB</t>
  </si>
  <si>
    <t>RNF175</t>
  </si>
  <si>
    <t>GRIA2</t>
  </si>
  <si>
    <t>CLCN3</t>
  </si>
  <si>
    <t>NEIL3</t>
  </si>
  <si>
    <t>CCDC111</t>
  </si>
  <si>
    <t>SLC45A2</t>
  </si>
  <si>
    <t>C5orf34</t>
  </si>
  <si>
    <t>GZMA</t>
  </si>
  <si>
    <t>HEXB</t>
  </si>
  <si>
    <t>IQGAP2</t>
  </si>
  <si>
    <t>F2RL1</t>
  </si>
  <si>
    <t>MBLAC2</t>
  </si>
  <si>
    <t>FAM81B</t>
  </si>
  <si>
    <t>EPB41L4A</t>
  </si>
  <si>
    <t>DCP2</t>
  </si>
  <si>
    <t>MCC</t>
  </si>
  <si>
    <t>SEMA6A</t>
  </si>
  <si>
    <t>FNIP1</t>
  </si>
  <si>
    <t>FBXL21</t>
  </si>
  <si>
    <t>MYOT</t>
  </si>
  <si>
    <t>BRD8</t>
  </si>
  <si>
    <t>KDM3B</t>
  </si>
  <si>
    <t>SLC23A1</t>
  </si>
  <si>
    <t>WDR55</t>
  </si>
  <si>
    <t>HMHB1</t>
  </si>
  <si>
    <t>SH3RF2</t>
  </si>
  <si>
    <t>HMGXB3</t>
  </si>
  <si>
    <t>SLIT3</t>
  </si>
  <si>
    <t>DBN1</t>
  </si>
  <si>
    <t>PROP1</t>
  </si>
  <si>
    <t>CDSN</t>
  </si>
  <si>
    <t>POU5F1</t>
  </si>
  <si>
    <t>PHF1</t>
  </si>
  <si>
    <t>TEAD3</t>
  </si>
  <si>
    <t>PIM1</t>
  </si>
  <si>
    <t>TBCC</t>
  </si>
  <si>
    <t>VEGFA</t>
  </si>
  <si>
    <t>AARS2</t>
  </si>
  <si>
    <t>C6orf141</t>
  </si>
  <si>
    <t>BAI3</t>
  </si>
  <si>
    <t>PHIP</t>
  </si>
  <si>
    <t>AIM1</t>
  </si>
  <si>
    <t>LAMA4</t>
  </si>
  <si>
    <t>LAMA2</t>
  </si>
  <si>
    <t>CTGF</t>
  </si>
  <si>
    <t>TAAR9</t>
  </si>
  <si>
    <t>VNN2</t>
  </si>
  <si>
    <t>GPR126</t>
  </si>
  <si>
    <t>TIAM2</t>
  </si>
  <si>
    <t>IGF2R</t>
  </si>
  <si>
    <t>MAP3K4</t>
  </si>
  <si>
    <t>ADAP1</t>
  </si>
  <si>
    <t>RSPH10B</t>
  </si>
  <si>
    <t>PMS2</t>
  </si>
  <si>
    <t>PRPS1L1</t>
  </si>
  <si>
    <t>NPVF</t>
  </si>
  <si>
    <t>HOXA1</t>
  </si>
  <si>
    <t>C7orf72</t>
  </si>
  <si>
    <t>DDC</t>
  </si>
  <si>
    <t>SUMF2</t>
  </si>
  <si>
    <t>LOC101060128</t>
  </si>
  <si>
    <t>ZNF138</t>
  </si>
  <si>
    <t>CLIP2</t>
  </si>
  <si>
    <t>TMEM120A</t>
  </si>
  <si>
    <t>UPK3B</t>
  </si>
  <si>
    <t>PEG10</t>
  </si>
  <si>
    <t>FAM185A</t>
  </si>
  <si>
    <t>NFE4</t>
  </si>
  <si>
    <t>MDFIC</t>
  </si>
  <si>
    <t>CCDC136</t>
  </si>
  <si>
    <t>TMEM140</t>
  </si>
  <si>
    <t>NUP205</t>
  </si>
  <si>
    <t>LUZP6</t>
  </si>
  <si>
    <t>TBXAS1</t>
  </si>
  <si>
    <t>TAS2R38</t>
  </si>
  <si>
    <t>CLCN1</t>
  </si>
  <si>
    <t>FAM115A</t>
  </si>
  <si>
    <t>MCPH1</t>
  </si>
  <si>
    <t>C8orf74</t>
  </si>
  <si>
    <t>PCM1</t>
  </si>
  <si>
    <t>TNFRSF10C</t>
  </si>
  <si>
    <t>ADAM32</t>
  </si>
  <si>
    <t>C8orf4</t>
  </si>
  <si>
    <t>PXDNL</t>
  </si>
  <si>
    <t>LY96</t>
  </si>
  <si>
    <t>PEX2</t>
  </si>
  <si>
    <t>TAF2</t>
  </si>
  <si>
    <t>FAM91A1</t>
  </si>
  <si>
    <t>MYC</t>
  </si>
  <si>
    <t>FLJ43860</t>
  </si>
  <si>
    <t>EEF1D</t>
  </si>
  <si>
    <t>ZNF623</t>
  </si>
  <si>
    <t>FAM83H</t>
  </si>
  <si>
    <t>SCRIB</t>
  </si>
  <si>
    <t>CYC1</t>
  </si>
  <si>
    <t>HEATR7A</t>
  </si>
  <si>
    <t>SLC39A4</t>
  </si>
  <si>
    <t>TPD52L3</t>
  </si>
  <si>
    <t>TEK</t>
  </si>
  <si>
    <t>PRSS3</t>
  </si>
  <si>
    <t>KIAA1161</t>
  </si>
  <si>
    <t>RUSC2</t>
  </si>
  <si>
    <t>DFNB31</t>
  </si>
  <si>
    <t>GOLGA1</t>
  </si>
  <si>
    <t>TOR2A</t>
  </si>
  <si>
    <t>COQ4</t>
  </si>
  <si>
    <t>ZDHHC12</t>
  </si>
  <si>
    <t>CRAT</t>
  </si>
  <si>
    <t>HMCN2</t>
  </si>
  <si>
    <t>POMT1</t>
  </si>
  <si>
    <t>SOHLH1</t>
  </si>
  <si>
    <t>ABCA2</t>
  </si>
  <si>
    <t>SLC34A3</t>
  </si>
  <si>
    <t>AKR1C4</t>
  </si>
  <si>
    <t>FAM208B</t>
  </si>
  <si>
    <t>DHTKD1</t>
  </si>
  <si>
    <t>OPTN</t>
  </si>
  <si>
    <t>ITGA8</t>
  </si>
  <si>
    <t>NRP1</t>
  </si>
  <si>
    <t>FRMPD2</t>
  </si>
  <si>
    <t>CHAT</t>
  </si>
  <si>
    <t>ZNF365</t>
  </si>
  <si>
    <t>HKDC1</t>
  </si>
  <si>
    <t>TBATA</t>
  </si>
  <si>
    <t>PLAU</t>
  </si>
  <si>
    <t>CEP55</t>
  </si>
  <si>
    <t>CYP2C19</t>
  </si>
  <si>
    <t>SORBS1</t>
  </si>
  <si>
    <t>R3HCC1L</t>
  </si>
  <si>
    <t>ABCC2</t>
  </si>
  <si>
    <t>PRLHR</t>
  </si>
  <si>
    <t>NKX6-2</t>
  </si>
  <si>
    <t>IFITM1</t>
  </si>
  <si>
    <t>ANO9</t>
  </si>
  <si>
    <t>CDHR5</t>
  </si>
  <si>
    <t>SYT8</t>
  </si>
  <si>
    <t>PPFIBP2</t>
  </si>
  <si>
    <t>SCUBE2</t>
  </si>
  <si>
    <t>MRVI1</t>
  </si>
  <si>
    <t>EIF4G2</t>
  </si>
  <si>
    <t>TEAD1</t>
  </si>
  <si>
    <t>CALCA</t>
  </si>
  <si>
    <t>NUCB2</t>
  </si>
  <si>
    <t>SAA1</t>
  </si>
  <si>
    <t>IGSF22</t>
  </si>
  <si>
    <t>PRMT3</t>
  </si>
  <si>
    <t>WT1</t>
  </si>
  <si>
    <t>NAT10</t>
  </si>
  <si>
    <t>RAG1</t>
  </si>
  <si>
    <t>PEX16</t>
  </si>
  <si>
    <t>SLC39A13</t>
  </si>
  <si>
    <t>ROM1</t>
  </si>
  <si>
    <t>HRASLS5</t>
  </si>
  <si>
    <t>PRDX5</t>
  </si>
  <si>
    <t>MEN1</t>
  </si>
  <si>
    <t>CTSW</t>
  </si>
  <si>
    <t>TSGA10IP</t>
  </si>
  <si>
    <t>SPTBN2</t>
  </si>
  <si>
    <t>RHOD</t>
  </si>
  <si>
    <t>SUV420H1</t>
  </si>
  <si>
    <t>SLCO2B1</t>
  </si>
  <si>
    <t>CTSC</t>
  </si>
  <si>
    <t>NOX4</t>
  </si>
  <si>
    <t>GRIA4</t>
  </si>
  <si>
    <t>ATM</t>
  </si>
  <si>
    <t>EXPH5</t>
  </si>
  <si>
    <t>BCO2</t>
  </si>
  <si>
    <t>BACE1</t>
  </si>
  <si>
    <t>TMPRSS4</t>
  </si>
  <si>
    <t>PUS3</t>
  </si>
  <si>
    <t>SNX19</t>
  </si>
  <si>
    <t>TEAD4</t>
  </si>
  <si>
    <t>VWF</t>
  </si>
  <si>
    <t>CD27</t>
  </si>
  <si>
    <t>CD163L1</t>
  </si>
  <si>
    <t>A2M</t>
  </si>
  <si>
    <t>OVOS</t>
  </si>
  <si>
    <t>KLRD1</t>
  </si>
  <si>
    <t>KLRC1</t>
  </si>
  <si>
    <t>PRB1</t>
  </si>
  <si>
    <t>GPR19</t>
  </si>
  <si>
    <t>CASC1</t>
  </si>
  <si>
    <t>PPFIBP1</t>
  </si>
  <si>
    <t>KIAA1551</t>
  </si>
  <si>
    <t>ALG10B</t>
  </si>
  <si>
    <t>LRRK2</t>
  </si>
  <si>
    <t>RAPGEF3</t>
  </si>
  <si>
    <t>TMPRSS12</t>
  </si>
  <si>
    <t>C12orf10</t>
  </si>
  <si>
    <t>PPP1R1A</t>
  </si>
  <si>
    <t>PAN2</t>
  </si>
  <si>
    <t>SPRYD4</t>
  </si>
  <si>
    <t>ARHGEF25</t>
  </si>
  <si>
    <t>EEA1</t>
  </si>
  <si>
    <t>TMCC3</t>
  </si>
  <si>
    <t>GCN1L1</t>
  </si>
  <si>
    <t>HNF1A</t>
  </si>
  <si>
    <t>P2RX7</t>
  </si>
  <si>
    <t>HPD</t>
  </si>
  <si>
    <t>ULK1</t>
  </si>
  <si>
    <t>SGCG</t>
  </si>
  <si>
    <t>MIPEP</t>
  </si>
  <si>
    <t>GTF3A</t>
  </si>
  <si>
    <t>CDX2</t>
  </si>
  <si>
    <t>MEDAG</t>
  </si>
  <si>
    <t>BRCA2</t>
  </si>
  <si>
    <t>COG3</t>
  </si>
  <si>
    <t>CPB2</t>
  </si>
  <si>
    <t>LRCH1</t>
  </si>
  <si>
    <t>SLC10A2</t>
  </si>
  <si>
    <t>RNASE7</t>
  </si>
  <si>
    <t>ACIN1</t>
  </si>
  <si>
    <t>BCL2L2</t>
  </si>
  <si>
    <t>BCL2L2-PABPN1</t>
  </si>
  <si>
    <t>PNN</t>
  </si>
  <si>
    <t>NEMF</t>
  </si>
  <si>
    <t>C14orf39</t>
  </si>
  <si>
    <t>TC2N</t>
  </si>
  <si>
    <t>SERPINA6</t>
  </si>
  <si>
    <t>ATG2B</t>
  </si>
  <si>
    <t>DLK1</t>
  </si>
  <si>
    <t>C15orf55</t>
  </si>
  <si>
    <t>BUB1B</t>
  </si>
  <si>
    <t>CASC5</t>
  </si>
  <si>
    <t>SHF</t>
  </si>
  <si>
    <t>FBN1</t>
  </si>
  <si>
    <t>MYO5A</t>
  </si>
  <si>
    <t>WDR72</t>
  </si>
  <si>
    <t>CILP</t>
  </si>
  <si>
    <t>TIPIN</t>
  </si>
  <si>
    <t>IQCH</t>
  </si>
  <si>
    <t>PRC1</t>
  </si>
  <si>
    <t>RGMA</t>
  </si>
  <si>
    <t>LINS</t>
  </si>
  <si>
    <t>TPSG1</t>
  </si>
  <si>
    <t>NPW</t>
  </si>
  <si>
    <t>PKD1</t>
  </si>
  <si>
    <t>MEFV</t>
  </si>
  <si>
    <t>GLYR1</t>
  </si>
  <si>
    <t>PPL</t>
  </si>
  <si>
    <t>CIITA</t>
  </si>
  <si>
    <t>GSPT1</t>
  </si>
  <si>
    <t>ABCC6</t>
  </si>
  <si>
    <t>CCP110</t>
  </si>
  <si>
    <t>ACSM2A</t>
  </si>
  <si>
    <t>EEF2K</t>
  </si>
  <si>
    <t>C16orf82</t>
  </si>
  <si>
    <t>SULT1A2</t>
  </si>
  <si>
    <t>QPRT</t>
  </si>
  <si>
    <t>RNF40</t>
  </si>
  <si>
    <t>ZNF668</t>
  </si>
  <si>
    <t>ZNF267</t>
  </si>
  <si>
    <t>SHCBP1</t>
  </si>
  <si>
    <t>BBS2</t>
  </si>
  <si>
    <t>MT1M</t>
  </si>
  <si>
    <t>SLC12A3</t>
  </si>
  <si>
    <t>DPEP2</t>
  </si>
  <si>
    <t>MARVELD3</t>
  </si>
  <si>
    <t>TAF1C</t>
  </si>
  <si>
    <t>SHPK</t>
  </si>
  <si>
    <t>ASGR2</t>
  </si>
  <si>
    <t>POLR2A</t>
  </si>
  <si>
    <t>CDRT4</t>
  </si>
  <si>
    <t>TBC1D26</t>
  </si>
  <si>
    <t>LLGL1</t>
  </si>
  <si>
    <t>EFCAB5</t>
  </si>
  <si>
    <t>MLLT6</t>
  </si>
  <si>
    <t>GRB7</t>
  </si>
  <si>
    <t>KRT10</t>
  </si>
  <si>
    <t>KRTAP4-2</t>
  </si>
  <si>
    <t>KRT13</t>
  </si>
  <si>
    <t>KRT15</t>
  </si>
  <si>
    <t>KRT14</t>
  </si>
  <si>
    <t>PLEKHH3</t>
  </si>
  <si>
    <t>RUNDC1</t>
  </si>
  <si>
    <t>PYY</t>
  </si>
  <si>
    <t>FMNL1</t>
  </si>
  <si>
    <t>KANSL1</t>
  </si>
  <si>
    <t>ABI3</t>
  </si>
  <si>
    <t>COL1A1</t>
  </si>
  <si>
    <t>C17orf47</t>
  </si>
  <si>
    <t>C17orf82</t>
  </si>
  <si>
    <t>INTS2</t>
  </si>
  <si>
    <t>PRKCA</t>
  </si>
  <si>
    <t>HELZ</t>
  </si>
  <si>
    <t>C17orf80</t>
  </si>
  <si>
    <t>SEC14L1</t>
  </si>
  <si>
    <t>LOC100132174</t>
  </si>
  <si>
    <t>COLEC12</t>
  </si>
  <si>
    <t>IMPACT</t>
  </si>
  <si>
    <t>TRAPPC8</t>
  </si>
  <si>
    <t>SLC39A6</t>
  </si>
  <si>
    <t>ATP8B1</t>
  </si>
  <si>
    <t>SERPINB11</t>
  </si>
  <si>
    <t>CCDC102B</t>
  </si>
  <si>
    <t>NETO1</t>
  </si>
  <si>
    <t>CNDP1</t>
  </si>
  <si>
    <t>GZMM</t>
  </si>
  <si>
    <t>PRSS57</t>
  </si>
  <si>
    <t>POLR2E</t>
  </si>
  <si>
    <t>AMH</t>
  </si>
  <si>
    <t>CHAF1A</t>
  </si>
  <si>
    <t>KDM4B</t>
  </si>
  <si>
    <t>ADAMTS10</t>
  </si>
  <si>
    <t>ZNF443</t>
  </si>
  <si>
    <t>USE1</t>
  </si>
  <si>
    <t>FAM129C</t>
  </si>
  <si>
    <t>DMKN</t>
  </si>
  <si>
    <t>LIN37</t>
  </si>
  <si>
    <t>SDHAF1</t>
  </si>
  <si>
    <t>CYP2A6</t>
  </si>
  <si>
    <t>AXL</t>
  </si>
  <si>
    <t>XRCC1</t>
  </si>
  <si>
    <t>ZNF221</t>
  </si>
  <si>
    <t>ZNF155</t>
  </si>
  <si>
    <t>CLASRP</t>
  </si>
  <si>
    <t>SIX5</t>
  </si>
  <si>
    <t>PRKD2</t>
  </si>
  <si>
    <t>TBC1D17</t>
  </si>
  <si>
    <t>SPIB</t>
  </si>
  <si>
    <t>KLK5</t>
  </si>
  <si>
    <t>ZNF600</t>
  </si>
  <si>
    <t>CACNG8</t>
  </si>
  <si>
    <t>GP6</t>
  </si>
  <si>
    <t>DNAAF3</t>
  </si>
  <si>
    <t>ZNF549</t>
  </si>
  <si>
    <t>TCF15</t>
  </si>
  <si>
    <t>RRBP1</t>
  </si>
  <si>
    <t>CSRP2BP</t>
  </si>
  <si>
    <t>ZNF133</t>
  </si>
  <si>
    <t>ENTPD6</t>
  </si>
  <si>
    <t>HCK</t>
  </si>
  <si>
    <t>ASXL1</t>
  </si>
  <si>
    <t>PREX1</t>
  </si>
  <si>
    <t>TMEM189-UBE2V1</t>
  </si>
  <si>
    <t>TMEM189</t>
  </si>
  <si>
    <t>GCNT7</t>
  </si>
  <si>
    <t>SLC17A9</t>
  </si>
  <si>
    <t>TPTE</t>
  </si>
  <si>
    <t>TMPRSS15</t>
  </si>
  <si>
    <t>MRPL39</t>
  </si>
  <si>
    <t>C21orf62</t>
  </si>
  <si>
    <t>PIGP</t>
  </si>
  <si>
    <t>SH3BGR</t>
  </si>
  <si>
    <t>UMODL1</t>
  </si>
  <si>
    <t>C21orf33</t>
  </si>
  <si>
    <t>TRPM2</t>
  </si>
  <si>
    <t>GSTT2</t>
  </si>
  <si>
    <t>SPECC1L</t>
  </si>
  <si>
    <t>AP1B1</t>
  </si>
  <si>
    <t>CCDC157</t>
  </si>
  <si>
    <t>RBFOX2</t>
  </si>
  <si>
    <t>DDX17</t>
  </si>
  <si>
    <t>NPTXR</t>
  </si>
  <si>
    <t>APOBEC3B</t>
  </si>
  <si>
    <t>FBLN1</t>
  </si>
  <si>
    <t>TTC38</t>
  </si>
  <si>
    <t>GTSE1</t>
  </si>
  <si>
    <t>TUBGCP6</t>
  </si>
  <si>
    <t>RAI2</t>
  </si>
  <si>
    <t>MAGEB18</t>
  </si>
  <si>
    <t>DMD</t>
  </si>
  <si>
    <t>WDR13</t>
  </si>
  <si>
    <t>EDA2R</t>
  </si>
  <si>
    <t>BRWD3</t>
  </si>
  <si>
    <t>CPXCR1</t>
  </si>
  <si>
    <t>ZMAT1</t>
  </si>
  <si>
    <t>BCORL1</t>
  </si>
  <si>
    <t>ATP11C</t>
  </si>
  <si>
    <t>CXorf40A</t>
  </si>
  <si>
    <t>TMEM185A</t>
  </si>
  <si>
    <t>MAGEA10</t>
  </si>
  <si>
    <t>VBP1</t>
  </si>
  <si>
    <t>NOL9</t>
  </si>
  <si>
    <t>APOB</t>
  </si>
  <si>
    <t>EML4</t>
  </si>
  <si>
    <t>NAT8B</t>
  </si>
  <si>
    <t>FN1</t>
  </si>
  <si>
    <t>SP110</t>
  </si>
  <si>
    <t>SLC12A8</t>
  </si>
  <si>
    <t>PLXND1</t>
  </si>
  <si>
    <t>VEGFC</t>
  </si>
  <si>
    <t>ZFYVE16</t>
  </si>
  <si>
    <t>ADRB2</t>
  </si>
  <si>
    <t>TAP2</t>
  </si>
  <si>
    <t>CASP8AP2</t>
  </si>
  <si>
    <t>C8orf48</t>
  </si>
  <si>
    <t>BAG1</t>
  </si>
  <si>
    <t>ECHDC3</t>
  </si>
  <si>
    <t>NLRP6</t>
  </si>
  <si>
    <t>NUDT22</t>
  </si>
  <si>
    <t>ALDH3B2</t>
  </si>
  <si>
    <t>SORL1</t>
  </si>
  <si>
    <t>A2ML1</t>
  </si>
  <si>
    <t>C12orf66</t>
  </si>
  <si>
    <t>BIVM-ERCC5</t>
  </si>
  <si>
    <t>ERCC5</t>
  </si>
  <si>
    <t>NIN</t>
  </si>
  <si>
    <t>MYEF2</t>
  </si>
  <si>
    <t>C15orf39</t>
  </si>
  <si>
    <t>IREB2</t>
  </si>
  <si>
    <t>PRM3</t>
  </si>
  <si>
    <t>ZG16</t>
  </si>
  <si>
    <t>MT4</t>
  </si>
  <si>
    <t>GLTPD2</t>
  </si>
  <si>
    <t>NARF</t>
  </si>
  <si>
    <t>FUT3</t>
  </si>
  <si>
    <t>CYP4F12</t>
  </si>
  <si>
    <t>PIK3R2</t>
  </si>
  <si>
    <t>CEACAM21</t>
  </si>
  <si>
    <t>C5AR1</t>
  </si>
  <si>
    <t>N6AMT1</t>
  </si>
  <si>
    <t>PRODH</t>
  </si>
  <si>
    <t>CYP2D6</t>
  </si>
  <si>
    <t>MAGIX</t>
  </si>
  <si>
    <t>OR52N4</t>
  </si>
  <si>
    <t>KRTAP4-1</t>
  </si>
  <si>
    <t>CD177</t>
  </si>
  <si>
    <t>CRLF2</t>
  </si>
  <si>
    <t>CAP1</t>
  </si>
  <si>
    <t>FOXO6</t>
  </si>
  <si>
    <t>NBPF9</t>
  </si>
  <si>
    <t>OAZ3</t>
  </si>
  <si>
    <t>SRGAP2</t>
  </si>
  <si>
    <t>LYPD8</t>
  </si>
  <si>
    <t>KIF5C</t>
  </si>
  <si>
    <t>SYN2</t>
  </si>
  <si>
    <t>PLCL2</t>
  </si>
  <si>
    <t>ZNF852</t>
  </si>
  <si>
    <t>ZNF595</t>
  </si>
  <si>
    <t>ECSCR</t>
  </si>
  <si>
    <t>OFCC1</t>
  </si>
  <si>
    <t>IKZF1</t>
  </si>
  <si>
    <t>ZAN</t>
  </si>
  <si>
    <t>ATG9B</t>
  </si>
  <si>
    <t>JRK</t>
  </si>
  <si>
    <t>AGAP10</t>
  </si>
  <si>
    <t>PPP2R2D</t>
  </si>
  <si>
    <t>MOB2</t>
  </si>
  <si>
    <t>SHANK2</t>
  </si>
  <si>
    <t>NCAM1</t>
  </si>
  <si>
    <t>EMG1</t>
  </si>
  <si>
    <t>C1R</t>
  </si>
  <si>
    <t>MUC19</t>
  </si>
  <si>
    <t>PTPRQ</t>
  </si>
  <si>
    <t>SVOP</t>
  </si>
  <si>
    <t>MLXIP</t>
  </si>
  <si>
    <t>TMEM114</t>
  </si>
  <si>
    <t>NPIPL3</t>
  </si>
  <si>
    <t>61E3.4</t>
  </si>
  <si>
    <t>PKD1L3</t>
  </si>
  <si>
    <t>FAM101B</t>
  </si>
  <si>
    <t>SARM1</t>
  </si>
  <si>
    <t>SLC46A1</t>
  </si>
  <si>
    <t>PPP1R9B</t>
  </si>
  <si>
    <t>OAZ1</t>
  </si>
  <si>
    <t>LOC400682</t>
  </si>
  <si>
    <t>SHANK3</t>
  </si>
  <si>
    <t>GTPBP6</t>
  </si>
  <si>
    <t>FGF16</t>
  </si>
  <si>
    <t>TMEM247</t>
  </si>
  <si>
    <t>TNXB</t>
  </si>
  <si>
    <t>DOC2B</t>
  </si>
  <si>
    <t>ZNF83</t>
  </si>
  <si>
    <t>CDS3_10</t>
  </si>
  <si>
    <t>mRNA</t>
    <phoneticPr fontId="1" type="noConversion"/>
  </si>
  <si>
    <t>chr</t>
    <phoneticPr fontId="1" type="noConversion"/>
  </si>
  <si>
    <t>start</t>
    <phoneticPr fontId="1" type="noConversion"/>
  </si>
  <si>
    <t>gene</t>
    <phoneticPr fontId="1" type="noConversion"/>
  </si>
  <si>
    <t>CDS3_1-9</t>
  </si>
  <si>
    <r>
      <t>915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517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</si>
  <si>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79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48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</si>
  <si>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2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2,</t>
    </r>
    <r>
      <rPr>
        <sz val="10"/>
        <color theme="1"/>
        <rFont val="宋体"/>
        <family val="3"/>
        <charset val="134"/>
      </rPr>
      <t>同基因名</t>
    </r>
    <r>
      <rPr>
        <sz val="10"/>
        <color theme="1"/>
        <rFont val="Times New Roman"/>
        <family val="1"/>
      </rPr>
      <t>XY</t>
    </r>
    <r>
      <rPr>
        <sz val="10"/>
        <color theme="1"/>
        <rFont val="宋体"/>
        <family val="3"/>
        <charset val="134"/>
      </rPr>
      <t>）</t>
    </r>
    <phoneticPr fontId="1" type="noConversion"/>
  </si>
  <si>
    <t>wrongAA</t>
    <phoneticPr fontId="1" type="noConversion"/>
  </si>
  <si>
    <t>combin</t>
    <phoneticPr fontId="1" type="noConversion"/>
  </si>
  <si>
    <t>NM_020469chr9:136130563</t>
  </si>
  <si>
    <t>NM_001077690chr11:111652919</t>
  </si>
  <si>
    <t>NM_024740chr11:111652919</t>
  </si>
  <si>
    <t>NM_001177506chr7:36552549</t>
  </si>
  <si>
    <t>NM_030643chr22:36585176</t>
  </si>
  <si>
    <t>NM_145660chr22:36585176</t>
  </si>
  <si>
    <t>NM_001105520chr17:6555059</t>
  </si>
  <si>
    <t>NM_001039887chr19:36249044</t>
  </si>
  <si>
    <t>NM_152503chr20:35729629</t>
  </si>
  <si>
    <t>NM_213631chr20:35757224</t>
  </si>
  <si>
    <t>NM_213632chr20:35757224</t>
  </si>
  <si>
    <t>NM_001102597chr19:45010211</t>
  </si>
  <si>
    <t>NM_001102598chr19:45010211</t>
  </si>
  <si>
    <t>NM_001102599chr19:45010211</t>
  </si>
  <si>
    <t>NM_001102600chr19:45010211</t>
  </si>
  <si>
    <t>NM_016429chr17:46103533</t>
  </si>
  <si>
    <t>NM_016403chr11:94695787</t>
  </si>
  <si>
    <t>NM_007253chr19:15726029</t>
  </si>
  <si>
    <t>NM_001037954chr11:111807927</t>
  </si>
  <si>
    <t>NM_001145710chr2:24346350</t>
  </si>
  <si>
    <t>NM_001130997chrX:152853383</t>
  </si>
  <si>
    <t>NM_152274chrX:152853383</t>
  </si>
  <si>
    <t>NM_001190467chr19:7933605</t>
  </si>
  <si>
    <t>NM_001135649chr2:88747726</t>
  </si>
  <si>
    <t>NM_145171chr14:63779549</t>
  </si>
  <si>
    <t>NM_001256743chrX:122318096</t>
  </si>
  <si>
    <t>NM_001080423chr3:14530619</t>
  </si>
  <si>
    <t>NM_032855chr19:16244838</t>
  </si>
  <si>
    <t>NM_001134382chr3:12938542</t>
  </si>
  <si>
    <t>NM_030569chr10:7601232</t>
  </si>
  <si>
    <t>NM_032817chr10:7601232</t>
  </si>
  <si>
    <t>NM_002255chr19:55315067</t>
  </si>
  <si>
    <t>NM_001042544chr19:41103141</t>
  </si>
  <si>
    <t>NM_001042545chr19:41107277</t>
  </si>
  <si>
    <t>NM_003573chr19:41099072</t>
  </si>
  <si>
    <t>NM_052886chr8:120220610</t>
  </si>
  <si>
    <t>NM_024302chr17:34092876</t>
  </si>
  <si>
    <t>NM_152720chr13:52706779</t>
  </si>
  <si>
    <t>NM_024815chr8:21964383</t>
  </si>
  <si>
    <t>NM_017570chr8:145106167</t>
  </si>
  <si>
    <t>NM_002570chr15:101844133</t>
  </si>
  <si>
    <t>NM_138319chr15:101844133</t>
  </si>
  <si>
    <t>NM_138322chr15:101923953</t>
  </si>
  <si>
    <t>NM_138323chr15:101886947</t>
  </si>
  <si>
    <t>NM_138324chr15:101886947</t>
  </si>
  <si>
    <t>NM_138325chr15:101905079</t>
  </si>
  <si>
    <t>NM_052892chr16:81134484</t>
  </si>
  <si>
    <t>NM_133373chr17:43189008</t>
  </si>
  <si>
    <t>NM_021623chr8:38758753</t>
  </si>
  <si>
    <t>NM_001163022chr20:21106624</t>
  </si>
  <si>
    <t>NM_001163023chr20:21106624</t>
  </si>
  <si>
    <t>NM_018474chr20:21106624</t>
  </si>
  <si>
    <t>NM_005396chr10:118380465</t>
  </si>
  <si>
    <t>NM_001081640chr8:48685669</t>
  </si>
  <si>
    <t>NM_006904chr8:48685669</t>
  </si>
  <si>
    <t>NM_004260chr8:145736667</t>
  </si>
  <si>
    <t>NM_001256395chr1:156338980</t>
  </si>
  <si>
    <t>NM_001256396chr1:156338980</t>
  </si>
  <si>
    <t>NM_020407chr1:156338980</t>
  </si>
  <si>
    <t>NM_001005861chr3:133875978</t>
  </si>
  <si>
    <t>NM_002958chr3:133875978</t>
  </si>
  <si>
    <t>NM_015670chr17:7465309</t>
  </si>
  <si>
    <t>NM_001199824chr19:56052023</t>
  </si>
  <si>
    <t>NM_001164277chr11:118895061</t>
  </si>
  <si>
    <t>NM_001164278chr11:118895061</t>
  </si>
  <si>
    <t>NM_001164279chr11:118895061</t>
  </si>
  <si>
    <t>NM_001164280chr11:118895061</t>
  </si>
  <si>
    <t>NM_001467chr11:118895061</t>
  </si>
  <si>
    <t>NM_006108chr11:13984184</t>
  </si>
  <si>
    <t>NM_001077238chr19:2328629</t>
  </si>
  <si>
    <t>NM_152988chr19:2328629</t>
  </si>
  <si>
    <t>NM_000348chr2:31749656</t>
  </si>
  <si>
    <t>NM_198455chr7:149473131</t>
  </si>
  <si>
    <t>NM_015286chr15:99645286</t>
  </si>
  <si>
    <t>NM_145728chr15:99645286</t>
  </si>
  <si>
    <t>NM_031274chrX:104463611</t>
  </si>
  <si>
    <t>NM_024164chr16:1278336</t>
  </si>
  <si>
    <t>NM_007180chr11:118528942</t>
  </si>
  <si>
    <t>NM_001145440chr7:72039492</t>
  </si>
  <si>
    <t>NM_001023560chr6:28234788</t>
  </si>
  <si>
    <t>NM_001111039chr6:28234788</t>
  </si>
  <si>
    <t>NM_014643chr18:74069637</t>
  </si>
  <si>
    <t>NM_014803chr10:97889472</t>
  </si>
  <si>
    <t>NM_001008401chr19:53935227</t>
  </si>
  <si>
    <t>NM_001030010chr11:67777790</t>
  </si>
  <si>
    <t>NM_001271466chr2:232063294</t>
  </si>
  <si>
    <t>NM_024644chr14:73957644</t>
  </si>
  <si>
    <t>NM_152914chr17:21142183</t>
  </si>
  <si>
    <t>NM_033401chr16:76311176</t>
  </si>
  <si>
    <t>NM_005828chr17:61627822</t>
  </si>
  <si>
    <t>NM_001013742chrX:50111879</t>
  </si>
  <si>
    <t>NM_004879chr11:125439298</t>
  </si>
  <si>
    <t>NM_133457chr7:101006122</t>
  </si>
  <si>
    <t>NM_000804chr11:71846771</t>
  </si>
  <si>
    <t>NM_004472chr5:72742083</t>
  </si>
  <si>
    <t>NM_006478chr22:29702997</t>
  </si>
  <si>
    <t>NM_152236chr22:29702997</t>
  </si>
  <si>
    <t>NM_012314chr19:55344174</t>
  </si>
  <si>
    <t>NM_032534chr7:149412148</t>
  </si>
  <si>
    <t>NM_181606chr21:32201357</t>
  </si>
  <si>
    <t>NM_014262chr12:6937572</t>
  </si>
  <si>
    <t>NM_003954chr17:43340488</t>
  </si>
  <si>
    <t>NM_012324chr22:51039131</t>
  </si>
  <si>
    <t>NM_002426chr11:102733464</t>
  </si>
  <si>
    <t>NM_006158chr8:24808468</t>
  </si>
  <si>
    <t>NM_178844chr16:3589033</t>
  </si>
  <si>
    <t>NM_001039476chr16:135800</t>
  </si>
  <si>
    <t>NM_001077350chr16:135800</t>
  </si>
  <si>
    <t>NM_001243247chr16:135800</t>
  </si>
  <si>
    <t>NM_001243248chr16:135800</t>
  </si>
  <si>
    <t>NM_001243249chr16:135800</t>
  </si>
  <si>
    <t>NM_014249chr15:72102894</t>
  </si>
  <si>
    <t>NM_016346chr15:72102894</t>
  </si>
  <si>
    <t>NM_207421chr1:17698741</t>
  </si>
  <si>
    <t>NM_019119chr5:140566893</t>
  </si>
  <si>
    <t>NM_001010855chr17:8706055</t>
  </si>
  <si>
    <t>NM_015584chr17:26673659</t>
  </si>
  <si>
    <t>NM_006249chr12:11418857</t>
  </si>
  <si>
    <t>NM_015653chr22:45809574</t>
  </si>
  <si>
    <t>NM_004866chr5:77656339</t>
  </si>
  <si>
    <t>NM_001005914chr3:50305040</t>
  </si>
  <si>
    <t>NM_004636chr3:50305040</t>
  </si>
  <si>
    <t>NM_001001419chr5:135468536</t>
  </si>
  <si>
    <t>NM_001001420chr5:135468536</t>
  </si>
  <si>
    <t>NM_005903chr5:135468536</t>
  </si>
  <si>
    <t>NM_001110199chr7:75831216</t>
  </si>
  <si>
    <t>NM_032102chr11:94800056</t>
  </si>
  <si>
    <t>NM_031945chr17:79609349</t>
  </si>
  <si>
    <t>NM_005671chr8:30601690</t>
  </si>
  <si>
    <t>NM_001048201chr19:4909510</t>
  </si>
  <si>
    <t>NM_013282chr19:4910566</t>
  </si>
  <si>
    <t>NM_030930chr11:67758575</t>
  </si>
  <si>
    <t>NM_021729chr11:118938493</t>
  </si>
  <si>
    <t>NM_207411chr8:6666038</t>
  </si>
  <si>
    <t>NM_152758chr8:64081121</t>
  </si>
  <si>
    <t>NM_016324chr19:58694396</t>
  </si>
  <si>
    <t>NM_016325chr19:58694396</t>
  </si>
  <si>
    <t>NM_133502chr19:58694396</t>
  </si>
  <si>
    <t>NM_178167chr16:2047768</t>
  </si>
  <si>
    <t>NM_001017915chr2:233925036</t>
  </si>
  <si>
    <t>NM_005541chr2:233925036</t>
  </si>
  <si>
    <t>NM_001017915chr2:234054795</t>
  </si>
  <si>
    <t>NM_005541chr2:234054795</t>
  </si>
  <si>
    <t>NM_001099673chr8:86126288</t>
  </si>
  <si>
    <t>NM_001099671chr8:86126288</t>
  </si>
  <si>
    <t>NM_001099672chr8:86126288</t>
  </si>
  <si>
    <t>NM_001099670chr8:86126288</t>
  </si>
  <si>
    <t>NM_033493chr1:1571100</t>
  </si>
  <si>
    <t>NM_033492chr1:1571100</t>
  </si>
  <si>
    <t>NM_033486chr1:1571100</t>
  </si>
  <si>
    <t>NM_033488chr1:1571100</t>
  </si>
  <si>
    <t>NM_033489chr1:1571100</t>
  </si>
  <si>
    <t>NM_017940chr1:16890412</t>
  </si>
  <si>
    <t>NM_001143962chr1:223714972</t>
  </si>
  <si>
    <t>NM_015120chr2:73612886</t>
  </si>
  <si>
    <t>XM_003118862chr2:87991040</t>
  </si>
  <si>
    <t>NM_021088chr2:95831183</t>
  </si>
  <si>
    <t>NM_001017396chr2:95831183</t>
  </si>
  <si>
    <t>NM_000682chr2:96778623</t>
  </si>
  <si>
    <t>XM_001724242chr2:133062580</t>
  </si>
  <si>
    <t>NM_000597chr2:217498127</t>
  </si>
  <si>
    <t>NM_001171904chr3:51433298</t>
  </si>
  <si>
    <t>NM_014703chr3:51433298</t>
  </si>
  <si>
    <t>NM_018403chr3:53317443</t>
  </si>
  <si>
    <t>NM_012234chr3:72423744</t>
  </si>
  <si>
    <t>NM_033049chr3:124624289</t>
  </si>
  <si>
    <t>NM_001039127chr4:124420</t>
  </si>
  <si>
    <t>NM_002111chr4:3076408</t>
  </si>
  <si>
    <t>NM_003715chr4:76649829</t>
  </si>
  <si>
    <t>NM_018717chr4:140637545</t>
  </si>
  <si>
    <t>NM_001243076chr6:20480074</t>
  </si>
  <si>
    <t>NM_001242758chr6:29910247</t>
  </si>
  <si>
    <t>NM_014817chr7:28992974</t>
  </si>
  <si>
    <t>NM_020979chr7:101928405</t>
  </si>
  <si>
    <t>NM_001135914chr7:128516919</t>
  </si>
  <si>
    <t>NM_199349chr7:128530001</t>
  </si>
  <si>
    <t>NM_012133chr7:130146079</t>
  </si>
  <si>
    <t>NM_001113239chr7:139246316</t>
  </si>
  <si>
    <t>NM_022740chr7:139246316</t>
  </si>
  <si>
    <t>NM_001039350chr7:153584419</t>
  </si>
  <si>
    <t>NM_130797chr7:153749777</t>
  </si>
  <si>
    <t>NM_001936chr7:154002347</t>
  </si>
  <si>
    <t>NM_001039350chr7:154400205</t>
  </si>
  <si>
    <t>NM_130797chr7:154429531</t>
  </si>
  <si>
    <t>NM_001936chr7:154429531</t>
  </si>
  <si>
    <t>NM_031308chr8:144939912</t>
  </si>
  <si>
    <t>NM_001193335chr9:95218487</t>
  </si>
  <si>
    <t>NM_017680chr9:95218487</t>
  </si>
  <si>
    <t>NM_003631chr10:51026325</t>
  </si>
  <si>
    <t>NM_003990chr10:102505468</t>
  </si>
  <si>
    <t>NM_003989chr10:102505468</t>
  </si>
  <si>
    <t>NM_001380chr10:128768965</t>
  </si>
  <si>
    <t>NM_002457chr11:1074875</t>
  </si>
  <si>
    <t>NM_001012709chr11:1642188</t>
  </si>
  <si>
    <t>NM_001161473chr11:67776048</t>
  </si>
  <si>
    <t>NM_000694chr11:67777790</t>
  </si>
  <si>
    <t>NM_138706chr11:76745435</t>
  </si>
  <si>
    <t>NM_016523chr12:9980077</t>
  </si>
  <si>
    <t>NM_032790chr12:122064455</t>
  </si>
  <si>
    <t>NM_001122636chr12:132680917</t>
  </si>
  <si>
    <t>NM_002929chr13:114321594</t>
  </si>
  <si>
    <t>NM_002929chr13:114426046</t>
  </si>
  <si>
    <t>NM_001048205chr14:24641234</t>
  </si>
  <si>
    <t>NM_005132chr14:24641234</t>
  </si>
  <si>
    <t>NM_181844chr17:6926369</t>
  </si>
  <si>
    <t>NM_031421chr17:40086888</t>
  </si>
  <si>
    <t>NM_000442chr17:62396775</t>
  </si>
  <si>
    <t>NM_001080519chr17:79373540</t>
  </si>
  <si>
    <t>NM_145055chr18:43753988</t>
  </si>
  <si>
    <t>NM_001008239chr18:43753988</t>
  </si>
  <si>
    <t>NM_001001520chr19:4472255</t>
  </si>
  <si>
    <t>NM_032631chr19:4472255</t>
  </si>
  <si>
    <t>NM_138352chr19:14199229</t>
  </si>
  <si>
    <t>NM_182515chr19:21264953</t>
  </si>
  <si>
    <t>NM_007121chr19:50879680</t>
  </si>
  <si>
    <t>NM_001256647chr19:50879680</t>
  </si>
  <si>
    <t>NM_001002836chr19:56598732</t>
  </si>
  <si>
    <t>NM_033089chr20:278204</t>
  </si>
  <si>
    <t>NM_198689chr21:46020497</t>
  </si>
  <si>
    <t>NM_130445chr21:46825097</t>
  </si>
  <si>
    <t>NM_030582chr21:46875424</t>
  </si>
  <si>
    <t>NM_031413chr22:17956630</t>
  </si>
  <si>
    <t>XM_003846302chr22:18859809</t>
  </si>
  <si>
    <t>NM_152486chr1:861121</t>
  </si>
  <si>
    <t>NM_015658chr1:879583</t>
  </si>
  <si>
    <t>NM_152228chr1:1266726</t>
  </si>
  <si>
    <t>NM_001256945chr1:2115899</t>
  </si>
  <si>
    <t>NM_001256947chr1:2120987</t>
  </si>
  <si>
    <t>NM_182533chr1:2120987</t>
  </si>
  <si>
    <t>NM_001256946chr1:2123334</t>
  </si>
  <si>
    <t>NM_001286chr1:11866153</t>
  </si>
  <si>
    <t>NM_001256959chr1:11866153</t>
  </si>
  <si>
    <t>NM_015849chr1:15802596</t>
  </si>
  <si>
    <t>NM_018125chr1:17866330</t>
  </si>
  <si>
    <t>NM_001011722chr1:17907048</t>
  </si>
  <si>
    <t>NM_005216chr1:20978260</t>
  </si>
  <si>
    <t>NM_016124chr1:25598981</t>
  </si>
  <si>
    <t>NM_138616chr1:25688740</t>
  </si>
  <si>
    <t>NM_138617chr1:25688740</t>
  </si>
  <si>
    <t>NM_138618chr1:25688740</t>
  </si>
  <si>
    <t>NM_020485chr1:25688740</t>
  </si>
  <si>
    <t>NM_001013642chr1:27320195</t>
  </si>
  <si>
    <t>NM_001161708chr1:33145507</t>
  </si>
  <si>
    <t>NM_030786chr1:33145507</t>
  </si>
  <si>
    <t>NM_145238chr1:33938232</t>
  </si>
  <si>
    <t>NM_014571chr1:40089103</t>
  </si>
  <si>
    <t>NM_001243766chr1:46654353</t>
  </si>
  <si>
    <t>NM_017739chr1:46654353</t>
  </si>
  <si>
    <t>NM_001039464chr1:55107427</t>
  </si>
  <si>
    <t>NM_152607chr1:55271736</t>
  </si>
  <si>
    <t>NM_001110533chr1:55271736</t>
  </si>
  <si>
    <t>NM_176877chr1:62208149</t>
  </si>
  <si>
    <t>NM_001285chr1:86934526</t>
  </si>
  <si>
    <t>NM_032270chr1:90098644</t>
  </si>
  <si>
    <t>NM_001242810chr1:92414928</t>
  </si>
  <si>
    <t>NM_001242805chr1:92414928</t>
  </si>
  <si>
    <t>NM_001242806chr1:92414928</t>
  </si>
  <si>
    <t>NM_207189chr1:92414928</t>
  </si>
  <si>
    <t>NM_001242808chr1:92414928</t>
  </si>
  <si>
    <t>NM_001242807chr1:92414928</t>
  </si>
  <si>
    <t>NM_001726chr1:92417709</t>
  </si>
  <si>
    <t>NM_007358chr1:93544792</t>
  </si>
  <si>
    <t>NM_001164392chr1:93544792</t>
  </si>
  <si>
    <t>NM_001164391chr1:93544792</t>
  </si>
  <si>
    <t>NM_001164393chr1:93544792</t>
  </si>
  <si>
    <t>NM_001128142chr1:95699711</t>
  </si>
  <si>
    <t>NM_015485chr1:95699711</t>
  </si>
  <si>
    <t>NM_001199682chr1:95699711</t>
  </si>
  <si>
    <t>NM_000110chr1:97543299</t>
  </si>
  <si>
    <t>NM_001160301chr1:98185314</t>
  </si>
  <si>
    <t>NM_001918chr1:100652478</t>
  </si>
  <si>
    <t>NM_020775chr1:109656585</t>
  </si>
  <si>
    <t>NM_001267048chr1:109656585</t>
  </si>
  <si>
    <t>NM_000757chr1:110453233</t>
  </si>
  <si>
    <t>NM_172211chr1:110453233</t>
  </si>
  <si>
    <t>NM_172212chr1:110453233</t>
  </si>
  <si>
    <t>NM_172210chr1:110453233</t>
  </si>
  <si>
    <t>NM_012411chr1:114356433</t>
  </si>
  <si>
    <t>NM_001193431chr1:114356433</t>
  </si>
  <si>
    <t>NM_015967chr1:114356433</t>
  </si>
  <si>
    <t>NM_004284chr1:146714291</t>
  </si>
  <si>
    <t>NM_024568chr1:146714291</t>
  </si>
  <si>
    <t>NM_001256336chr1:146714291</t>
  </si>
  <si>
    <t>NM_001256337chr1:146714291</t>
  </si>
  <si>
    <t>NM_001256338chr1:146714291</t>
  </si>
  <si>
    <t>NM_001102663chr1:148739442</t>
  </si>
  <si>
    <t>NM_001163258chr1:150969301</t>
  </si>
  <si>
    <t>NM_018379chr1:150969301</t>
  </si>
  <si>
    <t>NM_001040217chr1:150969301</t>
  </si>
  <si>
    <t>NM_001163260chr1:150969301</t>
  </si>
  <si>
    <t>NM_001163259chr1:150969301</t>
  </si>
  <si>
    <t>NM_182578chr1:151819577</t>
  </si>
  <si>
    <t>NM_015841chr1:154554533</t>
  </si>
  <si>
    <t>NM_015840chr1:154554533</t>
  </si>
  <si>
    <t>NM_001111chr1:154554533</t>
  </si>
  <si>
    <t>NM_178229chr1:156495197</t>
  </si>
  <si>
    <t>NM_000130chr1:169481192</t>
  </si>
  <si>
    <t>NM_024420chr1:186798032</t>
  </si>
  <si>
    <t>NM_007123chr1:216347288</t>
  </si>
  <si>
    <t>NM_138794chr1:219347192</t>
  </si>
  <si>
    <t>NM_003268chr1:223282748</t>
  </si>
  <si>
    <t>NM_001748chr1:223900119</t>
  </si>
  <si>
    <t>NM_001010858chr1:228675068</t>
  </si>
  <si>
    <t>NM_001204221chr1:247108849</t>
  </si>
  <si>
    <t>NM_020394chr1:247148625</t>
  </si>
  <si>
    <t>NM_173858chr1:247419374</t>
  </si>
  <si>
    <t>NM_198074chr1:247693434</t>
  </si>
  <si>
    <t>NM_005680chr2:9983571</t>
  </si>
  <si>
    <t>NM_012344chr2:11798304</t>
  </si>
  <si>
    <t>NM_001006946chr2:20400558</t>
  </si>
  <si>
    <t>NM_002997chr2:20400558</t>
  </si>
  <si>
    <t>NM_002254chr2:26149455</t>
  </si>
  <si>
    <t>NM_007046chr2:27301435</t>
  </si>
  <si>
    <t>NM_032604chr2:27346657</t>
  </si>
  <si>
    <t>NM_016252chr2:32582096</t>
  </si>
  <si>
    <t>NM_206943chr2:33172369</t>
  </si>
  <si>
    <t>NM_000627chr2:33359664</t>
  </si>
  <si>
    <t>NM_001166264chr2:33359664</t>
  </si>
  <si>
    <t>NM_001166265chr2:33359664</t>
  </si>
  <si>
    <t>NM_001166266chr2:33359664</t>
  </si>
  <si>
    <t>NM_000104chr2:38294746</t>
  </si>
  <si>
    <t>NM_014911chr2:69685127</t>
  </si>
  <si>
    <t>NM_015717chr2:71057343</t>
  </si>
  <si>
    <t>NM_001206841chr2:85545141</t>
  </si>
  <si>
    <t>NM_001206840chr2:85545141</t>
  </si>
  <si>
    <t>NM_002285chr2:100163715</t>
  </si>
  <si>
    <t>NM_001025108chr2:100163715</t>
  </si>
  <si>
    <t>NM_001145664chr2:102013823</t>
  </si>
  <si>
    <t>NM_181453chr2:109065577</t>
  </si>
  <si>
    <t>NM_020868chr2:115199899</t>
  </si>
  <si>
    <t>NM_001178036chr2:115219180</t>
  </si>
  <si>
    <t>NM_001178037chr2:115822247</t>
  </si>
  <si>
    <t>NM_001178034chr2:115919513</t>
  </si>
  <si>
    <t>NM_001004360chr2:115919684</t>
  </si>
  <si>
    <t>NM_001271049chr2:120302008</t>
  </si>
  <si>
    <t>NM_207312chr2:130949318</t>
  </si>
  <si>
    <t>NM_004543chr2:152341853</t>
  </si>
  <si>
    <t>NM_001164508chr2:152341853</t>
  </si>
  <si>
    <t>NM_001164507chr2:152341853</t>
  </si>
  <si>
    <t>NM_001271208chr2:152341853</t>
  </si>
  <si>
    <t>NM_001128212chr2:160092304</t>
  </si>
  <si>
    <t>NM_001128213chr2:160092304</t>
  </si>
  <si>
    <t>NM_152528chr2:160092304</t>
  </si>
  <si>
    <t>NM_002977chr2:167051695</t>
  </si>
  <si>
    <t>NM_024770chr2:172173912</t>
  </si>
  <si>
    <t>NM_001017371chr2:174771187</t>
  </si>
  <si>
    <t>NM_002500chr2:182540833</t>
  </si>
  <si>
    <t>NM_002210chr2:187454790</t>
  </si>
  <si>
    <t>NM_001145000chr2:187454790</t>
  </si>
  <si>
    <t>NM_001144999chr2:187464932</t>
  </si>
  <si>
    <t>NM_005795chr2:188207846</t>
  </si>
  <si>
    <t>NM_000090chr2:189839099</t>
  </si>
  <si>
    <t>NM_019048chr2:190526125</t>
  </si>
  <si>
    <t>NM_033066chr2:202509597</t>
  </si>
  <si>
    <t>NM_201266chr2:206547224</t>
  </si>
  <si>
    <t>NM_003872chr2:206547224</t>
  </si>
  <si>
    <t>NM_201279chr2:206547224</t>
  </si>
  <si>
    <t>NM_018534chr2:206547224</t>
  </si>
  <si>
    <t>NM_201267chr2:206547224</t>
  </si>
  <si>
    <t>NM_201264chr2:206547224</t>
  </si>
  <si>
    <t>NM_001099334chr2:209030071</t>
  </si>
  <si>
    <t>NM_020935chr2:219314974</t>
  </si>
  <si>
    <t>NM_015680chr2:220036619</t>
  </si>
  <si>
    <t>NM_012100chr2:220238180</t>
  </si>
  <si>
    <t>NM_024536chr2:220403669</t>
  </si>
  <si>
    <t>NM_001195731chr2:220403669</t>
  </si>
  <si>
    <t>NM_052902chr2:220462596</t>
  </si>
  <si>
    <t>NM_005070chr2:220492292</t>
  </si>
  <si>
    <t>NM_201574chr2:220492292</t>
  </si>
  <si>
    <t>NM_025139chr2:232063294</t>
  </si>
  <si>
    <t>NM_023083chr2:241526133</t>
  </si>
  <si>
    <t>NM_023085chr2:241526133</t>
  </si>
  <si>
    <t>NM_005336chr2:242166682</t>
  </si>
  <si>
    <t>NM_203346chr2:242166682</t>
  </si>
  <si>
    <t>NM_001243900chr2:242166682</t>
  </si>
  <si>
    <t>NM_182916chr3:3168600</t>
  </si>
  <si>
    <t>NM_153460chr3:9958758</t>
  </si>
  <si>
    <t>NM_001203263chr3:9958758</t>
  </si>
  <si>
    <t>NM_001203264chr3:9958758</t>
  </si>
  <si>
    <t>NM_032732chr3:9958758</t>
  </si>
  <si>
    <t>NM_001203265chr3:9958758</t>
  </si>
  <si>
    <t>NM_153461chr3:9958782</t>
  </si>
  <si>
    <t>NM_015513chr3:9975524</t>
  </si>
  <si>
    <t>NM_001031717chr3:9975525</t>
  </si>
  <si>
    <t>NM_001077415chr3:9975525</t>
  </si>
  <si>
    <t>NM_005126chr3:23986751</t>
  </si>
  <si>
    <t>NM_001145425chr3:23987612</t>
  </si>
  <si>
    <t>NM_001135602chr3:33038100</t>
  </si>
  <si>
    <t>NM_000404chr3:33038100</t>
  </si>
  <si>
    <t>NM_001079811chr3:33038100</t>
  </si>
  <si>
    <t>NM_001177643chr3:49506136</t>
  </si>
  <si>
    <t>NM_001177644chr3:49507565</t>
  </si>
  <si>
    <t>NM_001177634chr3:49507565</t>
  </si>
  <si>
    <t>NM_001177640chr3:49507565</t>
  </si>
  <si>
    <t>NM_001177642chr3:49507565</t>
  </si>
  <si>
    <t>NM_001177636chr3:49507565</t>
  </si>
  <si>
    <t>NM_001165928chr3:49507565</t>
  </si>
  <si>
    <t>NM_001177637chr3:49507565</t>
  </si>
  <si>
    <t>NM_001177638chr3:49507565</t>
  </si>
  <si>
    <t>NM_001177641chr3:49507565</t>
  </si>
  <si>
    <t>NM_004393chr3:49507565</t>
  </si>
  <si>
    <t>NM_001177635chr3:49507565</t>
  </si>
  <si>
    <t>NM_001177639chr3:49507565</t>
  </si>
  <si>
    <t>NM_021971chr3:49758932</t>
  </si>
  <si>
    <t>NM_013334chr3:49758932</t>
  </si>
  <si>
    <t>NM_001244937chr3:49924435</t>
  </si>
  <si>
    <t>NM_002447chr3:49924435</t>
  </si>
  <si>
    <t>NM_015512chr3:52350335</t>
  </si>
  <si>
    <t>NM_007184chr3:52489524</t>
  </si>
  <si>
    <t>NM_205853chr3:52867131</t>
  </si>
  <si>
    <t>NM_015123chr3:69219146</t>
  </si>
  <si>
    <t>NM_000158chr3:81538850</t>
  </si>
  <si>
    <t>NM_024616chr3:111805182</t>
  </si>
  <si>
    <t>NM_181780chr3:112182813</t>
  </si>
  <si>
    <t>NM_033364chr3:119421869</t>
  </si>
  <si>
    <t>NM_003889chr3:119499331</t>
  </si>
  <si>
    <t>NM_033013chr3:119499331</t>
  </si>
  <si>
    <t>NM_005335chr3:121350246</t>
  </si>
  <si>
    <t>NM_175862chr3:121774209</t>
  </si>
  <si>
    <t>NM_001206924chr3:121774209</t>
  </si>
  <si>
    <t>NM_001206925chr3:121774209</t>
  </si>
  <si>
    <t>NM_006889chr3:121796696</t>
  </si>
  <si>
    <t>NM_176892chr3:121796696</t>
  </si>
  <si>
    <t>NM_000388chr3:121902530</t>
  </si>
  <si>
    <t>NM_001178065chr3:121903181</t>
  </si>
  <si>
    <t>NM_001008486chr3:125725200</t>
  </si>
  <si>
    <t>NM_001008485chr3:125725200</t>
  </si>
  <si>
    <t>NM_017836chr3:125725200</t>
  </si>
  <si>
    <t>NM_001173513chr3:126325895</t>
  </si>
  <si>
    <t>NM_052883chr3:126325895</t>
  </si>
  <si>
    <t>NM_032169chr3:132276982</t>
  </si>
  <si>
    <t>NM_001063chr3:133464977</t>
  </si>
  <si>
    <t>NM_000096chr3:148890286</t>
  </si>
  <si>
    <t>NM_033540chr3:179065480</t>
  </si>
  <si>
    <t>NM_001194946chr3:184032283</t>
  </si>
  <si>
    <t>NM_198241chr3:184032283</t>
  </si>
  <si>
    <t>NM_001194947chr3:184032283</t>
  </si>
  <si>
    <t>NM_198244chr3:184032283</t>
  </si>
  <si>
    <t>NM_182917chr3:184032952</t>
  </si>
  <si>
    <t>NM_001080513chr3:194060494</t>
  </si>
  <si>
    <t>NM_001166304chr3:196439245</t>
  </si>
  <si>
    <t>NM_017861chr3:196439245</t>
  </si>
  <si>
    <t>NM_000283chr4:619363</t>
  </si>
  <si>
    <t>NM_001145291chr4:619363</t>
  </si>
  <si>
    <t>NM_001145292chr4:646966</t>
  </si>
  <si>
    <t>NM_001199021chr4:1160720</t>
  </si>
  <si>
    <t>NM_001128325chr4:1160720</t>
  </si>
  <si>
    <t>NM_012445chr4:1160720</t>
  </si>
  <si>
    <t>NM_001168243chr4:2043720</t>
  </si>
  <si>
    <t>NM_001141936chr4:2043777</t>
  </si>
  <si>
    <t>NM_017816chr4:4269428</t>
  </si>
  <si>
    <t>NM_001145725chr4:4269428</t>
  </si>
  <si>
    <t>NM_018986chr4:8201060</t>
  </si>
  <si>
    <t>NM_001014448chr4:8594387</t>
  </si>
  <si>
    <t>NM_020973chr4:22694548</t>
  </si>
  <si>
    <t>NM_001128432chr4:22694548</t>
  </si>
  <si>
    <t>NM_006424chr4:25657435</t>
  </si>
  <si>
    <t>NM_001177998chr4:25657435</t>
  </si>
  <si>
    <t>NM_001177999chr4:25658086</t>
  </si>
  <si>
    <t>NM_001169118chr4:26862313</t>
  </si>
  <si>
    <t>NM_001169117chr4:26862313</t>
  </si>
  <si>
    <t>NM_020860chr4:26862313</t>
  </si>
  <si>
    <t>NM_024677chr4:40751914</t>
  </si>
  <si>
    <t>NM_133267chr4:54966248</t>
  </si>
  <si>
    <t>NM_001129907chr4:69054242</t>
  </si>
  <si>
    <t>NM_002092chr4:71681499</t>
  </si>
  <si>
    <t>NM_133636chr4:84328499</t>
  </si>
  <si>
    <t>NM_144645chr4:87797358</t>
  </si>
  <si>
    <t>NM_006457chr4:95373008</t>
  </si>
  <si>
    <t>NM_001256426chr4:95373008</t>
  </si>
  <si>
    <t>NM_001256427chr4:95373008</t>
  </si>
  <si>
    <t>NM_001011513chr4:95373008</t>
  </si>
  <si>
    <t>NM_001256425chr4:95373008</t>
  </si>
  <si>
    <t>NM_001256428chr4:95373008</t>
  </si>
  <si>
    <t>NM_001102470chr4:100123795</t>
  </si>
  <si>
    <t>NM_000672chr4:100125879</t>
  </si>
  <si>
    <t>NM_000669chr4:100257649</t>
  </si>
  <si>
    <t>NM_017935chr4:102711764</t>
  </si>
  <si>
    <t>NM_001127507chr4:102711764</t>
  </si>
  <si>
    <t>NM_001083907chr4:102734983</t>
  </si>
  <si>
    <t>NM_001100874chr4:103806205</t>
  </si>
  <si>
    <t>NM_139173chr4:103822085</t>
  </si>
  <si>
    <t>NM_001163436chr4:106967233</t>
  </si>
  <si>
    <t>NM_033115chr4:106967233</t>
  </si>
  <si>
    <t>NM_001163437chr4:106967233</t>
  </si>
  <si>
    <t>NM_001163435chr4:106967233</t>
  </si>
  <si>
    <t>NM_001184705chr4:108910870</t>
  </si>
  <si>
    <t>NM_005327chr4:108910870</t>
  </si>
  <si>
    <t>NM_000204chr4:110661848</t>
  </si>
  <si>
    <t>NM_152400chr4:113066553</t>
  </si>
  <si>
    <t>NM_001128174chr4:115519611</t>
  </si>
  <si>
    <t>NM_003360chr4:115543523</t>
  </si>
  <si>
    <t>NM_001237chr4:122737599</t>
  </si>
  <si>
    <t>NM_002006chr4:123747863</t>
  </si>
  <si>
    <t>NM_002100chr4:144917257</t>
  </si>
  <si>
    <t>NM_173662chr4:154631312</t>
  </si>
  <si>
    <t>NM_001083619chr4:158141736</t>
  </si>
  <si>
    <t>NM_000826chr4:158141736</t>
  </si>
  <si>
    <t>NM_001083620chr4:158141820</t>
  </si>
  <si>
    <t>NM_001243374chr4:170581213</t>
  </si>
  <si>
    <t>NM_018248chr4:178230991</t>
  </si>
  <si>
    <t>NM_152683chr4:185570767</t>
  </si>
  <si>
    <t>NM_016180chr5:33944721</t>
  </si>
  <si>
    <t>NM_001012509chr5:33945971</t>
  </si>
  <si>
    <t>NM_198566chr5:43486803</t>
  </si>
  <si>
    <t>NM_006144chr5:54398474</t>
  </si>
  <si>
    <t>NM_000521chr5:73980969</t>
  </si>
  <si>
    <t>NM_006633chr5:75699149</t>
  </si>
  <si>
    <t>NM_005242chr5:76114833</t>
  </si>
  <si>
    <t>NM_203406chr5:89754020</t>
  </si>
  <si>
    <t>NM_152548chr5:94727048</t>
  </si>
  <si>
    <t>NM_022140chr5:111498315</t>
  </si>
  <si>
    <t>NM_152624chr5:112312407</t>
  </si>
  <si>
    <t>NM_001242377chr5:112312407</t>
  </si>
  <si>
    <t>NM_001085377chr5:112357796</t>
  </si>
  <si>
    <t>NM_002387chr5:112357796</t>
  </si>
  <si>
    <t>NM_020796chr5:115779251</t>
  </si>
  <si>
    <t>NM_001008738chr5:130977407</t>
  </si>
  <si>
    <t>NM_133372chr5:130977407</t>
  </si>
  <si>
    <t>NM_012159chr5:135266006</t>
  </si>
  <si>
    <t>NM_006790chr5:137203545</t>
  </si>
  <si>
    <t>NM_139199chr5:137475459</t>
  </si>
  <si>
    <t>NM_016604chr5:137688285</t>
  </si>
  <si>
    <t>NM_005847chr5:138702885</t>
  </si>
  <si>
    <t>NM_152685chr5:138702885</t>
  </si>
  <si>
    <t>NM_017706chr5:140044384</t>
  </si>
  <si>
    <t>NM_021182chr5:143191726</t>
  </si>
  <si>
    <t>NM_152550chr5:145316126</t>
  </si>
  <si>
    <t>NM_014983chr5:149380169</t>
  </si>
  <si>
    <t>NM_003062chr5:168093071</t>
  </si>
  <si>
    <t>NM_004395chr5:176883614</t>
  </si>
  <si>
    <t>NM_080881chr5:176883614</t>
  </si>
  <si>
    <t>NM_006261chr5:177419236</t>
  </si>
  <si>
    <t>NM_001264chr6:31082865</t>
  </si>
  <si>
    <t>NM_001173531chr6:31132114</t>
  </si>
  <si>
    <t>NM_203289chr6:31132114</t>
  </si>
  <si>
    <t>NM_024165chr6:33378773</t>
  </si>
  <si>
    <t>NM_002636chr6:33378773</t>
  </si>
  <si>
    <t>NM_003214chr6:35441374</t>
  </si>
  <si>
    <t>NM_001243186chr6:37137922</t>
  </si>
  <si>
    <t>NM_003192chr6:42712234</t>
  </si>
  <si>
    <t>NM_001025366chr6:43737946</t>
  </si>
  <si>
    <t>NM_003376chr6:43737946</t>
  </si>
  <si>
    <t>NM_001204385chr6:43737946</t>
  </si>
  <si>
    <t>NM_001025367chr6:43737946</t>
  </si>
  <si>
    <t>NM_001025368chr6:43737946</t>
  </si>
  <si>
    <t>NM_001033756chr6:43737946</t>
  </si>
  <si>
    <t>NM_001025369chr6:43737946</t>
  </si>
  <si>
    <t>NM_001025370chr6:43737946</t>
  </si>
  <si>
    <t>NM_001171622chr6:43737946</t>
  </si>
  <si>
    <t>NM_020745chr6:44266463</t>
  </si>
  <si>
    <t>NM_001145652chr6:49518113</t>
  </si>
  <si>
    <t>NM_001704chr6:69345632</t>
  </si>
  <si>
    <t>NM_017934chr6:79644136</t>
  </si>
  <si>
    <t>NM_001624chr6:106959730</t>
  </si>
  <si>
    <t>NM_002290chr6:112429134</t>
  </si>
  <si>
    <t>NM_001105206chr6:112429134</t>
  </si>
  <si>
    <t>NM_001105207chr6:112429134</t>
  </si>
  <si>
    <t>NM_000426chr6:129204286</t>
  </si>
  <si>
    <t>NM_001079823chr6:129204286</t>
  </si>
  <si>
    <t>NM_001901chr6:132269316</t>
  </si>
  <si>
    <t>NM_175057chr6:132859427</t>
  </si>
  <si>
    <t>NM_078488chr6:133065009</t>
  </si>
  <si>
    <t>NM_004665chr6:133065009</t>
  </si>
  <si>
    <t>NM_001242350chr6:133065009</t>
  </si>
  <si>
    <t>NM_020455chr6:142623056</t>
  </si>
  <si>
    <t>NM_198569chr6:142623056</t>
  </si>
  <si>
    <t>NM_001032394chr6:142623056</t>
  </si>
  <si>
    <t>NM_001032395chr6:142623056</t>
  </si>
  <si>
    <t>NM_012454chr6:155411423</t>
  </si>
  <si>
    <t>NM_001010927chr6:155538097</t>
  </si>
  <si>
    <t>NM_000876chr6:160390131</t>
  </si>
  <si>
    <t>NM_005922chr6:161412822</t>
  </si>
  <si>
    <t>NM_006724chr6:161412822</t>
  </si>
  <si>
    <t>NM_006869chr7:937537</t>
  </si>
  <si>
    <t>NM_173565chr7:5965777</t>
  </si>
  <si>
    <t>NM_000535chr7:6012870</t>
  </si>
  <si>
    <t>NM_175886chr7:18066397</t>
  </si>
  <si>
    <t>NM_022150chr7:25264189</t>
  </si>
  <si>
    <t>NM_153620chr7:27132612</t>
  </si>
  <si>
    <t>NM_005522chr7:27132612</t>
  </si>
  <si>
    <t>NM_001161834chr7:50135682</t>
  </si>
  <si>
    <t>NM_001082971chr7:50526134</t>
  </si>
  <si>
    <t>NM_001242888chr7:50526134</t>
  </si>
  <si>
    <t>NM_001242886chr7:50526134</t>
  </si>
  <si>
    <t>NM_001242889chr7:50526134</t>
  </si>
  <si>
    <t>NM_001242887chr7:50526134</t>
  </si>
  <si>
    <t>NM_000790chr7:50526134</t>
  </si>
  <si>
    <t>NM_001242890chr7:50560345</t>
  </si>
  <si>
    <t>NM_015411chr7:56131917</t>
  </si>
  <si>
    <t>NM_001130069chr7:56131917</t>
  </si>
  <si>
    <t>NM_001042469chr7:56131917</t>
  </si>
  <si>
    <t>NM_001042470chr7:56131917</t>
  </si>
  <si>
    <t>XM_003959920chr7:63204450</t>
  </si>
  <si>
    <t>NM_006524chr7:64254771</t>
  </si>
  <si>
    <t>NM_003388chr7:73703805</t>
  </si>
  <si>
    <t>NM_032421chr7:73703805</t>
  </si>
  <si>
    <t>NM_031925chr7:75616155</t>
  </si>
  <si>
    <t>NM_030570chr7:76139745</t>
  </si>
  <si>
    <t>NM_182684chr7:76139745</t>
  </si>
  <si>
    <t>NM_001184962chr7:94285637</t>
  </si>
  <si>
    <t>NM_001145268chr7:102389399</t>
  </si>
  <si>
    <t>NM_001145269chr7:102389399</t>
  </si>
  <si>
    <t>NM_001085386chr7:102613884</t>
  </si>
  <si>
    <t>NM_199072chr7:114562209</t>
  </si>
  <si>
    <t>NM_001166346chr7:114562209</t>
  </si>
  <si>
    <t>NM_022742chr7:128432050</t>
  </si>
  <si>
    <t>NM_018295chr7:134832766</t>
  </si>
  <si>
    <t>NM_015135chr7:135242662</t>
  </si>
  <si>
    <t>NM_001128619chr7:135611503</t>
  </si>
  <si>
    <t>NM_001130966chr7:139478047</t>
  </si>
  <si>
    <t>NM_001166254chr7:139478047</t>
  </si>
  <si>
    <t>NM_001166253chr7:139528952</t>
  </si>
  <si>
    <t>NM_001061chr7:139528952</t>
  </si>
  <si>
    <t>NM_030984chr7:139528952</t>
  </si>
  <si>
    <t>NM_176817chr7:141672431</t>
  </si>
  <si>
    <t>NM_000083chr7:143013219</t>
  </si>
  <si>
    <t>NM_001206938chr7:143548461</t>
  </si>
  <si>
    <t>NM_014719chr7:143548461</t>
  </si>
  <si>
    <t>NM_024596chr8:6264113</t>
  </si>
  <si>
    <t>NM_001172574chr8:6264113</t>
  </si>
  <si>
    <t>NM_001040032chr8:10530147</t>
  </si>
  <si>
    <t>NM_006197chr8:17780366</t>
  </si>
  <si>
    <t>NM_003841chr8:22960327</t>
  </si>
  <si>
    <t>NM_145004chr8:38965050</t>
  </si>
  <si>
    <t>NM_020130chr8:40010987</t>
  </si>
  <si>
    <t>NM_144651chr8:52232137</t>
  </si>
  <si>
    <t>NM_015364chr8:74903564</t>
  </si>
  <si>
    <t>NM_001172087chr8:77892494</t>
  </si>
  <si>
    <t>NM_001172086chr8:77892494</t>
  </si>
  <si>
    <t>NM_001079867chr8:77892494</t>
  </si>
  <si>
    <t>NM_000318chr8:77892494</t>
  </si>
  <si>
    <t>NM_003184chr8:120743014</t>
  </si>
  <si>
    <t>NM_144963chr8:124780882</t>
  </si>
  <si>
    <t>NM_002467chr8:128748315</t>
  </si>
  <si>
    <t>NM_207414chr8:142443929</t>
  </si>
  <si>
    <t>NM_032378chr8:144661867</t>
  </si>
  <si>
    <t>NM_001130053chr8:144661867</t>
  </si>
  <si>
    <t>NM_001261843chr8:144718183</t>
  </si>
  <si>
    <t>NM_001082480chr8:144718332</t>
  </si>
  <si>
    <t>NM_014789chr8:144731954</t>
  </si>
  <si>
    <t>NM_198488chr8:144806103</t>
  </si>
  <si>
    <t>NM_015356chr8:144873090</t>
  </si>
  <si>
    <t>NM_182706chr8:144873090</t>
  </si>
  <si>
    <t>NM_001916chr8:145149960</t>
  </si>
  <si>
    <t>NM_032450chr8:145202919</t>
  </si>
  <si>
    <t>NM_001099280chr8:145202919</t>
  </si>
  <si>
    <t>NM_001099281chr8:145202919</t>
  </si>
  <si>
    <t>NM_130849chr8:145637798</t>
  </si>
  <si>
    <t>NM_017767chr8:145637798</t>
  </si>
  <si>
    <t>NM_001001874chr9:6328349</t>
  </si>
  <si>
    <t>NM_033516chr9:6328349</t>
  </si>
  <si>
    <t>NM_001001875chr9:6328349</t>
  </si>
  <si>
    <t>NM_000459chr9:27109147</t>
  </si>
  <si>
    <t>NM_001197097chr9:33750464</t>
  </si>
  <si>
    <t>NM_007343chr9:33750464</t>
  </si>
  <si>
    <t>NM_001197098chr9:33750819</t>
  </si>
  <si>
    <t>NM_002771chr9:33795559</t>
  </si>
  <si>
    <t>NM_020702chr9:34368907</t>
  </si>
  <si>
    <t>NM_014806chr9:35490007</t>
  </si>
  <si>
    <t>NM_001135999chr9:35538629</t>
  </si>
  <si>
    <t>NM_001083885chr9:117164360</t>
  </si>
  <si>
    <t>NM_002077chr9:127640573</t>
  </si>
  <si>
    <t>NM_001252021chr9:130493803</t>
  </si>
  <si>
    <t>NM_001252018chr9:130493803</t>
  </si>
  <si>
    <t>NM_001085347chr9:130493803</t>
  </si>
  <si>
    <t>NM_016035chr9:131084791</t>
  </si>
  <si>
    <t>NM_032799chr9:131483148</t>
  </si>
  <si>
    <t>NM_000755chr9:131857073</t>
  </si>
  <si>
    <t>NM_001257363chr9:131857073</t>
  </si>
  <si>
    <t>XM_001726942chr9:133223389</t>
  </si>
  <si>
    <t>NM_007171chr9:134378289</t>
  </si>
  <si>
    <t>NM_001101677chr9:138585253</t>
  </si>
  <si>
    <t>NM_001012415chr9:138585253</t>
  </si>
  <si>
    <t>NM_212533chr9:139901686</t>
  </si>
  <si>
    <t>NM_001606chr9:139901686</t>
  </si>
  <si>
    <t>NM_001177317chr9:140125209</t>
  </si>
  <si>
    <t>NM_001177316chr9:140125209</t>
  </si>
  <si>
    <t>NM_080877chr9:140125385</t>
  </si>
  <si>
    <t>NM_001818chr10:5238798</t>
  </si>
  <si>
    <t>NM_017782chr10:5726801</t>
  </si>
  <si>
    <t>NM_018706chr10:12110934</t>
  </si>
  <si>
    <t>NM_001008211chr10:13142082</t>
  </si>
  <si>
    <t>NM_001008213chr10:13142082</t>
  </si>
  <si>
    <t>NM_001008212chr10:13142082</t>
  </si>
  <si>
    <t>NM_021980chr10:13142082</t>
  </si>
  <si>
    <t>NM_003638chr10:15559088</t>
  </si>
  <si>
    <t>NM_001244973chr10:33466419</t>
  </si>
  <si>
    <t>NM_001244972chr10:33466419</t>
  </si>
  <si>
    <t>NM_003873chr10:33466419</t>
  </si>
  <si>
    <t>NM_001024629chr10:33486547</t>
  </si>
  <si>
    <t>NM_001024628chr10:33486547</t>
  </si>
  <si>
    <t>NM_001018071chr10:49364602</t>
  </si>
  <si>
    <t>NM_001042512chr10:49364602</t>
  </si>
  <si>
    <t>NM_020984chr10:50817141</t>
  </si>
  <si>
    <t>NM_020985chr10:50821154</t>
  </si>
  <si>
    <t>NM_020986chr10:50821154</t>
  </si>
  <si>
    <t>NM_001142933chr10:50822083</t>
  </si>
  <si>
    <t>NM_001142934chr10:50822083</t>
  </si>
  <si>
    <t>NM_020549chr10:50822083</t>
  </si>
  <si>
    <t>NM_001142929chr10:50822083</t>
  </si>
  <si>
    <t>NM_199452chr10:64280207</t>
  </si>
  <si>
    <t>NM_025130chr10:70980059</t>
  </si>
  <si>
    <t>NM_152710chr10:72530995</t>
  </si>
  <si>
    <t>NM_001145031chr10:75670862</t>
  </si>
  <si>
    <t>NM_002658chr10:75670862</t>
  </si>
  <si>
    <t>NM_001127182chr10:95256369</t>
  </si>
  <si>
    <t>NM_018131chr10:95256389</t>
  </si>
  <si>
    <t>NM_000769chr10:96522463</t>
  </si>
  <si>
    <t>NM_015385chr10:97071530</t>
  </si>
  <si>
    <t>NM_024991chr10:97071530</t>
  </si>
  <si>
    <t>NM_006434chr10:97071530</t>
  </si>
  <si>
    <t>NM_001034957chr10:97071530</t>
  </si>
  <si>
    <t>NM_001034956chr10:97071530</t>
  </si>
  <si>
    <t>NM_001034955chr10:97071530</t>
  </si>
  <si>
    <t>NM_001034954chr10:97071530</t>
  </si>
  <si>
    <t>NM_001256619chr10:99894381</t>
  </si>
  <si>
    <t>NM_138469chr10:99894381</t>
  </si>
  <si>
    <t>NM_014472chr10:99894381</t>
  </si>
  <si>
    <t>NM_001256621chr10:99894381</t>
  </si>
  <si>
    <t>NM_001256620chr10:99894381</t>
  </si>
  <si>
    <t>NM_000392chr10:101542463</t>
  </si>
  <si>
    <t>NM_004248chr10:120352916</t>
  </si>
  <si>
    <t>NM_177400chr10:134598320</t>
  </si>
  <si>
    <t>NM_003641chr11:313991</t>
  </si>
  <si>
    <t>NM_001012302chr11:417930</t>
  </si>
  <si>
    <t>NM_031264chr11:616565</t>
  </si>
  <si>
    <t>NM_001171968chr11:616565</t>
  </si>
  <si>
    <t>NM_021924chr11:616565</t>
  </si>
  <si>
    <t>XM_003959934chr11:1212787</t>
  </si>
  <si>
    <t>NM_138567chr11:1855674</t>
  </si>
  <si>
    <t>NM_003621chr11:7534996</t>
  </si>
  <si>
    <t>NM_001256568chr11:7618417</t>
  </si>
  <si>
    <t>NM_001256569chr11:7626965</t>
  </si>
  <si>
    <t>NM_001170690chr11:9041047</t>
  </si>
  <si>
    <t>NM_020974chr11:9041047</t>
  </si>
  <si>
    <t>NM_001100163chr11:10594638</t>
  </si>
  <si>
    <t>NM_001042559chr11:10818593</t>
  </si>
  <si>
    <t>NM_001418chr11:10818593</t>
  </si>
  <si>
    <t>NM_001172705chr11:10818593</t>
  </si>
  <si>
    <t>NM_021961chr11:12695969</t>
  </si>
  <si>
    <t>NM_001033953chr11:14988215</t>
  </si>
  <si>
    <t>NM_001741chr11:14990047</t>
  </si>
  <si>
    <t>NM_001033952chr11:14990047</t>
  </si>
  <si>
    <t>NM_005013chr11:17298286</t>
  </si>
  <si>
    <t>NM_000331chr11:18287808</t>
  </si>
  <si>
    <t>NM_001178006chr11:18287808</t>
  </si>
  <si>
    <t>NM_199161chr11:18287808</t>
  </si>
  <si>
    <t>NM_173588chr11:18725852</t>
  </si>
  <si>
    <t>NM_005788chr11:20409076</t>
  </si>
  <si>
    <t>NM_001145167chr11:20409076</t>
  </si>
  <si>
    <t>NM_001145166chr11:20409076</t>
  </si>
  <si>
    <t>NM_000378chr11:32409321</t>
  </si>
  <si>
    <t>NM_024424chr11:32409321</t>
  </si>
  <si>
    <t>NM_024426chr11:32409321</t>
  </si>
  <si>
    <t>NM_024662chr11:34127111</t>
  </si>
  <si>
    <t>NM_001144030chr11:34127111</t>
  </si>
  <si>
    <t>NM_000448chr11:36589563</t>
  </si>
  <si>
    <t>NM_057174chr11:45931220</t>
  </si>
  <si>
    <t>NM_004813chr11:45931220</t>
  </si>
  <si>
    <t>NM_152264chr11:47430046</t>
  </si>
  <si>
    <t>NM_001128225chr11:47430046</t>
  </si>
  <si>
    <t>NM_000327chr11:62380213</t>
  </si>
  <si>
    <t>NM_001146729chr11:63228876</t>
  </si>
  <si>
    <t>NM_001146728chr11:63228876</t>
  </si>
  <si>
    <t>NM_054108chr11:63228876</t>
  </si>
  <si>
    <t>NM_012094chr11:64085560</t>
  </si>
  <si>
    <t>NM_181651chr11:64085560</t>
  </si>
  <si>
    <t>NM_181652chr11:64085560</t>
  </si>
  <si>
    <t>NM_130804chr11:64570986</t>
  </si>
  <si>
    <t>NM_130803chr11:64570986</t>
  </si>
  <si>
    <t>NM_130802chr11:64570986</t>
  </si>
  <si>
    <t>NM_130799chr11:64570986</t>
  </si>
  <si>
    <t>NM_000244chr11:64570986</t>
  </si>
  <si>
    <t>NM_130801chr11:64570986</t>
  </si>
  <si>
    <t>NM_130800chr11:64570986</t>
  </si>
  <si>
    <t>NM_001335chr11:65647284</t>
  </si>
  <si>
    <t>NM_152762chr11:65713115</t>
  </si>
  <si>
    <t>NM_006946chr11:66452720</t>
  </si>
  <si>
    <t>NM_014578chr11:66824289</t>
  </si>
  <si>
    <t>NM_017635chr11:67923507</t>
  </si>
  <si>
    <t>NM_016028chr11:67933186</t>
  </si>
  <si>
    <t>NM_007256chr11:74862032</t>
  </si>
  <si>
    <t>NM_001145212chr11:74862032</t>
  </si>
  <si>
    <t>NM_001145211chr11:74870844</t>
  </si>
  <si>
    <t>NM_001814chr11:88026760</t>
  </si>
  <si>
    <t>NM_001143837chr11:89057521</t>
  </si>
  <si>
    <t>NM_001143836chr11:89057521</t>
  </si>
  <si>
    <t>NM_016931chr11:89057521</t>
  </si>
  <si>
    <t>NM_001077243chr11:105480800</t>
  </si>
  <si>
    <t>NM_000829chr11:105480800</t>
  </si>
  <si>
    <t>NM_000051chr11:108093559</t>
  </si>
  <si>
    <t>NM_015065chr11:108376158</t>
  </si>
  <si>
    <t>NM_001256398chr11:112046208</t>
  </si>
  <si>
    <t>NM_138973chr11:117156402</t>
  </si>
  <si>
    <t>NM_138971chr11:117156402</t>
  </si>
  <si>
    <t>NM_138972chr11:117156402</t>
  </si>
  <si>
    <t>NM_012104chr11:117156402</t>
  </si>
  <si>
    <t>NM_001207049chr11:117156402</t>
  </si>
  <si>
    <t>NM_001207048chr11:117156402</t>
  </si>
  <si>
    <t>NM_019894chr11:117947727</t>
  </si>
  <si>
    <t>NM_001083947chr11:117947727</t>
  </si>
  <si>
    <t>NM_001173551chr11:117947727</t>
  </si>
  <si>
    <t>NM_001173552chr11:117947727</t>
  </si>
  <si>
    <t>NM_031307chr11:125763380</t>
  </si>
  <si>
    <t>NM_014758chr11:130745766</t>
  </si>
  <si>
    <t>NM_003213chr12:3068478</t>
  </si>
  <si>
    <t>NM_201441chr12:3068478</t>
  </si>
  <si>
    <t>NM_000552chr12:6058040</t>
  </si>
  <si>
    <t>NM_001242chr12:6554051</t>
  </si>
  <si>
    <t>NM_174941chr12:7507556</t>
  </si>
  <si>
    <t>NM_000014chr12:9220304</t>
  </si>
  <si>
    <t>XM_001715897chr12:9613794</t>
  </si>
  <si>
    <t>NM_001114396chr12:10457050</t>
  </si>
  <si>
    <t>NM_002262chr12:10460417</t>
  </si>
  <si>
    <t>NM_213657chr12:10598627</t>
  </si>
  <si>
    <t>NM_213658chr12:10598627</t>
  </si>
  <si>
    <t>NM_007328chr12:10598627</t>
  </si>
  <si>
    <t>NM_002259chr12:10598627</t>
  </si>
  <si>
    <t>NM_005039chr12:11504757</t>
  </si>
  <si>
    <t>NM_006143chr12:12813995</t>
  </si>
  <si>
    <t>NM_001204101chr12:25261223</t>
  </si>
  <si>
    <t>NM_001082973chr12:25261223</t>
  </si>
  <si>
    <t>NM_018272chr12:25261223</t>
  </si>
  <si>
    <t>NM_001204102chr12:25261223</t>
  </si>
  <si>
    <t>NM_177444chr12:27677045</t>
  </si>
  <si>
    <t>NM_003622chr12:27677045</t>
  </si>
  <si>
    <t>NM_001198916chr12:27677045</t>
  </si>
  <si>
    <t>NM_018169chr12:32112353</t>
  </si>
  <si>
    <t>NM_001013620chr12:38710557</t>
  </si>
  <si>
    <t>NM_198578chr12:40618813</t>
  </si>
  <si>
    <t>NM_001098531chr12:48128453</t>
  </si>
  <si>
    <t>NM_006105chr12:48128453</t>
  </si>
  <si>
    <t>NM_001098532chr12:48128453</t>
  </si>
  <si>
    <t>NM_182559chr12:51236701</t>
  </si>
  <si>
    <t>NM_021640chr12:53693470</t>
  </si>
  <si>
    <t>NM_006741chr12:54973024</t>
  </si>
  <si>
    <t>NM_001166279chr12:56710007</t>
  </si>
  <si>
    <t>NM_014871chr12:56710007</t>
  </si>
  <si>
    <t>NM_001127460chr12:56710007</t>
  </si>
  <si>
    <t>NM_207344chr12:56862301</t>
  </si>
  <si>
    <t>NM_001111270chr12:58003963</t>
  </si>
  <si>
    <t>NM_182947chr12:58005218</t>
  </si>
  <si>
    <t>NM_003566chr12:93166285</t>
  </si>
  <si>
    <t>NM_020698chr12:94960900</t>
  </si>
  <si>
    <t>NM_006836chr12:120565014</t>
  </si>
  <si>
    <t>NM_000545chr12:121416549</t>
  </si>
  <si>
    <t>NM_002562chr12:121570631</t>
  </si>
  <si>
    <t>NM_002150chr12:122277433</t>
  </si>
  <si>
    <t>NM_003565chr12:132379279</t>
  </si>
  <si>
    <t>NM_000231chr13:23755060</t>
  </si>
  <si>
    <t>NM_005932chr13:24304328</t>
  </si>
  <si>
    <t>NM_002097chr13:27998681</t>
  </si>
  <si>
    <t>NM_001265chr13:28536205</t>
  </si>
  <si>
    <t>NM_032849chr13:31480312</t>
  </si>
  <si>
    <t>NM_000059chr13:32889617</t>
  </si>
  <si>
    <t>NM_031431chr13:46039030</t>
  </si>
  <si>
    <t>NM_001872chr13:46627322</t>
  </si>
  <si>
    <t>NM_001164213chr13:47127296</t>
  </si>
  <si>
    <t>NM_001164211chr13:47127296</t>
  </si>
  <si>
    <t>NM_015116chr13:47127296</t>
  </si>
  <si>
    <t>NM_000452chr13:103696348</t>
  </si>
  <si>
    <t>NM_032572chr14:21510385</t>
  </si>
  <si>
    <t>NM_001164815chr14:23527773</t>
  </si>
  <si>
    <t>NM_001164814chr14:23527773</t>
  </si>
  <si>
    <t>NM_014977chr14:23527773</t>
  </si>
  <si>
    <t>NM_004050chr14:23775971</t>
  </si>
  <si>
    <t>NM_001199839chr14:23776069</t>
  </si>
  <si>
    <t>NM_001199864chr14:23775971</t>
  </si>
  <si>
    <t>NM_002687chr14:39644387</t>
  </si>
  <si>
    <t>NM_004713chr14:50250532</t>
  </si>
  <si>
    <t>NM_174978chr14:60902674</t>
  </si>
  <si>
    <t>NM_001128596chr14:92246266</t>
  </si>
  <si>
    <t>NM_001128595chr14:92246266</t>
  </si>
  <si>
    <t>NM_152332chr14:92246266</t>
  </si>
  <si>
    <t>NM_001756chr14:94770585</t>
  </si>
  <si>
    <t>NM_018036chr14:96747595</t>
  </si>
  <si>
    <t>NM_003836chr14:101193202</t>
  </si>
  <si>
    <t>XM_003846267chr15:32620090</t>
  </si>
  <si>
    <t>NM_175741chr15:34638066</t>
  </si>
  <si>
    <t>NM_001211chr15:40453210</t>
  </si>
  <si>
    <t>NM_170589chr15:40886447</t>
  </si>
  <si>
    <t>NM_144508chr15:40886447</t>
  </si>
  <si>
    <t>NM_138356chr15:45459412</t>
  </si>
  <si>
    <t>NM_000138chr15:48700503</t>
  </si>
  <si>
    <t>NM_001142495chr15:52599480</t>
  </si>
  <si>
    <t>NM_000259chr15:52599480</t>
  </si>
  <si>
    <t>NM_182758chr15:53805938</t>
  </si>
  <si>
    <t>NM_003613chr15:65488337</t>
  </si>
  <si>
    <t>NM_017858chr15:66629008</t>
  </si>
  <si>
    <t>NM_001031715chr15:67547138</t>
  </si>
  <si>
    <t>NM_001267580chr15:91509268</t>
  </si>
  <si>
    <t>NM_199413chr15:91509268</t>
  </si>
  <si>
    <t>NM_003981chr15:91509268</t>
  </si>
  <si>
    <t>NM_020211chr15:93586636</t>
  </si>
  <si>
    <t>NM_001166287chr15:93586636</t>
  </si>
  <si>
    <t>NM_001166283chr15:93586636</t>
  </si>
  <si>
    <t>NM_001166288chr15:93586636</t>
  </si>
  <si>
    <t>NM_001166289chr15:93586636</t>
  </si>
  <si>
    <t>NM_001166286chr15:93586636</t>
  </si>
  <si>
    <t>NM_001040616chr15:101109428</t>
  </si>
  <si>
    <t>NM_012467chr16:1271651</t>
  </si>
  <si>
    <t>NM_001099456chr16:2069521</t>
  </si>
  <si>
    <t>NM_000296chr16:2138711</t>
  </si>
  <si>
    <t>NM_001009944chr16:2138711</t>
  </si>
  <si>
    <t>NM_001198536chr16:3292028</t>
  </si>
  <si>
    <t>NM_032569chr16:4853204</t>
  </si>
  <si>
    <t>NM_002705chr16:4932508</t>
  </si>
  <si>
    <t>NM_000246chr16:10971055</t>
  </si>
  <si>
    <t>NM_001130006chr16:11961985</t>
  </si>
  <si>
    <t>NM_002094chr16:11961985</t>
  </si>
  <si>
    <t>NM_001171chr16:16243422</t>
  </si>
  <si>
    <t>NM_014711chr16:19535179</t>
  </si>
  <si>
    <t>NM_001199022chr16:19535179</t>
  </si>
  <si>
    <t>NM_001010845chr16:20462859</t>
  </si>
  <si>
    <t>NM_013302chr16:22217592</t>
  </si>
  <si>
    <t>NM_001145545chr16:27078219</t>
  </si>
  <si>
    <t>NM_001054chr16:28603264</t>
  </si>
  <si>
    <t>NM_177528chr16:28603264</t>
  </si>
  <si>
    <t>NM_014298chr16:29690441</t>
  </si>
  <si>
    <t>NM_014771chr16:30772933</t>
  </si>
  <si>
    <t>NM_001207033chr16:30772933</t>
  </si>
  <si>
    <t>NM_001207034chr16:30772933</t>
  </si>
  <si>
    <t>NM_024706chr16:31072164</t>
  </si>
  <si>
    <t>NM_001172670chr16:31072164</t>
  </si>
  <si>
    <t>NM_001172669chr16:31072164</t>
  </si>
  <si>
    <t>NM_001172668chr16:31072169</t>
  </si>
  <si>
    <t>NM_001265588chr16:31885079</t>
  </si>
  <si>
    <t>NM_003414chr16:31885079</t>
  </si>
  <si>
    <t>NM_024745chr16:46614466</t>
  </si>
  <si>
    <t>NM_031885chr16:56518259</t>
  </si>
  <si>
    <t>NM_176870chr16:56666534</t>
  </si>
  <si>
    <t>NM_000339chr16:56899119</t>
  </si>
  <si>
    <t>NM_001126108chr16:56899119</t>
  </si>
  <si>
    <t>NM_001126107chr16:56899119</t>
  </si>
  <si>
    <t>NM_022355chr16:68021293</t>
  </si>
  <si>
    <t>NM_052858chr16:71660056</t>
  </si>
  <si>
    <t>NM_139353chr16:84211453</t>
  </si>
  <si>
    <t>NM_001243156chr16:84211453</t>
  </si>
  <si>
    <t>NM_005679chr16:84211453</t>
  </si>
  <si>
    <t>NM_013276chr17:3511556</t>
  </si>
  <si>
    <t>NM_001181chr17:7004641</t>
  </si>
  <si>
    <t>NM_080912chr17:7004641</t>
  </si>
  <si>
    <t>NM_080914chr17:7004641</t>
  </si>
  <si>
    <t>NM_000937chr17:7387698</t>
  </si>
  <si>
    <t>NM_001204477chr17:15339332</t>
  </si>
  <si>
    <t>NM_178571chr17:15635591</t>
  </si>
  <si>
    <t>NM_004140chr17:18128936</t>
  </si>
  <si>
    <t>NM_001145053chr17:28256874</t>
  </si>
  <si>
    <t>NM_198529chr17:28268623</t>
  </si>
  <si>
    <t>NM_005937chr17:36861873</t>
  </si>
  <si>
    <t>NM_001242442chr17:37895024</t>
  </si>
  <si>
    <t>NM_000421chr17:38974369</t>
  </si>
  <si>
    <t>NM_033062chr17:39333698</t>
  </si>
  <si>
    <t>NM_002274chr17:39657233</t>
  </si>
  <si>
    <t>NM_153490chr17:39657233</t>
  </si>
  <si>
    <t>NM_002275chr17:39669997</t>
  </si>
  <si>
    <t>NM_000526chr17:39738531</t>
  </si>
  <si>
    <t>NM_024927chr17:40819932</t>
  </si>
  <si>
    <t>NM_173079chr17:41132582</t>
  </si>
  <si>
    <t>NM_004160chr17:42030106</t>
  </si>
  <si>
    <t>NM_005892chr17:43299292</t>
  </si>
  <si>
    <t>NM_001193465chr17:44107282</t>
  </si>
  <si>
    <t>NM_015443chr17:44107282</t>
  </si>
  <si>
    <t>NM_001193466chr17:44107282</t>
  </si>
  <si>
    <t>NM_016428chr17:47287589</t>
  </si>
  <si>
    <t>NM_001135186chr17:47287589</t>
  </si>
  <si>
    <t>NM_000088chr17:48261457</t>
  </si>
  <si>
    <t>NM_001038704chr17:56618948</t>
  </si>
  <si>
    <t>NM_203425chr17:59489112</t>
  </si>
  <si>
    <t>NM_020748chr17:59942728</t>
  </si>
  <si>
    <t>NM_002737chr17:64298926</t>
  </si>
  <si>
    <t>NM_014877chr17:65066554</t>
  </si>
  <si>
    <t>NM_017941chr17:71228776</t>
  </si>
  <si>
    <t>NM_001100621chr17:71228776</t>
  </si>
  <si>
    <t>NM_001100622chr17:71228776</t>
  </si>
  <si>
    <t>NM_001204408chr17:75084725</t>
  </si>
  <si>
    <t>NM_001204410chr17:75085235</t>
  </si>
  <si>
    <t>NM_001143998chr17:75137005</t>
  </si>
  <si>
    <t>NM_001039573chr17:75137005</t>
  </si>
  <si>
    <t>NM_001143999chr17:75137005</t>
  </si>
  <si>
    <t>NM_003003chr17:75137005</t>
  </si>
  <si>
    <t>NM_001144001chr17:75181295</t>
  </si>
  <si>
    <t>XM_003118748chr17:75719694</t>
  </si>
  <si>
    <t>NM_130386chr18:319355</t>
  </si>
  <si>
    <t>NM_018439chr18:22006609</t>
  </si>
  <si>
    <t>NM_014939chr18:29409136</t>
  </si>
  <si>
    <t>NM_012319chr18:33688494</t>
  </si>
  <si>
    <t>NM_005603chr18:55313658</t>
  </si>
  <si>
    <t>NM_080475chr18:61370194</t>
  </si>
  <si>
    <t>NM_001093729chr18:66382491</t>
  </si>
  <si>
    <t>NM_024781chr18:66465317</t>
  </si>
  <si>
    <t>NM_001201465chr18:70409549</t>
  </si>
  <si>
    <t>NM_138966chr18:70410991</t>
  </si>
  <si>
    <t>NM_032649chr18:72201692</t>
  </si>
  <si>
    <t>NM_005317chr19:544034</t>
  </si>
  <si>
    <t>NM_001258351chr19:544034</t>
  </si>
  <si>
    <t>NM_214710chr19:685546</t>
  </si>
  <si>
    <t>NM_002695chr19:1086578</t>
  </si>
  <si>
    <t>NM_000479chr19:2249113</t>
  </si>
  <si>
    <t>NM_005483chr19:4402660</t>
  </si>
  <si>
    <t>NM_015015chr19:4969124</t>
  </si>
  <si>
    <t>NM_030957chr19:8645126</t>
  </si>
  <si>
    <t>NM_005815chr19:12540520</t>
  </si>
  <si>
    <t>NM_018467chr19:17326155</t>
  </si>
  <si>
    <t>NM_173544chr19:17634110</t>
  </si>
  <si>
    <t>NM_001098524chr19:17634110</t>
  </si>
  <si>
    <t>NM_001190347chr19:35988119</t>
  </si>
  <si>
    <t>NM_001126056chr19:35988119</t>
  </si>
  <si>
    <t>NM_033317chr19:35988119</t>
  </si>
  <si>
    <t>NM_001126059chr19:35988119</t>
  </si>
  <si>
    <t>NM_001035516chr19:35988119</t>
  </si>
  <si>
    <t>NM_019104chr19:36239262</t>
  </si>
  <si>
    <t>NM_001042631chr19:36486090</t>
  </si>
  <si>
    <t>NM_000762chr19:41349443</t>
  </si>
  <si>
    <t>NM_021913chr19:41725108</t>
  </si>
  <si>
    <t>NM_001699chr19:41725108</t>
  </si>
  <si>
    <t>NM_006297chr19:44047464</t>
  </si>
  <si>
    <t>NM_013359chr19:44455397</t>
  </si>
  <si>
    <t>NM_001260486chr19:44488322</t>
  </si>
  <si>
    <t>NM_003445chr19:44488322</t>
  </si>
  <si>
    <t>NM_001260488chr19:44488322</t>
  </si>
  <si>
    <t>NM_198089chr19:44488322</t>
  </si>
  <si>
    <t>NM_001260487chr19:44488322</t>
  </si>
  <si>
    <t>NM_007056chr19:45542298</t>
  </si>
  <si>
    <t>NM_175875chr19:46268043</t>
  </si>
  <si>
    <t>NM_001079881chr19:47177573</t>
  </si>
  <si>
    <t>NM_001079880chr19:47177573</t>
  </si>
  <si>
    <t>NM_016457chr19:47177573</t>
  </si>
  <si>
    <t>NM_001079882chr19:47177573</t>
  </si>
  <si>
    <t>NM_024682chr19:50380682</t>
  </si>
  <si>
    <t>NM_001168222chr19:50380682</t>
  </si>
  <si>
    <t>NM_001244000chr19:50922195</t>
  </si>
  <si>
    <t>NM_001077492chr19:51446559</t>
  </si>
  <si>
    <t>NM_001077491chr19:51446559</t>
  </si>
  <si>
    <t>NM_012427chr19:51446559</t>
  </si>
  <si>
    <t>NM_198457chr19:53268747</t>
  </si>
  <si>
    <t>NM_031895chr19:54466290</t>
  </si>
  <si>
    <t>NM_001083899chr19:55525073</t>
  </si>
  <si>
    <t>NM_001256715chr19:55670029</t>
  </si>
  <si>
    <t>NM_178837chr19:55670029</t>
  </si>
  <si>
    <t>NM_001256716chr19:55670029</t>
  </si>
  <si>
    <t>NM_001256714chr19:55670029</t>
  </si>
  <si>
    <t>NM_001199295chr19:58038693</t>
  </si>
  <si>
    <t>NM_153263chr19:58038693</t>
  </si>
  <si>
    <t>NM_004609chr20:584637</t>
  </si>
  <si>
    <t>NM_004587chr20:17594323</t>
  </si>
  <si>
    <t>NM_001042576chr20:17594323</t>
  </si>
  <si>
    <t>NM_020536chr20:18122868</t>
  </si>
  <si>
    <t>NM_003434chr20:18269121</t>
  </si>
  <si>
    <t>NM_001083330chr20:18269121</t>
  </si>
  <si>
    <t>NM_001247chr20:25176339</t>
  </si>
  <si>
    <t>NM_001114089chr20:25176339</t>
  </si>
  <si>
    <t>NM_002110chr20:30639991</t>
  </si>
  <si>
    <t>NM_001172130chr20:30639991</t>
  </si>
  <si>
    <t>NM_015338chr20:30946147</t>
  </si>
  <si>
    <t>NM_020820chr20:47240793</t>
  </si>
  <si>
    <t>NM_199203chr20:48697661</t>
  </si>
  <si>
    <t>NM_001162505chr20:48740274</t>
  </si>
  <si>
    <t>NM_199129chr20:48740274</t>
  </si>
  <si>
    <t>NM_080615chr20:55066548</t>
  </si>
  <si>
    <t>NM_022082chr20:61583999</t>
  </si>
  <si>
    <t>NM_199260chr21:10906741</t>
  </si>
  <si>
    <t>NM_199259chr21:10906741</t>
  </si>
  <si>
    <t>NM_199261chr21:10906741</t>
  </si>
  <si>
    <t>NM_002772chr21:19641433</t>
  </si>
  <si>
    <t>NM_017446chr21:26957968</t>
  </si>
  <si>
    <t>NM_080794chr21:26957968</t>
  </si>
  <si>
    <t>NM_001162496chr21:34162984</t>
  </si>
  <si>
    <t>NM_019596chr21:34162984</t>
  </si>
  <si>
    <t>NM_001162495chr21:34162984</t>
  </si>
  <si>
    <t>NM_153681chr21:38437664</t>
  </si>
  <si>
    <t>NM_007341chr21:40823780</t>
  </si>
  <si>
    <t>NM_001199527chr21:43483068</t>
  </si>
  <si>
    <t>NM_001199528chr21:43483068</t>
  </si>
  <si>
    <t>NM_173568chr21:43491426</t>
  </si>
  <si>
    <t>NM_001004416chr21:43491426</t>
  </si>
  <si>
    <t>NM_004649chr21:45553494</t>
  </si>
  <si>
    <t>NM_198155chr21:45553494</t>
  </si>
  <si>
    <t>NM_003307chr21:45773484</t>
  </si>
  <si>
    <t>NM_000854chr22:24322314</t>
  </si>
  <si>
    <t>NM_015330chr22:24666790</t>
  </si>
  <si>
    <t>NM_001145468chr22:24666790</t>
  </si>
  <si>
    <t>NM_001254732chr22:24666790</t>
  </si>
  <si>
    <t>NM_001254733chr22:24738076</t>
  </si>
  <si>
    <t>NM_001166019chr22:29723669</t>
  </si>
  <si>
    <t>NM_145730chr22:29723669</t>
  </si>
  <si>
    <t>NM_001127chr22:29723669</t>
  </si>
  <si>
    <t>NM_001017437chr22:30752627</t>
  </si>
  <si>
    <t>NM_001082579chr22:36134783</t>
  </si>
  <si>
    <t>NM_001082578chr22:36134783</t>
  </si>
  <si>
    <t>NM_006386chr22:38879443</t>
  </si>
  <si>
    <t>NM_001098504chr22:38879443</t>
  </si>
  <si>
    <t>NM_014293chr22:39214456</t>
  </si>
  <si>
    <t>NM_004900chr22:39378404</t>
  </si>
  <si>
    <t>NM_001270411chr22:39378404</t>
  </si>
  <si>
    <t>NM_006486chr22:45898719</t>
  </si>
  <si>
    <t>NM_006485chr22:45898719</t>
  </si>
  <si>
    <t>NM_001996chr22:45898719</t>
  </si>
  <si>
    <t>NM_006487chr22:45898719</t>
  </si>
  <si>
    <t>NM_017931chr22:46663861</t>
  </si>
  <si>
    <t>NM_016426chr22:46692638</t>
  </si>
  <si>
    <t>NM_020461chr22:50656118</t>
  </si>
  <si>
    <t>NM_001172732chrX:17818169</t>
  </si>
  <si>
    <t>NM_021785chrX:17818169</t>
  </si>
  <si>
    <t>NM_001172739chrX:17818169</t>
  </si>
  <si>
    <t>NM_001172743chrX:17818169</t>
  </si>
  <si>
    <t>NM_173699chrX:26156460</t>
  </si>
  <si>
    <t>NM_004023chrX:31137345</t>
  </si>
  <si>
    <t>NM_004020chrX:31137345</t>
  </si>
  <si>
    <t>NM_004022chrX:31137345</t>
  </si>
  <si>
    <t>NM_004021chrX:31137345</t>
  </si>
  <si>
    <t>NM_004013chrX:31137345</t>
  </si>
  <si>
    <t>NM_004014chrX:31137345</t>
  </si>
  <si>
    <t>NM_017883chrX:48455880</t>
  </si>
  <si>
    <t>NM_001166426chrX:48456224</t>
  </si>
  <si>
    <t>NM_001199687chrX:65815479</t>
  </si>
  <si>
    <t>NM_021783chrX:65815479</t>
  </si>
  <si>
    <t>NM_001242310chrX:65815479</t>
  </si>
  <si>
    <t>NM_153252chrX:79924987</t>
  </si>
  <si>
    <t>NM_033048chrX:88002226</t>
  </si>
  <si>
    <t>NM_001184771chrX:88002226</t>
  </si>
  <si>
    <t>NM_001011657chrX:101137260</t>
  </si>
  <si>
    <t>NM_000828chrX:122318096</t>
  </si>
  <si>
    <t>NM_007325chrX:122318096</t>
  </si>
  <si>
    <t>NM_021946chrX:129139164</t>
  </si>
  <si>
    <t>NM_001010986chrX:138808505</t>
  </si>
  <si>
    <t>NM_173694chrX:138808505</t>
  </si>
  <si>
    <t>NM_001171907chrX:148622519</t>
  </si>
  <si>
    <t>NM_178124chrX:148622519</t>
  </si>
  <si>
    <t>NM_001171908chrX:148622519</t>
  </si>
  <si>
    <t>NM_001171909chrX:148626066</t>
  </si>
  <si>
    <t>NM_001174092chrX:148678216</t>
  </si>
  <si>
    <t>NM_032508chrX:148678216</t>
  </si>
  <si>
    <t>NM_021048chrX:151301782</t>
  </si>
  <si>
    <t>NM_001251828chrX:151301782</t>
  </si>
  <si>
    <t>NM_001011543chrX:151301782</t>
  </si>
  <si>
    <t>NM_003372chrX:154444701</t>
  </si>
  <si>
    <t>NM_024654chr1:6581407</t>
  </si>
  <si>
    <t>NM_206933chr1:215796236</t>
  </si>
  <si>
    <t>NM_000384chr2:21224301</t>
  </si>
  <si>
    <t>NM_019063chr2:42396490</t>
  </si>
  <si>
    <t>NM_001145076chr2:42396490</t>
  </si>
  <si>
    <t>NM_016347chr2:73927636</t>
  </si>
  <si>
    <t>NM_212474chr2:216225177</t>
  </si>
  <si>
    <t>NM_212476chr2:216225177</t>
  </si>
  <si>
    <t>NM_212478chr2:216225177</t>
  </si>
  <si>
    <t>NM_002026chr2:216225177</t>
  </si>
  <si>
    <t>NM_212482chr2:216225177</t>
  </si>
  <si>
    <t>NM_004509chr2:231033634</t>
  </si>
  <si>
    <t>NM_080424chr2:231033634</t>
  </si>
  <si>
    <t>NM_004510chr2:231041189</t>
  </si>
  <si>
    <t>NM_024628chr3:124801480</t>
  </si>
  <si>
    <t>NM_001195483chr3:124801480</t>
  </si>
  <si>
    <t>NM_015103chr3:129274056</t>
  </si>
  <si>
    <t>NM_001014447chr4:8594387</t>
  </si>
  <si>
    <t>NM_003652chr4:8594387</t>
  </si>
  <si>
    <t>NM_005429chr4:177604691</t>
  </si>
  <si>
    <t>NM_001105251chr5:79703838</t>
  </si>
  <si>
    <t>NM_014733chr5:79703838</t>
  </si>
  <si>
    <t>NM_000024chr5:148206156</t>
  </si>
  <si>
    <t>NM_000544chr6:32793187</t>
  </si>
  <si>
    <t>NM_012115chr6:90539619</t>
  </si>
  <si>
    <t>NM_001137667chr6:90539619</t>
  </si>
  <si>
    <t>NM_001137668chr6:90539619</t>
  </si>
  <si>
    <t>NM_001007090chr8:13424352</t>
  </si>
  <si>
    <t>NM_004323chr9:33252469</t>
  </si>
  <si>
    <t>NM_001173425chr9:117164360</t>
  </si>
  <si>
    <t>NM_015404chr9:117164360</t>
  </si>
  <si>
    <t>NM_024693chr10:11784356</t>
  </si>
  <si>
    <t>NM_138329chr11:278570</t>
  </si>
  <si>
    <t>NM_032344chr11:63993738</t>
  </si>
  <si>
    <t>NM_001128613chr11:63993738</t>
  </si>
  <si>
    <t>NM_001128612chr11:63993738</t>
  </si>
  <si>
    <t>NM_001031615chr11:67429633</t>
  </si>
  <si>
    <t>NM_000695chr11:67429633</t>
  </si>
  <si>
    <t>NM_031938chr11:112046208</t>
  </si>
  <si>
    <t>NM_001037290chr11:112047089</t>
  </si>
  <si>
    <t>NM_001256397chr11:112047089</t>
  </si>
  <si>
    <t>NM_001256400chr11:112047089</t>
  </si>
  <si>
    <t>NM_003105chr11:121322912</t>
  </si>
  <si>
    <t>NM_144670chr12:8975150</t>
  </si>
  <si>
    <t>NM_152440chr12:64586419</t>
  </si>
  <si>
    <t>NM_001204425chr13:103459496</t>
  </si>
  <si>
    <t>NM_000123chr13:103498191</t>
  </si>
  <si>
    <t>NM_020921chr14:51186481</t>
  </si>
  <si>
    <t>NM_182946chr14:51192546</t>
  </si>
  <si>
    <t>NM_182944chr14:51193951</t>
  </si>
  <si>
    <t>NM_016132chr15:48431629</t>
  </si>
  <si>
    <t>NM_015492chr15:75494221</t>
  </si>
  <si>
    <t>NM_004136chr15:78730518</t>
  </si>
  <si>
    <t>NM_021247chr16:11367141</t>
  </si>
  <si>
    <t>NM_152338chr16:29789561</t>
  </si>
  <si>
    <t>NM_032935chr16:56598961</t>
  </si>
  <si>
    <t>NM_001014985chr17:4692254</t>
  </si>
  <si>
    <t>NM_031968chr17:80416540</t>
  </si>
  <si>
    <t>NM_001097641chr19:5842899</t>
  </si>
  <si>
    <t>NM_001097640chr19:5842899</t>
  </si>
  <si>
    <t>NM_001097639chr19:5842899</t>
  </si>
  <si>
    <t>NM_000149chr19:5842899</t>
  </si>
  <si>
    <t>NM_023944chr19:15783828</t>
  </si>
  <si>
    <t>NM_005027chr19:18264016</t>
  </si>
  <si>
    <t>NM_001098506chr19:42082531</t>
  </si>
  <si>
    <t>NM_033543chr19:42082531</t>
  </si>
  <si>
    <t>NM_001736chr19:47813104</t>
  </si>
  <si>
    <t>NM_001256017chr19:55525073</t>
  </si>
  <si>
    <t>NM_016363chr19:55525073</t>
  </si>
  <si>
    <t>NM_182749chr21:30248386</t>
  </si>
  <si>
    <t>NM_013240chr21:30248386</t>
  </si>
  <si>
    <t>NM_016335chr22:18900287</t>
  </si>
  <si>
    <t>NM_001195226chr22:18900287</t>
  </si>
  <si>
    <t>NM_001025161chr22:42522501</t>
  </si>
  <si>
    <t>NM_000106chr22:42522501</t>
  </si>
  <si>
    <t>NM_004011chrX:31137345</t>
  </si>
  <si>
    <t>NM_004012chrX:31137345</t>
  </si>
  <si>
    <t>NM_001099681chrX:49019181</t>
  </si>
  <si>
    <t>NM_001099682chrX:49019181</t>
  </si>
  <si>
    <t>NM_001005175chr11:5775923</t>
  </si>
  <si>
    <t>NM_000109chrX:31137345</t>
  </si>
  <si>
    <t>NM_004006chrX:31137345</t>
  </si>
  <si>
    <t>NM_004009chrX:31137345</t>
  </si>
  <si>
    <t>NM_004010chrX:31137345</t>
  </si>
  <si>
    <t>NM_004007chrX:31137345</t>
  </si>
  <si>
    <t>NM_024859chrX:49019181</t>
  </si>
  <si>
    <t>NM_001099680chrX:49020270</t>
  </si>
  <si>
    <t>NM_033060chr17:39340352</t>
  </si>
  <si>
    <t>NM_020406chr19:43857825</t>
  </si>
  <si>
    <t>NM_001012288chrX:1314869</t>
  </si>
  <si>
    <t>NM_001012288chrY:1264869</t>
  </si>
  <si>
    <t>NM_006367chr1:40506255</t>
  </si>
  <si>
    <t>NM_001105530chr1:40506255</t>
  </si>
  <si>
    <t>NM_003987chr10:102505468</t>
  </si>
  <si>
    <t>NM_000278chr10:102505468</t>
  </si>
  <si>
    <t>XM_002342102chr1:41827227</t>
  </si>
  <si>
    <t>XM_003846383chr1:144593730</t>
  </si>
  <si>
    <t>NM_001134939chr1:151735445</t>
  </si>
  <si>
    <t>NM_016178chr1:151739131</t>
  </si>
  <si>
    <t>NM_015326chr1:206516197</t>
  </si>
  <si>
    <t>NM_001170637chr1:206516197</t>
  </si>
  <si>
    <t>NM_001085474chr1:248902716</t>
  </si>
  <si>
    <t>NM_001099289chr2:109745997</t>
  </si>
  <si>
    <t>NM_001099289chr2:110259067</t>
  </si>
  <si>
    <t>NM_004522chr2:149793796</t>
  </si>
  <si>
    <t>XM_003959969chr3:9258579</t>
  </si>
  <si>
    <t>NM_133625chr3:12182150</t>
  </si>
  <si>
    <t>NM_003178chr3:12182150</t>
  </si>
  <si>
    <t>NM_001144382chr3:17051164</t>
  </si>
  <si>
    <t>XM_001717544chr3:44540462</t>
  </si>
  <si>
    <t>XM_003846328chr3:75717379</t>
  </si>
  <si>
    <t>NM_182524chr4:53227</t>
  </si>
  <si>
    <t>NM_001077693chr5:138837129</t>
  </si>
  <si>
    <t>XM_003118558chr6:9697863</t>
  </si>
  <si>
    <t>NM_003777chr7:21582833</t>
  </si>
  <si>
    <t>NM_006060chr7:50344378</t>
  </si>
  <si>
    <t>NM_001220768chr7:50344378</t>
  </si>
  <si>
    <t>NM_001220765chr7:50344378</t>
  </si>
  <si>
    <t>NM_001220771chr7:50344378</t>
  </si>
  <si>
    <t>NM_006060chr7:50444231</t>
  </si>
  <si>
    <t>NM_001220765chr7:50444231</t>
  </si>
  <si>
    <t>NM_001220768chr7:50444231</t>
  </si>
  <si>
    <t>NM_001220771chr7:50444231</t>
  </si>
  <si>
    <t>NM_001220766chr7:50450238</t>
  </si>
  <si>
    <t>NM_001220767chr7:50450238</t>
  </si>
  <si>
    <t>NM_001220769chr7:50450238</t>
  </si>
  <si>
    <t>NM_001220770chr7:50450238</t>
  </si>
  <si>
    <t>NM_001220773chr7:50455032</t>
  </si>
  <si>
    <t>NM_001220774chr7:50455032</t>
  </si>
  <si>
    <t>NM_001220775chr7:50459422</t>
  </si>
  <si>
    <t>NM_001220776chr7:50459422</t>
  </si>
  <si>
    <t>NM_001220772chr7:50467613</t>
  </si>
  <si>
    <t>XM_003846243chr7:63211027</t>
  </si>
  <si>
    <t>XM_003846248chr7:63220847</t>
  </si>
  <si>
    <t>XM_003846237chr7:63222526</t>
  </si>
  <si>
    <t>NM_001145441chr7:72023729</t>
  </si>
  <si>
    <t>NM_001184961chr7:94285637</t>
  </si>
  <si>
    <t>NM_015068chr7:94285637</t>
  </si>
  <si>
    <t>NM_001172437chr7:94285682</t>
  </si>
  <si>
    <t>NM_173059chr7:100331249</t>
  </si>
  <si>
    <t>NM_003386chr7:100331249</t>
  </si>
  <si>
    <t>NM_173681chr7:150709297</t>
  </si>
  <si>
    <t>NM_001077527chr8:143738874</t>
  </si>
  <si>
    <t>NM_003724chr8:143738874</t>
  </si>
  <si>
    <t>XM_003959925chr9:70923808</t>
  </si>
  <si>
    <t>XM_001714786chr10:47191765</t>
  </si>
  <si>
    <t>NM_018461chr10:133747960</t>
  </si>
  <si>
    <t>NM_053005chr11:1490685</t>
  </si>
  <si>
    <t>NM_012309chr11:70313961</t>
  </si>
  <si>
    <t>NM_033425chr11:111848033</t>
  </si>
  <si>
    <t>NM_001242607chr11:112831969</t>
  </si>
  <si>
    <t>NM_181351chr11:112831969</t>
  </si>
  <si>
    <t>NM_000615chr11:112831969</t>
  </si>
  <si>
    <t>NM_001076682chr11:112831969</t>
  </si>
  <si>
    <t>NM_001242608chr11:112831969</t>
  </si>
  <si>
    <t>NM_001007277chr11:125439298</t>
  </si>
  <si>
    <t>NM_006331chr12:7079944</t>
  </si>
  <si>
    <t>NM_001733chr12:7187513</t>
  </si>
  <si>
    <t>NM_001733chr12:7241205</t>
  </si>
  <si>
    <t>XM_003846356chr12:40791677</t>
  </si>
  <si>
    <t>NM_001145026chr12:80838126</t>
  </si>
  <si>
    <t>NM_018711chr12:109304658</t>
  </si>
  <si>
    <t>NM_014938chr12:122516652</t>
  </si>
  <si>
    <t>NM_014938chr12:122611800</t>
  </si>
  <si>
    <t>NM_002537chr15:64979773</t>
  </si>
  <si>
    <t>XM_003846272chr15:76083709</t>
  </si>
  <si>
    <t>XM_003959993chr15:83188579</t>
  </si>
  <si>
    <t>NM_138321chr15:101853222</t>
  </si>
  <si>
    <t>NM_138320chr15:101853222</t>
  </si>
  <si>
    <t>NM_001146336chr16:8619502</t>
  </si>
  <si>
    <t>NM_130464chr16:21413455</t>
  </si>
  <si>
    <t>XM_003403461chr16:21845884</t>
  </si>
  <si>
    <t>NM_181536chr16:71963441</t>
  </si>
  <si>
    <t>NM_182705chr17:289769</t>
  </si>
  <si>
    <t>NM_015077chr17:26698987</t>
  </si>
  <si>
    <t>NM_001242366chr17:26721661</t>
  </si>
  <si>
    <t>NM_080669chr17:26721661</t>
  </si>
  <si>
    <t>NM_032595chr17:48211101</t>
  </si>
  <si>
    <t>NM_004152chr19:2269520</t>
  </si>
  <si>
    <t>XM_003959954chr19:21800852</t>
  </si>
  <si>
    <t>XM_003959956chr21:47612391</t>
  </si>
  <si>
    <t>NM_016431chr22:51041562</t>
  </si>
  <si>
    <t>NM_033517chr22:51113070</t>
  </si>
  <si>
    <t>NM_012227chrX:221426</t>
  </si>
  <si>
    <t>NM_003868chrX:76709645</t>
  </si>
  <si>
    <t>NM_012227chrY:171426</t>
  </si>
  <si>
    <t>NM_001145051chr2:46706704</t>
  </si>
  <si>
    <t>NM_019105chr6:32008932</t>
  </si>
  <si>
    <t>NM_003585chr17:6009</t>
  </si>
  <si>
    <t>NM_001242538chr19:52655844</t>
  </si>
  <si>
    <t>NM_001242531chr19:52655844</t>
  </si>
  <si>
    <t>NM_001105553chr19:52655844</t>
  </si>
  <si>
    <t>NM_022148chrX:1314870</t>
  </si>
  <si>
    <t>NM_022148chrY:1264870</t>
  </si>
  <si>
    <t>2(1)</t>
    <phoneticPr fontId="1" type="noConversion"/>
  </si>
  <si>
    <t>&gt;=11</t>
    <phoneticPr fontId="1" type="noConversion"/>
  </si>
  <si>
    <t>NM_001271872</t>
  </si>
  <si>
    <t>NM_001277444</t>
  </si>
  <si>
    <t>XM_005263846</t>
  </si>
  <si>
    <t>XM_005277533</t>
  </si>
  <si>
    <t>XM_005269378</t>
  </si>
  <si>
    <t>NM_017419</t>
  </si>
  <si>
    <t>NM_001127178</t>
  </si>
  <si>
    <t>XM_005248223</t>
  </si>
  <si>
    <t>NM_001281471</t>
  </si>
  <si>
    <t>NM_006510</t>
  </si>
  <si>
    <t>NM_007028</t>
  </si>
  <si>
    <t>NM_005803</t>
  </si>
  <si>
    <t>NM_001202523</t>
  </si>
  <si>
    <t>NM_001954</t>
  </si>
  <si>
    <t>NM_013993</t>
  </si>
  <si>
    <t>NM_001202521</t>
  </si>
  <si>
    <t>NM_001202522</t>
  </si>
  <si>
    <t>NM_013994</t>
  </si>
  <si>
    <t>NM_014068</t>
  </si>
  <si>
    <t>NM_005931</t>
  </si>
  <si>
    <t>NM_002441</t>
  </si>
  <si>
    <t>NM_172165</t>
  </si>
  <si>
    <t>NM_172166</t>
  </si>
  <si>
    <t>NM_025259</t>
  </si>
  <si>
    <t>NM_001178063</t>
  </si>
  <si>
    <t>NM_006781</t>
  </si>
  <si>
    <t>NM_001199455</t>
  </si>
  <si>
    <t>NM_005104</t>
  </si>
  <si>
    <t>NM_001113182</t>
  </si>
  <si>
    <t>NM_001199456</t>
  </si>
  <si>
    <t>NM_022551</t>
  </si>
  <si>
    <t>NM_001145063</t>
  </si>
  <si>
    <t>NM_001278563</t>
  </si>
  <si>
    <t>NM_001080394</t>
  </si>
  <si>
    <t>NM_016647</t>
  </si>
  <si>
    <t>NM_001277813</t>
  </si>
  <si>
    <t>NM_001277815</t>
  </si>
  <si>
    <t>NM_001277816</t>
  </si>
  <si>
    <t>NM_001277817</t>
  </si>
  <si>
    <t>NM_001277818</t>
  </si>
  <si>
    <t>NM_001277814</t>
  </si>
  <si>
    <t>NM_001279352</t>
  </si>
  <si>
    <t>NM_153267</t>
  </si>
  <si>
    <t>NM_152725</t>
  </si>
  <si>
    <t>NM_001145195</t>
  </si>
  <si>
    <t>NM_001278524</t>
  </si>
  <si>
    <t>NM_001278526</t>
  </si>
  <si>
    <t>NM_001278525</t>
  </si>
  <si>
    <t>NM_001276282</t>
  </si>
  <si>
    <t>XM_003960991</t>
  </si>
  <si>
    <t>NM_001040655</t>
  </si>
  <si>
    <t>NM_022905</t>
  </si>
  <si>
    <t>NM_001040656</t>
  </si>
  <si>
    <t>NM_001040657</t>
  </si>
  <si>
    <t>NM_001040659</t>
  </si>
  <si>
    <t>NM_001040660</t>
  </si>
  <si>
    <t>XM_005272366</t>
  </si>
  <si>
    <t>XM_005254825</t>
  </si>
  <si>
    <t>NM_001278081</t>
  </si>
  <si>
    <t>NM_001278425</t>
  </si>
  <si>
    <t>NM_001256299</t>
  </si>
  <si>
    <t>NM_001040282</t>
  </si>
  <si>
    <t>NM_006178</t>
  </si>
  <si>
    <t>NM_001272093</t>
  </si>
  <si>
    <t>NM_001278405</t>
  </si>
  <si>
    <t>NM_001081639</t>
  </si>
  <si>
    <t>NM_001278398</t>
  </si>
  <si>
    <t>NM_001081637</t>
  </si>
  <si>
    <t>NM_001081638</t>
  </si>
  <si>
    <t>NM_013289</t>
  </si>
  <si>
    <t>XM_005260180</t>
  </si>
  <si>
    <t>NM_001278734</t>
  </si>
  <si>
    <t>NM_001278735</t>
  </si>
  <si>
    <t>NM_001276389</t>
  </si>
  <si>
    <t>NM_016631</t>
  </si>
  <si>
    <t>NM_013329</t>
  </si>
  <si>
    <t>NM_001099673</t>
    <phoneticPr fontId="1" type="noConversion"/>
  </si>
  <si>
    <t>NM_001099671</t>
    <phoneticPr fontId="1" type="noConversion"/>
  </si>
  <si>
    <t>NM_033493</t>
    <phoneticPr fontId="1" type="noConversion"/>
  </si>
  <si>
    <t>NM_198883</t>
  </si>
  <si>
    <t>NM_002455</t>
  </si>
  <si>
    <t>NM_001278267</t>
  </si>
  <si>
    <t>NM_014455</t>
  </si>
  <si>
    <t>NM_006468</t>
  </si>
  <si>
    <t>NM_005105</t>
  </si>
  <si>
    <t>NM_153713</t>
  </si>
  <si>
    <t>NM_001039888</t>
  </si>
  <si>
    <t>NM_006472</t>
  </si>
  <si>
    <t>NM_001039703</t>
  </si>
  <si>
    <t>NM_203458</t>
  </si>
  <si>
    <t>NM_005266</t>
  </si>
  <si>
    <t>NM_181703</t>
  </si>
  <si>
    <t>NM_001136478</t>
  </si>
  <si>
    <t>NM_001280560</t>
  </si>
  <si>
    <t>NM_001280559</t>
  </si>
  <si>
    <t>NM_030920</t>
  </si>
  <si>
    <t>NM_001136479</t>
  </si>
  <si>
    <t>NM_018997</t>
  </si>
  <si>
    <t>NM_031901</t>
  </si>
  <si>
    <t>NM_015203</t>
  </si>
  <si>
    <t>XM_001717074</t>
  </si>
  <si>
    <t>NM_001039724</t>
  </si>
  <si>
    <t>NM_020675</t>
  </si>
  <si>
    <t>NM_001164796</t>
  </si>
  <si>
    <t>NM_178504</t>
  </si>
  <si>
    <t>NM_001076</t>
  </si>
  <si>
    <t>NM_003441</t>
  </si>
  <si>
    <t>NM_176816</t>
  </si>
  <si>
    <t>NM_002538</t>
  </si>
  <si>
    <t>NM_001205254</t>
  </si>
  <si>
    <t>NM_001205255</t>
  </si>
  <si>
    <t>NM_022132</t>
  </si>
  <si>
    <t>NM_001207043</t>
  </si>
  <si>
    <t>NM_021904</t>
  </si>
  <si>
    <t>NM_001470</t>
  </si>
  <si>
    <t>NM_001008228</t>
  </si>
  <si>
    <t>NM_206811</t>
  </si>
  <si>
    <t>NM_206809</t>
  </si>
  <si>
    <t>NM_002433</t>
  </si>
  <si>
    <t>NM_206812</t>
  </si>
  <si>
    <t>NM_206810</t>
  </si>
  <si>
    <t>NM_001008229</t>
  </si>
  <si>
    <t>NM_001170418</t>
  </si>
  <si>
    <t>NM_206814</t>
  </si>
  <si>
    <t>NM_002127</t>
  </si>
  <si>
    <t>NM_170783</t>
  </si>
  <si>
    <t>NM_001278786</t>
  </si>
  <si>
    <t>NM_014596</t>
  </si>
  <si>
    <t>NM_021959</t>
  </si>
  <si>
    <t>NM_025236</t>
  </si>
  <si>
    <t>NM_170769</t>
  </si>
  <si>
    <t>NM_052828</t>
  </si>
  <si>
    <t>NM_006778</t>
  </si>
  <si>
    <t>NM_001199120</t>
  </si>
  <si>
    <t>NM_001199121</t>
  </si>
  <si>
    <t>NM_024839</t>
  </si>
  <si>
    <t>NM_001025091</t>
  </si>
  <si>
    <t>NM_001090</t>
  </si>
  <si>
    <t>NM_001164239</t>
  </si>
  <si>
    <t>NM_003587</t>
  </si>
  <si>
    <t>NM_133471</t>
  </si>
  <si>
    <t>NM_001134870</t>
  </si>
  <si>
    <t>NM_178014</t>
  </si>
  <si>
    <t>NM_080870</t>
  </si>
  <si>
    <t>NM_001198815</t>
  </si>
  <si>
    <t>NM_014069</t>
  </si>
  <si>
    <t>NM_007109</t>
  </si>
  <si>
    <t>NM_001077511</t>
  </si>
  <si>
    <t>NM_002117</t>
  </si>
  <si>
    <t>NM_000247</t>
  </si>
  <si>
    <t>NM_001177519</t>
  </si>
  <si>
    <t>NM_001199697</t>
  </si>
  <si>
    <t>NM_001199698</t>
  </si>
  <si>
    <t>NM_080702</t>
  </si>
  <si>
    <t>NM_080703</t>
  </si>
  <si>
    <t>NM_004639</t>
  </si>
  <si>
    <t>NM_001098534</t>
  </si>
  <si>
    <t>NM_021184</t>
  </si>
  <si>
    <t>NM_001199237</t>
  </si>
  <si>
    <t>NM_001199239</t>
  </si>
  <si>
    <t>NM_001199238</t>
  </si>
  <si>
    <t>NM_001199240</t>
  </si>
  <si>
    <t>NM_033177</t>
  </si>
  <si>
    <t>NM_001320</t>
  </si>
  <si>
    <t>NM_138277</t>
  </si>
  <si>
    <t>NM_001039651</t>
  </si>
  <si>
    <t>NM_005346</t>
  </si>
  <si>
    <t>NM_181842</t>
  </si>
  <si>
    <t>NM_000500</t>
  </si>
  <si>
    <t>NM_001128590</t>
  </si>
  <si>
    <t>NM_030652</t>
  </si>
  <si>
    <t>NM_002586</t>
  </si>
  <si>
    <t>NM_004557</t>
  </si>
  <si>
    <t>NM_002122</t>
  </si>
  <si>
    <t>NM_001243962</t>
  </si>
  <si>
    <t>NM_020056</t>
  </si>
  <si>
    <t>NM_002800</t>
  </si>
  <si>
    <t>NM_006120</t>
  </si>
  <si>
    <t>NM_002119</t>
  </si>
  <si>
    <t>NM_002121</t>
  </si>
  <si>
    <t>NM_021976</t>
  </si>
  <si>
    <t>NM_001270401</t>
  </si>
  <si>
    <t>NM_172209</t>
  </si>
  <si>
    <t>NM_003190</t>
  </si>
  <si>
    <t>NM_001254717</t>
  </si>
  <si>
    <t>NM_001141970</t>
  </si>
  <si>
    <t>NM_001350</t>
  </si>
  <si>
    <t>NM_001141969</t>
  </si>
  <si>
    <t>NM_002263</t>
  </si>
  <si>
    <t>NM_138693</t>
  </si>
  <si>
    <t>NM_001280794</t>
  </si>
  <si>
    <t>NM_004445</t>
  </si>
  <si>
    <t>NM_001280795</t>
  </si>
  <si>
    <t>NM_018646</t>
  </si>
  <si>
    <t>NM_001099415</t>
  </si>
  <si>
    <t>NM_031309</t>
  </si>
  <si>
    <t>NM_001136557</t>
  </si>
  <si>
    <t>NM_015597</t>
  </si>
  <si>
    <t>NM_001163</t>
  </si>
  <si>
    <t>NM_021965</t>
  </si>
  <si>
    <t>NM_181491</t>
  </si>
  <si>
    <t>NM_001353</t>
  </si>
  <si>
    <t>NM_212479</t>
  </si>
  <si>
    <t>NM_001177563</t>
  </si>
  <si>
    <t>NM_001177562</t>
  </si>
  <si>
    <t>NM_002716</t>
  </si>
  <si>
    <t>NM_001130991</t>
  </si>
  <si>
    <t>NM_006389</t>
  </si>
  <si>
    <t>NM_000260</t>
  </si>
  <si>
    <t>NM_001127180</t>
  </si>
  <si>
    <t>NM_000922</t>
  </si>
  <si>
    <t>NM_004397</t>
  </si>
  <si>
    <t>NM_001257191</t>
  </si>
  <si>
    <t>XM_005266194</t>
  </si>
  <si>
    <t>NM_001243127</t>
  </si>
  <si>
    <t>NM_001100913</t>
  </si>
  <si>
    <t>NM_015197</t>
  </si>
  <si>
    <t>NM_001040658</t>
  </si>
  <si>
    <t>NM_207355</t>
  </si>
  <si>
    <t>NM_006750</t>
  </si>
  <si>
    <t>NM_032830</t>
  </si>
  <si>
    <t>NM_030975</t>
  </si>
  <si>
    <t>NM_025109</t>
  </si>
  <si>
    <t>NM_001163735</t>
  </si>
  <si>
    <t>NM_001033580</t>
  </si>
  <si>
    <t>NM_178517</t>
  </si>
  <si>
    <t>NM_016841</t>
  </si>
  <si>
    <t>NM_016834</t>
  </si>
  <si>
    <t>NM_001203251</t>
  </si>
  <si>
    <t>NM_001123067</t>
  </si>
  <si>
    <t>NM_001203252</t>
  </si>
  <si>
    <t>NM_005910</t>
  </si>
  <si>
    <t>NM_016835</t>
  </si>
  <si>
    <t>NM_001123066</t>
  </si>
  <si>
    <t>NM_001145147</t>
  </si>
  <si>
    <t>NM_001145148</t>
  </si>
  <si>
    <t>NM_004382</t>
  </si>
  <si>
    <t>NM_001145146</t>
  </si>
  <si>
    <t>NM_171999</t>
  </si>
  <si>
    <t>NM_001114093</t>
  </si>
  <si>
    <t>NM_015578</t>
  </si>
  <si>
    <t>NM_144686</t>
  </si>
  <si>
    <t>NM_001145303</t>
  </si>
  <si>
    <t>NM_024075</t>
  </si>
  <si>
    <t>NM_001077446</t>
  </si>
  <si>
    <t>NM_006864</t>
  </si>
  <si>
    <t>NM_001081450</t>
  </si>
  <si>
    <t>NM_001278404</t>
  </si>
  <si>
    <t>NM_001080978</t>
  </si>
  <si>
    <t>NM_005874</t>
  </si>
  <si>
    <t>NM_001278403</t>
  </si>
  <si>
    <t>NM_181985</t>
  </si>
  <si>
    <t>NM_021250</t>
  </si>
  <si>
    <t>NM_006669</t>
  </si>
  <si>
    <t>NM_198988</t>
  </si>
  <si>
    <t>NM_014218</t>
  </si>
  <si>
    <t>NM_173506</t>
  </si>
  <si>
    <t>NM_153443</t>
  </si>
  <si>
    <t>NM_138927</t>
  </si>
  <si>
    <t>NM_001257291</t>
  </si>
  <si>
    <t>NM_032591</t>
  </si>
  <si>
    <t>NM_001077445</t>
  </si>
  <si>
    <t>NM_014735</t>
  </si>
  <si>
    <t>NM_001012755</t>
  </si>
  <si>
    <t>NM_001184749</t>
  </si>
  <si>
    <t>NM_173078</t>
  </si>
  <si>
    <t>NM_001184750</t>
  </si>
  <si>
    <t>NM_013364</t>
  </si>
  <si>
    <t>NM_001009615</t>
  </si>
  <si>
    <t>NM_007231</t>
  </si>
  <si>
    <t>NM_001017417</t>
  </si>
  <si>
    <t>NM_001012989</t>
  </si>
  <si>
    <t>NM_033518</t>
  </si>
  <si>
    <t>NM_020137</t>
  </si>
  <si>
    <t>NM_001271836</t>
  </si>
  <si>
    <t>NM_001163323</t>
  </si>
  <si>
    <t>NM_001163321</t>
  </si>
  <si>
    <t>NM_001271835</t>
  </si>
  <si>
    <t>NM_001163322</t>
  </si>
  <si>
    <t>NM_033626</t>
  </si>
  <si>
    <t>NM_007213</t>
  </si>
  <si>
    <t>NM_001127200</t>
  </si>
  <si>
    <t>NM_000116</t>
  </si>
  <si>
    <t>NM_181312</t>
  </si>
  <si>
    <t>NM_181311</t>
  </si>
  <si>
    <t>NM_181313</t>
  </si>
  <si>
    <t>NM_006014</t>
  </si>
  <si>
    <t>NM_001145073</t>
  </si>
  <si>
    <t>NM_001278701</t>
  </si>
  <si>
    <t>NM_001278702</t>
  </si>
  <si>
    <t>NM_001164417</t>
  </si>
  <si>
    <t>NM_020973</t>
    <phoneticPr fontId="1" type="noConversion"/>
  </si>
  <si>
    <t>NM_001128432</t>
    <phoneticPr fontId="1" type="noConversion"/>
  </si>
  <si>
    <t>XM_003959920</t>
    <phoneticPr fontId="1" type="noConversion"/>
  </si>
  <si>
    <t>NM_018295</t>
    <phoneticPr fontId="1" type="noConversion"/>
  </si>
  <si>
    <t>XM_003959934</t>
    <phoneticPr fontId="1" type="noConversion"/>
  </si>
  <si>
    <t>XM_001715897</t>
    <phoneticPr fontId="1" type="noConversion"/>
  </si>
  <si>
    <t>NM_001872</t>
    <phoneticPr fontId="1" type="noConversion"/>
  </si>
  <si>
    <t>XM_003846267</t>
    <phoneticPr fontId="1" type="noConversion"/>
  </si>
  <si>
    <t>NM_170589</t>
    <phoneticPr fontId="1" type="noConversion"/>
  </si>
  <si>
    <t>NM_144508</t>
    <phoneticPr fontId="1" type="noConversion"/>
  </si>
  <si>
    <t>NM_182758</t>
    <phoneticPr fontId="1" type="noConversion"/>
  </si>
  <si>
    <t>NM_052858</t>
    <phoneticPr fontId="1" type="noConversion"/>
  </si>
  <si>
    <t>NM_138329</t>
    <phoneticPr fontId="1" type="noConversion"/>
  </si>
  <si>
    <t>NM_001005175</t>
    <phoneticPr fontId="1" type="noConversion"/>
  </si>
  <si>
    <t>XM_003846243</t>
    <phoneticPr fontId="1" type="noConversion"/>
  </si>
  <si>
    <t>XM_003846237</t>
    <phoneticPr fontId="1" type="noConversion"/>
  </si>
  <si>
    <t>NM_001105553</t>
    <phoneticPr fontId="1" type="noConversion"/>
  </si>
  <si>
    <t>SRGAP2</t>
    <phoneticPr fontId="1" type="noConversion"/>
  </si>
  <si>
    <t>SRGAP3-AS3</t>
    <phoneticPr fontId="1" type="noConversion"/>
  </si>
  <si>
    <t>XM_003959990chr5:99725726</t>
    <phoneticPr fontId="1" type="noConversion"/>
  </si>
  <si>
    <t>LOC441098</t>
    <phoneticPr fontId="1" type="noConversion"/>
  </si>
  <si>
    <t>DNAH11</t>
    <phoneticPr fontId="1" type="noConversion"/>
  </si>
  <si>
    <t>LOC100996428</t>
    <phoneticPr fontId="1" type="noConversion"/>
  </si>
  <si>
    <t>ZNF83</t>
    <phoneticPr fontId="1" type="noConversion"/>
  </si>
  <si>
    <r>
      <rPr>
        <sz val="10"/>
        <color theme="1"/>
        <rFont val="宋体"/>
        <family val="3"/>
        <charset val="134"/>
      </rPr>
      <t>别名</t>
    </r>
    <r>
      <rPr>
        <sz val="10"/>
        <color theme="1"/>
        <rFont val="Times New Roman"/>
        <family val="1"/>
      </rPr>
      <t>DNM1P49</t>
    </r>
    <r>
      <rPr>
        <sz val="10"/>
        <color theme="1"/>
        <rFont val="宋体"/>
        <family val="3"/>
        <charset val="134"/>
      </rPr>
      <t>，假基因</t>
    </r>
    <phoneticPr fontId="1" type="noConversion"/>
  </si>
  <si>
    <t>LOC100996675</t>
    <phoneticPr fontId="1" type="noConversion"/>
  </si>
  <si>
    <t>LOC101059911</t>
    <phoneticPr fontId="1" type="noConversion"/>
  </si>
  <si>
    <r>
      <rPr>
        <sz val="10"/>
        <color theme="1"/>
        <rFont val="宋体"/>
        <family val="3"/>
        <charset val="134"/>
      </rPr>
      <t>别名</t>
    </r>
    <r>
      <rPr>
        <sz val="10"/>
        <color theme="1"/>
        <rFont val="Times New Roman"/>
        <family val="1"/>
      </rPr>
      <t>LINC01663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ncRNA</t>
    </r>
    <phoneticPr fontId="1" type="noConversion"/>
  </si>
  <si>
    <t>LOC730268</t>
    <phoneticPr fontId="1" type="noConversion"/>
  </si>
  <si>
    <t>LOC100996432</t>
    <phoneticPr fontId="1" type="noConversion"/>
  </si>
  <si>
    <t>GBA3</t>
    <phoneticPr fontId="1" type="noConversion"/>
  </si>
  <si>
    <t>LOC730058</t>
    <phoneticPr fontId="1" type="noConversion"/>
  </si>
  <si>
    <t>LOC100996885</t>
    <phoneticPr fontId="1" type="noConversion"/>
  </si>
  <si>
    <t>LOC100996392</t>
    <phoneticPr fontId="1" type="noConversion"/>
  </si>
  <si>
    <t>LOC100996372</t>
    <phoneticPr fontId="1" type="noConversion"/>
  </si>
  <si>
    <r>
      <rPr>
        <sz val="10"/>
        <color theme="1"/>
        <rFont val="宋体"/>
        <family val="3"/>
        <charset val="134"/>
      </rPr>
      <t>最后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个翻译错误，终止密码子附近不完整</t>
    </r>
    <phoneticPr fontId="1" type="noConversion"/>
  </si>
  <si>
    <t>PEG10</t>
    <phoneticPr fontId="1" type="noConversion"/>
  </si>
  <si>
    <t>IKZF1</t>
    <phoneticPr fontId="1" type="noConversion"/>
  </si>
  <si>
    <t>SH3RF3</t>
    <phoneticPr fontId="1" type="noConversion"/>
  </si>
  <si>
    <t>NCAM1</t>
    <phoneticPr fontId="1" type="noConversion"/>
  </si>
  <si>
    <t>HIPK2</t>
    <phoneticPr fontId="1" type="noConversion"/>
  </si>
  <si>
    <t>GALNT9</t>
    <phoneticPr fontId="1" type="noConversion"/>
  </si>
  <si>
    <t>ECSCR</t>
    <phoneticPr fontId="1" type="noConversion"/>
  </si>
  <si>
    <t>MLXIP</t>
    <phoneticPr fontId="1" type="noConversion"/>
  </si>
  <si>
    <t>基因分为多段(暂不解决)</t>
    <phoneticPr fontId="1" type="noConversion"/>
  </si>
  <si>
    <t>NM_033492</t>
    <phoneticPr fontId="1" type="noConversion"/>
  </si>
  <si>
    <t>CDK11B</t>
    <phoneticPr fontId="1" type="noConversion"/>
  </si>
  <si>
    <t>NM_001143962</t>
    <phoneticPr fontId="1" type="noConversion"/>
  </si>
  <si>
    <t>NM_033489</t>
    <phoneticPr fontId="1" type="noConversion"/>
  </si>
  <si>
    <t>NM_152486</t>
    <phoneticPr fontId="1" type="noConversion"/>
  </si>
  <si>
    <t>NM_004879</t>
    <phoneticPr fontId="1" type="noConversion"/>
  </si>
  <si>
    <t>NM_001017915</t>
    <phoneticPr fontId="1" type="noConversion"/>
  </si>
  <si>
    <t>NM_000348</t>
    <phoneticPr fontId="1" type="noConversion"/>
  </si>
  <si>
    <t>NM_005541</t>
    <phoneticPr fontId="1" type="noConversion"/>
  </si>
  <si>
    <t>CDS3_0</t>
    <phoneticPr fontId="1" type="noConversion"/>
  </si>
  <si>
    <r>
      <t>1337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774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</si>
  <si>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72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54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</si>
  <si>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11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 xml:space="preserve">7,
</t>
    </r>
    <r>
      <rPr>
        <sz val="10"/>
        <color theme="1"/>
        <rFont val="宋体"/>
        <family val="3"/>
        <charset val="134"/>
      </rPr>
      <t>含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个编码正确）</t>
    </r>
    <phoneticPr fontId="1" type="noConversion"/>
  </si>
  <si>
    <r>
      <t>6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2,INPP5D</t>
    </r>
    <r>
      <rPr>
        <sz val="10"/>
        <color theme="1"/>
        <rFont val="宋体"/>
        <family val="3"/>
        <charset val="134"/>
      </rPr>
      <t>有两个位置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mRNA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</si>
  <si>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235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154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</si>
  <si>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5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DPP6</t>
    </r>
    <r>
      <rPr>
        <sz val="10"/>
        <color theme="1"/>
        <rFont val="宋体"/>
        <family val="3"/>
        <charset val="134"/>
      </rPr>
      <t>有两个位置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mRNA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</si>
  <si>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2</t>
    </r>
    <r>
      <rPr>
        <sz val="10"/>
        <color theme="1"/>
        <rFont val="宋体"/>
        <family val="3"/>
        <charset val="134"/>
      </rPr>
      <t>、初步估计有</t>
    </r>
    <r>
      <rPr>
        <sz val="10"/>
        <color theme="1"/>
        <rFont val="Times New Roman"/>
        <family val="1"/>
      </rPr>
      <t>1337</t>
    </r>
    <r>
      <rPr>
        <sz val="10"/>
        <color theme="1"/>
        <rFont val="宋体"/>
        <family val="3"/>
        <charset val="134"/>
      </rPr>
      <t>条</t>
    </r>
    <r>
      <rPr>
        <sz val="10"/>
        <color theme="1"/>
        <rFont val="Times New Roman"/>
        <family val="1"/>
      </rPr>
      <t>mRNA</t>
    </r>
    <r>
      <rPr>
        <sz val="10"/>
        <color theme="1"/>
        <rFont val="宋体"/>
        <family val="3"/>
        <charset val="134"/>
      </rPr>
      <t>存在明显编码问题，共</t>
    </r>
    <r>
      <rPr>
        <sz val="10"/>
        <color theme="1"/>
        <rFont val="Times New Roman"/>
        <family val="1"/>
      </rPr>
      <t>774</t>
    </r>
    <r>
      <rPr>
        <sz val="10"/>
        <color theme="1"/>
        <rFont val="宋体"/>
        <family val="3"/>
        <charset val="134"/>
      </rPr>
      <t>个基因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有些基因与</t>
    </r>
    <r>
      <rPr>
        <sz val="10"/>
        <color theme="1"/>
        <rFont val="Times New Roman"/>
        <family val="1"/>
      </rPr>
      <t>mRNA</t>
    </r>
    <r>
      <rPr>
        <sz val="10"/>
        <color theme="1"/>
        <rFont val="宋体"/>
        <family val="3"/>
        <charset val="134"/>
      </rPr>
      <t>的名称一致，但位置不一致</t>
    </r>
    <r>
      <rPr>
        <sz val="10"/>
        <color theme="1"/>
        <rFont val="Times New Roman"/>
        <family val="1"/>
      </rPr>
      <t>)</t>
    </r>
    <r>
      <rPr>
        <sz val="10"/>
        <color theme="1"/>
        <rFont val="宋体"/>
        <family val="3"/>
        <charset val="134"/>
      </rPr>
      <t>，存在问题较大的变体</t>
    </r>
    <r>
      <rPr>
        <sz val="10"/>
        <color theme="1"/>
        <rFont val="Times New Roman"/>
        <family val="1"/>
      </rPr>
      <t>307</t>
    </r>
    <r>
      <rPr>
        <sz val="10"/>
        <color theme="1"/>
        <rFont val="宋体"/>
        <family val="3"/>
        <charset val="134"/>
      </rPr>
      <t>个（基因</t>
    </r>
    <r>
      <rPr>
        <sz val="10"/>
        <color theme="1"/>
        <rFont val="Times New Roman"/>
        <family val="1"/>
      </rPr>
      <t>208</t>
    </r>
    <r>
      <rPr>
        <sz val="10"/>
        <color theme="1"/>
        <rFont val="宋体"/>
        <family val="3"/>
        <charset val="134"/>
      </rPr>
      <t>个）</t>
    </r>
    <phoneticPr fontId="1" type="noConversion"/>
  </si>
  <si>
    <t>NM_033487</t>
  </si>
  <si>
    <t>NM_033487chr1:1571100</t>
  </si>
  <si>
    <t>无变化</t>
  </si>
  <si>
    <t>纠后正确</t>
  </si>
  <si>
    <t>纠后正确，chr8:145736816终止</t>
  </si>
  <si>
    <t>前后均不正确</t>
  </si>
  <si>
    <r>
      <rPr>
        <sz val="10"/>
        <color theme="1"/>
        <rFont val="宋体"/>
        <family val="2"/>
      </rPr>
      <t>无变化</t>
    </r>
  </si>
  <si>
    <r>
      <rPr>
        <sz val="10"/>
        <color theme="1"/>
        <rFont val="宋体"/>
        <family val="2"/>
      </rPr>
      <t>整体少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chr10:102587349-102587376</t>
    </r>
    <phoneticPr fontId="1" type="noConversion"/>
  </si>
  <si>
    <r>
      <rPr>
        <sz val="10"/>
        <color theme="1"/>
        <rFont val="宋体"/>
        <family val="2"/>
      </rPr>
      <t>纠后正确</t>
    </r>
  </si>
  <si>
    <r>
      <rPr>
        <sz val="10"/>
        <color theme="1"/>
        <rFont val="宋体"/>
        <family val="2"/>
      </rPr>
      <t>纠后不正确，在</t>
    </r>
    <r>
      <rPr>
        <sz val="10"/>
        <color theme="1"/>
        <rFont val="Times New Roman"/>
        <family val="1"/>
      </rPr>
      <t>62404846DEL1</t>
    </r>
  </si>
  <si>
    <r>
      <rPr>
        <sz val="10"/>
        <color theme="1"/>
        <rFont val="宋体"/>
        <family val="2"/>
      </rPr>
      <t>氨基酸整体少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2"/>
      </rPr>
      <t>个</t>
    </r>
    <r>
      <rPr>
        <sz val="10"/>
        <color theme="1"/>
        <rFont val="Times New Roman"/>
        <family val="1"/>
      </rPr>
      <t>chr2:217498311-217528827</t>
    </r>
  </si>
  <si>
    <r>
      <rPr>
        <sz val="10"/>
        <color theme="1"/>
        <rFont val="宋体"/>
        <family val="2"/>
      </rPr>
      <t>氨基酸整体少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2"/>
      </rPr>
      <t>个</t>
    </r>
    <r>
      <rPr>
        <sz val="10"/>
        <color theme="1"/>
        <rFont val="Times New Roman"/>
        <family val="1"/>
      </rPr>
      <t>chr19</t>
    </r>
    <r>
      <rPr>
        <sz val="10"/>
        <color theme="1"/>
        <rFont val="宋体"/>
        <family val="2"/>
      </rPr>
      <t>：</t>
    </r>
    <r>
      <rPr>
        <sz val="10"/>
        <color theme="1"/>
        <rFont val="Times New Roman"/>
        <family val="1"/>
      </rPr>
      <t>4499665-4502022</t>
    </r>
    <phoneticPr fontId="1" type="noConversion"/>
  </si>
  <si>
    <r>
      <rPr>
        <sz val="10"/>
        <color theme="1"/>
        <rFont val="宋体"/>
        <family val="2"/>
      </rPr>
      <t>氨基酸整体少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</t>
    </r>
    <r>
      <rPr>
        <sz val="10"/>
        <color theme="1"/>
        <rFont val="Times New Roman"/>
        <family val="1"/>
      </rPr>
      <t>chr19:56599389-56599751</t>
    </r>
    <phoneticPr fontId="1" type="noConversion"/>
  </si>
  <si>
    <r>
      <rPr>
        <sz val="10"/>
        <color theme="1"/>
        <rFont val="宋体"/>
        <family val="2"/>
      </rPr>
      <t>氨基酸整体少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</t>
    </r>
    <r>
      <rPr>
        <sz val="10"/>
        <color theme="1"/>
        <rFont val="Times New Roman"/>
        <family val="1"/>
      </rPr>
      <t>chr18</t>
    </r>
    <r>
      <rPr>
        <sz val="10"/>
        <color theme="1"/>
        <rFont val="宋体"/>
        <family val="2"/>
      </rPr>
      <t>：</t>
    </r>
    <r>
      <rPr>
        <sz val="10"/>
        <color theme="1"/>
        <rFont val="Times New Roman"/>
        <family val="1"/>
      </rPr>
      <t>43833705-43843081</t>
    </r>
  </si>
  <si>
    <r>
      <rPr>
        <sz val="10"/>
        <color theme="1"/>
        <rFont val="宋体"/>
        <family val="2"/>
      </rPr>
      <t>氨基酸整体增加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</t>
    </r>
    <r>
      <rPr>
        <sz val="10"/>
        <color theme="1"/>
        <rFont val="Times New Roman"/>
        <family val="1"/>
      </rPr>
      <t>chrX:1314875-1314998</t>
    </r>
  </si>
  <si>
    <r>
      <rPr>
        <sz val="10"/>
        <color theme="1"/>
        <rFont val="宋体"/>
        <family val="2"/>
      </rPr>
      <t>氨基酸整体增加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</t>
    </r>
    <r>
      <rPr>
        <sz val="10"/>
        <color theme="1"/>
        <rFont val="Times New Roman"/>
        <family val="1"/>
      </rPr>
      <t>chrY:1264871-1264998</t>
    </r>
  </si>
  <si>
    <r>
      <rPr>
        <sz val="10"/>
        <color theme="1"/>
        <rFont val="宋体"/>
        <family val="2"/>
      </rPr>
      <t>氨基酸整体少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个，</t>
    </r>
    <r>
      <rPr>
        <sz val="10"/>
        <color theme="1"/>
        <rFont val="Times New Roman"/>
        <family val="1"/>
      </rPr>
      <t>chr2</t>
    </r>
    <r>
      <rPr>
        <sz val="10"/>
        <color theme="1"/>
        <rFont val="宋体"/>
        <family val="2"/>
      </rPr>
      <t>：</t>
    </r>
    <r>
      <rPr>
        <sz val="10"/>
        <color theme="1"/>
        <rFont val="Times New Roman"/>
        <family val="1"/>
      </rPr>
      <t>95847047-95847854</t>
    </r>
  </si>
  <si>
    <r>
      <rPr>
        <sz val="10"/>
        <color theme="1"/>
        <rFont val="宋体"/>
        <family val="2"/>
      </rPr>
      <t>整体增加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chr14:24646414-24649301</t>
    </r>
  </si>
  <si>
    <r>
      <rPr>
        <sz val="10"/>
        <color theme="1"/>
        <rFont val="宋体"/>
        <family val="2"/>
      </rPr>
      <t>纠后不正确</t>
    </r>
  </si>
  <si>
    <r>
      <rPr>
        <sz val="10"/>
        <color theme="1"/>
        <rFont val="宋体"/>
        <family val="2"/>
      </rPr>
      <t>原来正确，纠后不正确</t>
    </r>
  </si>
  <si>
    <r>
      <rPr>
        <sz val="10"/>
        <color theme="1"/>
        <rFont val="宋体"/>
        <family val="2"/>
      </rPr>
      <t>原来正确，纠后错误</t>
    </r>
  </si>
  <si>
    <r>
      <rPr>
        <sz val="10"/>
        <color theme="1"/>
        <rFont val="宋体"/>
        <family val="2"/>
      </rPr>
      <t>整体少了一个氨基酸</t>
    </r>
    <r>
      <rPr>
        <sz val="10"/>
        <color theme="1"/>
        <rFont val="Times New Roman"/>
        <family val="1"/>
      </rPr>
      <t>chr9</t>
    </r>
    <r>
      <rPr>
        <sz val="10"/>
        <color theme="1"/>
        <rFont val="宋体"/>
        <family val="2"/>
      </rPr>
      <t>：</t>
    </r>
    <r>
      <rPr>
        <sz val="10"/>
        <color theme="1"/>
        <rFont val="Times New Roman"/>
        <family val="1"/>
      </rPr>
      <t>95227244-95237086</t>
    </r>
  </si>
  <si>
    <r>
      <rPr>
        <sz val="10"/>
        <color theme="1"/>
        <rFont val="宋体"/>
        <family val="2"/>
      </rPr>
      <t>错误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2"/>
      </rPr>
      <t>建议丢弃</t>
    </r>
    <phoneticPr fontId="1" type="noConversion"/>
  </si>
  <si>
    <r>
      <rPr>
        <sz val="10"/>
        <color theme="1"/>
        <rFont val="宋体"/>
        <family val="2"/>
      </rPr>
      <t>整体多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chr19:50881825-50885859</t>
    </r>
    <phoneticPr fontId="1" type="noConversion"/>
  </si>
  <si>
    <r>
      <rPr>
        <sz val="10"/>
        <color theme="1"/>
        <rFont val="宋体"/>
        <family val="2"/>
      </rPr>
      <t>原来正确</t>
    </r>
  </si>
  <si>
    <r>
      <rPr>
        <sz val="10"/>
        <color theme="1"/>
        <rFont val="宋体"/>
        <family val="2"/>
      </rPr>
      <t>整体多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chr4:3076663-3241786</t>
    </r>
    <phoneticPr fontId="1" type="noConversion"/>
  </si>
  <si>
    <r>
      <rPr>
        <sz val="10"/>
        <color theme="1"/>
        <rFont val="宋体"/>
        <family val="2"/>
      </rPr>
      <t>纠后正确，</t>
    </r>
    <r>
      <rPr>
        <sz val="10"/>
        <color theme="1"/>
        <rFont val="Times New Roman"/>
        <family val="1"/>
      </rPr>
      <t>chr8:145736816</t>
    </r>
    <r>
      <rPr>
        <sz val="10"/>
        <color theme="1"/>
        <rFont val="宋体"/>
        <family val="2"/>
      </rPr>
      <t>终止</t>
    </r>
  </si>
  <si>
    <r>
      <rPr>
        <sz val="10"/>
        <color theme="1"/>
        <rFont val="宋体"/>
        <family val="2"/>
      </rPr>
      <t>前后均不正确</t>
    </r>
  </si>
  <si>
    <r>
      <rPr>
        <sz val="10"/>
        <color theme="1"/>
        <rFont val="宋体"/>
        <family val="2"/>
      </rPr>
      <t>整体增加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chr2:73613074-73836739</t>
    </r>
  </si>
  <si>
    <r>
      <rPr>
        <sz val="10"/>
        <color theme="1"/>
        <rFont val="宋体"/>
        <family val="2"/>
      </rPr>
      <t>前后均错误</t>
    </r>
  </si>
  <si>
    <r>
      <rPr>
        <sz val="10"/>
        <color theme="1"/>
        <rFont val="宋体"/>
        <family val="2"/>
      </rPr>
      <t>前后错误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</si>
  <si>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chr12:9994450-9997125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</si>
  <si>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chr9</t>
    </r>
    <r>
      <rPr>
        <sz val="10"/>
        <color theme="1"/>
        <rFont val="宋体"/>
        <family val="2"/>
      </rPr>
      <t>：</t>
    </r>
    <r>
      <rPr>
        <sz val="10"/>
        <color theme="1"/>
        <rFont val="Times New Roman"/>
        <family val="1"/>
      </rPr>
      <t>95227244-95237086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</si>
  <si>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chr3:53321601-53324874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</si>
  <si>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4,5,6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chr4:140810527-140811555</t>
    </r>
    <r>
      <rPr>
        <sz val="10"/>
        <color theme="1"/>
        <rFont val="宋体"/>
        <family val="2"/>
      </rPr>
      <t>、</t>
    </r>
    <r>
      <rPr>
        <sz val="10"/>
        <color theme="1"/>
        <rFont val="Times New Roman"/>
        <family val="1"/>
      </rPr>
      <t>140640477</t>
    </r>
    <r>
      <rPr>
        <sz val="10"/>
        <color theme="1"/>
        <rFont val="宋体"/>
        <family val="2"/>
      </rPr>
      <t>、</t>
    </r>
    <r>
      <rPr>
        <sz val="10"/>
        <color theme="1"/>
        <rFont val="Times New Roman"/>
        <family val="1"/>
      </rPr>
      <t>140810512</t>
    </r>
    <phoneticPr fontId="1" type="noConversion"/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</si>
  <si>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chr21:46924462-46932312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</si>
  <si>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chr19:4499665-4502022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</si>
  <si>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2"/>
      </rPr>
      <t>个氨基酸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</si>
  <si>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chr3:124627032-124646509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</si>
  <si>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chr20:278691-279442</t>
    </r>
  </si>
  <si>
    <r>
      <rPr>
        <sz val="10"/>
        <color theme="1"/>
        <rFont val="宋体"/>
        <family val="2"/>
      </rPr>
      <t>整体少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chr21:46924440-46932312</t>
    </r>
  </si>
  <si>
    <r>
      <rPr>
        <sz val="10"/>
        <color theme="1"/>
        <rFont val="宋体"/>
        <family val="2"/>
      </rPr>
      <t>纠后正确？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</si>
  <si>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chr17:6928051-6930938</t>
    </r>
  </si>
  <si>
    <r>
      <rPr>
        <sz val="10"/>
        <color theme="1"/>
        <rFont val="宋体"/>
        <family val="2"/>
      </rPr>
      <t>整体增加了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chr19:21299778-21301135</t>
    </r>
  </si>
  <si>
    <r>
      <rPr>
        <sz val="10"/>
        <color theme="1"/>
        <rFont val="宋体"/>
        <family val="2"/>
      </rPr>
      <t>整体少了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chr21:46020656-46021649</t>
    </r>
  </si>
  <si>
    <t>NM_000158chr3:81538850</t>
    <phoneticPr fontId="1" type="noConversion"/>
  </si>
  <si>
    <t>NM_000158</t>
    <phoneticPr fontId="1" type="noConversion"/>
  </si>
  <si>
    <t>NM_000104</t>
    <phoneticPr fontId="1" type="noConversion"/>
  </si>
  <si>
    <t>NM_000442</t>
    <phoneticPr fontId="1" type="noConversion"/>
  </si>
  <si>
    <t>&gt;=11</t>
    <phoneticPr fontId="1" type="noConversion"/>
  </si>
  <si>
    <r>
      <rPr>
        <sz val="10"/>
        <color theme="1"/>
        <rFont val="宋体"/>
        <family val="3"/>
        <charset val="134"/>
      </rPr>
      <t>纠后正确，且氨基酸少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chr19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4499665-4502022</t>
    </r>
    <phoneticPr fontId="1" type="noConversion"/>
  </si>
  <si>
    <r>
      <rPr>
        <sz val="10"/>
        <color theme="1"/>
        <rFont val="宋体"/>
        <family val="3"/>
        <charset val="134"/>
      </rPr>
      <t>纠后正确，少了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chr19:4499665-4502022</t>
    </r>
    <phoneticPr fontId="1" type="noConversion"/>
  </si>
  <si>
    <t>NM_001002836chr19:56598732</t>
    <phoneticPr fontId="1" type="noConversion"/>
  </si>
  <si>
    <r>
      <rPr>
        <sz val="10"/>
        <color theme="1"/>
        <rFont val="宋体"/>
        <family val="3"/>
        <charset val="134"/>
      </rPr>
      <t>无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号验证，氨基酸加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chrX:1314875-1314998</t>
    </r>
    <phoneticPr fontId="1" type="noConversion"/>
  </si>
  <si>
    <r>
      <rPr>
        <sz val="10"/>
        <color theme="1"/>
        <rFont val="宋体"/>
        <family val="3"/>
        <charset val="134"/>
      </rPr>
      <t>无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号验证，氨基酸加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chrY:1264871-1264998</t>
    </r>
    <phoneticPr fontId="1" type="noConversion"/>
  </si>
  <si>
    <r>
      <rPr>
        <sz val="10"/>
        <color theme="1"/>
        <rFont val="宋体"/>
        <family val="3"/>
        <charset val="134"/>
      </rPr>
      <t>纠后正确，氨基酸少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个，</t>
    </r>
    <r>
      <rPr>
        <sz val="10"/>
        <color theme="1"/>
        <rFont val="Times New Roman"/>
        <family val="1"/>
      </rPr>
      <t>chr2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95847047-95847854</t>
    </r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</si>
  <si>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chr14:24646414-24649301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</si>
  <si>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chr10:102587349-102587376</t>
    </r>
    <phoneticPr fontId="1" type="noConversion"/>
  </si>
  <si>
    <t>SH3RF3</t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</si>
  <si>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95227244-95237086</t>
    </r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</si>
  <si>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chr19:50881825-50885859</t>
    </r>
    <phoneticPr fontId="1" type="noConversion"/>
  </si>
  <si>
    <t>NM_001936chr7:154002347</t>
    <phoneticPr fontId="1" type="noConversion"/>
  </si>
  <si>
    <r>
      <rPr>
        <sz val="10"/>
        <color theme="1"/>
        <rFont val="宋体"/>
        <family val="3"/>
        <charset val="134"/>
      </rPr>
      <t>错误</t>
    </r>
    <r>
      <rPr>
        <sz val="10"/>
        <color theme="1"/>
        <rFont val="Times New Roman"/>
        <family val="1"/>
      </rPr>
      <t/>
    </r>
    <phoneticPr fontId="1" type="noConversion"/>
  </si>
  <si>
    <t>SAMD1</t>
    <phoneticPr fontId="1" type="noConversion"/>
  </si>
  <si>
    <r>
      <t>rs</t>
    </r>
    <r>
      <rPr>
        <sz val="10"/>
        <color theme="1"/>
        <rFont val="宋体"/>
        <family val="3"/>
        <charset val="134"/>
      </rPr>
      <t>号无基因信息，加</t>
    </r>
    <r>
      <rPr>
        <sz val="10"/>
        <color theme="1"/>
        <rFont val="Times New Roman"/>
        <family val="1"/>
      </rPr>
      <t>106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14199229-14200895</t>
    </r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</si>
  <si>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43833705-43843081</t>
    </r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</si>
  <si>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chr17:6928051-6930938</t>
    </r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</si>
  <si>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chr19:21299778-21301135</t>
    </r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</si>
  <si>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53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chr3:51436200-51467663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</si>
  <si>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chr12:9994450-9997125</t>
    </r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</si>
  <si>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chr2:73613074-73836739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</si>
  <si>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chr3:53321601-53324874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</si>
  <si>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4-6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chr4:140640477-140811555</t>
    </r>
    <r>
      <rPr>
        <sz val="10"/>
        <color theme="1"/>
        <rFont val="宋体"/>
        <family val="3"/>
        <charset val="134"/>
      </rPr>
      <t/>
    </r>
    <phoneticPr fontId="1" type="noConversion"/>
  </si>
  <si>
    <r>
      <t>Browser</t>
    </r>
    <r>
      <rPr>
        <sz val="10"/>
        <color theme="1"/>
        <rFont val="宋体"/>
        <family val="3"/>
        <charset val="134"/>
      </rPr>
      <t>与原结果匹配，纠后与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匹配（</t>
    </r>
    <r>
      <rPr>
        <sz val="10"/>
        <color theme="1"/>
        <rFont val="Times New Roman"/>
        <family val="1"/>
      </rPr>
      <t>rs782094811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chr5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140568037-140569285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</si>
  <si>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个氨基酸，</t>
    </r>
    <r>
      <rPr>
        <sz val="10"/>
        <color theme="1"/>
        <rFont val="Times New Roman"/>
        <family val="1"/>
      </rPr>
      <t>chr2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95847047-95847854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</si>
  <si>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chr21:46924462-46932312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</si>
  <si>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122064785-122079549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</si>
  <si>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chr20:278691-279442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</si>
  <si>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chr21:46924440-46932312</t>
    </r>
    <phoneticPr fontId="1" type="noConversion"/>
  </si>
  <si>
    <t>NM_152503</t>
    <phoneticPr fontId="1" type="noConversion"/>
  </si>
  <si>
    <t>NM_001037954chr11:111807927</t>
    <phoneticPr fontId="1" type="noConversion"/>
  </si>
  <si>
    <r>
      <rPr>
        <sz val="10"/>
        <color theme="1"/>
        <rFont val="宋体"/>
        <family val="3"/>
        <charset val="134"/>
      </rPr>
      <t>多</t>
    </r>
    <r>
      <rPr>
        <sz val="10"/>
        <color theme="1"/>
        <rFont val="Times New Roman"/>
        <family val="1"/>
      </rPr>
      <t>98</t>
    </r>
    <r>
      <rPr>
        <sz val="10"/>
        <color theme="1"/>
        <rFont val="宋体"/>
        <family val="3"/>
        <charset val="134"/>
      </rPr>
      <t>个氨基酸，但无法验证哪个正确，</t>
    </r>
    <r>
      <rPr>
        <sz val="10"/>
        <color theme="1"/>
        <rFont val="Times New Roman"/>
        <family val="1"/>
      </rPr>
      <t>NCBIrs</t>
    </r>
    <r>
      <rPr>
        <sz val="10"/>
        <color theme="1"/>
        <rFont val="宋体"/>
        <family val="3"/>
        <charset val="134"/>
      </rPr>
      <t>无氨基酸注释信息</t>
    </r>
    <r>
      <rPr>
        <sz val="10"/>
        <color theme="1"/>
        <rFont val="Times New Roman"/>
        <family val="1"/>
      </rPr>
      <t>chr1:223715199-223743130</t>
    </r>
    <phoneticPr fontId="1" type="noConversion"/>
  </si>
  <si>
    <r>
      <rPr>
        <sz val="10"/>
        <color theme="1"/>
        <rFont val="宋体"/>
        <family val="3"/>
        <charset val="134"/>
      </rPr>
      <t>多</t>
    </r>
    <r>
      <rPr>
        <sz val="10"/>
        <color theme="1"/>
        <rFont val="Times New Roman"/>
        <family val="1"/>
      </rPr>
      <t>82</t>
    </r>
    <r>
      <rPr>
        <sz val="10"/>
        <color theme="1"/>
        <rFont val="宋体"/>
        <family val="3"/>
        <charset val="134"/>
      </rPr>
      <t>个氨基酸，但无法验证哪个正确，</t>
    </r>
    <r>
      <rPr>
        <sz val="10"/>
        <color theme="1"/>
        <rFont val="Times New Roman"/>
        <family val="1"/>
      </rPr>
      <t>NCBIrs</t>
    </r>
    <r>
      <rPr>
        <sz val="10"/>
        <color theme="1"/>
        <rFont val="宋体"/>
        <family val="3"/>
        <charset val="134"/>
      </rPr>
      <t>无氨基酸注释信息</t>
    </r>
    <r>
      <rPr>
        <sz val="10"/>
        <color theme="1"/>
        <rFont val="Times New Roman"/>
        <family val="1"/>
      </rPr>
      <t>chr7:101957639-101962097</t>
    </r>
    <phoneticPr fontId="1" type="noConversion"/>
  </si>
  <si>
    <r>
      <rPr>
        <sz val="10"/>
        <color theme="1"/>
        <rFont val="宋体"/>
        <family val="3"/>
        <charset val="134"/>
      </rPr>
      <t>多</t>
    </r>
    <r>
      <rPr>
        <sz val="10"/>
        <color theme="1"/>
        <rFont val="Times New Roman"/>
        <family val="1"/>
      </rPr>
      <t>321</t>
    </r>
    <r>
      <rPr>
        <sz val="10"/>
        <color theme="1"/>
        <rFont val="宋体"/>
        <family val="3"/>
        <charset val="134"/>
      </rPr>
      <t>个氨基酸，但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号是多</t>
    </r>
    <r>
      <rPr>
        <sz val="10"/>
        <color theme="1"/>
        <rFont val="Times New Roman"/>
        <family val="1"/>
      </rPr>
      <t>350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chr7:139257673-139316492</t>
    </r>
    <phoneticPr fontId="1" type="noConversion"/>
  </si>
  <si>
    <r>
      <rPr>
        <sz val="10"/>
        <color theme="1"/>
        <rFont val="宋体"/>
        <family val="3"/>
        <charset val="134"/>
      </rPr>
      <t>多出</t>
    </r>
    <r>
      <rPr>
        <sz val="10"/>
        <color theme="1"/>
        <rFont val="Times New Roman"/>
        <family val="1"/>
      </rPr>
      <t>1828</t>
    </r>
    <r>
      <rPr>
        <sz val="10"/>
        <color theme="1"/>
        <rFont val="宋体"/>
        <family val="3"/>
        <charset val="134"/>
      </rPr>
      <t>个氨基酸，但无法验证哪个正确，</t>
    </r>
    <r>
      <rPr>
        <sz val="10"/>
        <color theme="1"/>
        <rFont val="Times New Roman"/>
        <family val="1"/>
      </rPr>
      <t>NCBIrs</t>
    </r>
    <r>
      <rPr>
        <sz val="10"/>
        <color theme="1"/>
        <rFont val="宋体"/>
        <family val="3"/>
        <charset val="134"/>
      </rPr>
      <t>无氨基酸注释信息</t>
    </r>
    <r>
      <rPr>
        <sz val="10"/>
        <color theme="1"/>
        <rFont val="Times New Roman"/>
        <family val="1"/>
      </rPr>
      <t>chr11:1092802-1104263</t>
    </r>
    <phoneticPr fontId="1" type="noConversion"/>
  </si>
  <si>
    <r>
      <rPr>
        <sz val="10"/>
        <color theme="1"/>
        <rFont val="宋体"/>
        <family val="3"/>
        <charset val="134"/>
      </rPr>
      <t>多</t>
    </r>
    <r>
      <rPr>
        <sz val="10"/>
        <color theme="1"/>
        <rFont val="Times New Roman"/>
        <family val="1"/>
      </rPr>
      <t>149</t>
    </r>
    <r>
      <rPr>
        <sz val="10"/>
        <color theme="1"/>
        <rFont val="宋体"/>
        <family val="3"/>
        <charset val="134"/>
      </rPr>
      <t>个氨基酸，但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号是多</t>
    </r>
    <r>
      <rPr>
        <sz val="10"/>
        <color theme="1"/>
        <rFont val="Times New Roman"/>
        <family val="1"/>
      </rPr>
      <t>152</t>
    </r>
    <r>
      <rPr>
        <sz val="10"/>
        <color theme="1"/>
        <rFont val="宋体"/>
        <family val="3"/>
        <charset val="134"/>
      </rPr>
      <t>个（</t>
    </r>
    <r>
      <rPr>
        <sz val="10"/>
        <color theme="1"/>
        <rFont val="Times New Roman"/>
        <family val="1"/>
      </rPr>
      <t>rs370185461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chr7:139257673-139316492</t>
    </r>
    <phoneticPr fontId="1" type="noConversion"/>
  </si>
  <si>
    <t>NM_005828chr17:61627822</t>
    <phoneticPr fontId="1" type="noConversion"/>
  </si>
  <si>
    <t>NM_006158chr8:24808468</t>
    <phoneticPr fontId="1" type="noConversion"/>
  </si>
  <si>
    <t>NM_006478chr22:29702997</t>
    <phoneticPr fontId="1" type="noConversion"/>
  </si>
  <si>
    <t>NM_014249chr15:72102894</t>
    <phoneticPr fontId="1" type="noConversion"/>
  </si>
  <si>
    <t>NM_015653chr22:45809574</t>
    <phoneticPr fontId="1" type="noConversion"/>
  </si>
  <si>
    <t>NM_016324chr19:58694396</t>
    <phoneticPr fontId="1" type="noConversion"/>
  </si>
  <si>
    <t>NM_016346chr15:72102894</t>
    <phoneticPr fontId="1" type="noConversion"/>
  </si>
  <si>
    <t>NM_024644chr14:73957644</t>
    <phoneticPr fontId="1" type="noConversion"/>
  </si>
  <si>
    <t>NM_032102chr11:94800056</t>
    <phoneticPr fontId="1" type="noConversion"/>
  </si>
  <si>
    <t>NM_133457chr7:101006122</t>
    <phoneticPr fontId="1" type="noConversion"/>
  </si>
  <si>
    <t>NM_133502chr19:58694396</t>
    <phoneticPr fontId="1" type="noConversion"/>
  </si>
  <si>
    <t>NM_152236chr22:29702997</t>
    <phoneticPr fontId="1" type="noConversion"/>
  </si>
  <si>
    <t>NM_152758chr8:64081121</t>
    <phoneticPr fontId="1" type="noConversion"/>
  </si>
  <si>
    <t>NM_178167chr16:2047768</t>
    <phoneticPr fontId="1" type="noConversion"/>
  </si>
  <si>
    <t>NM_024815chr8:21964383</t>
    <phoneticPr fontId="1" type="noConversion"/>
  </si>
  <si>
    <t>NM_030569chr10:7601232</t>
    <phoneticPr fontId="1" type="noConversion"/>
  </si>
  <si>
    <t>NM_000104chr2:38294746</t>
    <phoneticPr fontId="1" type="noConversion"/>
  </si>
  <si>
    <t>NM_001012709chr11:1642188</t>
    <phoneticPr fontId="1" type="noConversion"/>
  </si>
  <si>
    <t>NM_001037675chr1:144811743</t>
    <phoneticPr fontId="1" type="noConversion"/>
  </si>
  <si>
    <t>NM_001039127chr4:124420</t>
    <phoneticPr fontId="1" type="noConversion"/>
  </si>
  <si>
    <t>再测试</t>
  </si>
  <si>
    <t>NM_001042758chr1:206516197</t>
    <phoneticPr fontId="1" type="noConversion"/>
  </si>
  <si>
    <t>NM_001077693chr5:138784245</t>
    <phoneticPr fontId="1" type="noConversion"/>
  </si>
  <si>
    <t>NM_001085423chr17:62461567</t>
    <phoneticPr fontId="1" type="noConversion"/>
  </si>
  <si>
    <t>NM_001184961</t>
    <phoneticPr fontId="1" type="noConversion"/>
  </si>
  <si>
    <t>NM_001242531</t>
    <phoneticPr fontId="1" type="noConversion"/>
  </si>
  <si>
    <t>NM_001733</t>
    <phoneticPr fontId="1" type="noConversion"/>
  </si>
  <si>
    <t>NM_001733</t>
    <phoneticPr fontId="1" type="noConversion"/>
  </si>
  <si>
    <t>NM_002255</t>
    <phoneticPr fontId="1" type="noConversion"/>
  </si>
  <si>
    <t>原先正确，再测试</t>
  </si>
  <si>
    <t>NM_002929</t>
    <phoneticPr fontId="1" type="noConversion"/>
  </si>
  <si>
    <t>NM_003715</t>
    <phoneticPr fontId="1" type="noConversion"/>
  </si>
  <si>
    <t>NM_003724</t>
    <phoneticPr fontId="1" type="noConversion"/>
  </si>
  <si>
    <t>NM_012133</t>
    <phoneticPr fontId="1" type="noConversion"/>
  </si>
  <si>
    <t>NM_012309</t>
    <phoneticPr fontId="1" type="noConversion"/>
  </si>
  <si>
    <t>NM_014817</t>
    <phoneticPr fontId="1" type="noConversion"/>
  </si>
  <si>
    <t>NM_015077</t>
    <phoneticPr fontId="1" type="noConversion"/>
  </si>
  <si>
    <t>NM_015326</t>
    <phoneticPr fontId="1" type="noConversion"/>
  </si>
  <si>
    <t>NM_017940</t>
    <phoneticPr fontId="1" type="noConversion"/>
  </si>
  <si>
    <t>NM_022148</t>
    <phoneticPr fontId="1" type="noConversion"/>
  </si>
  <si>
    <t>NM_031308</t>
    <phoneticPr fontId="1" type="noConversion"/>
  </si>
  <si>
    <t>NM_031421</t>
    <phoneticPr fontId="1" type="noConversion"/>
  </si>
  <si>
    <t>NM_033425</t>
    <phoneticPr fontId="1" type="noConversion"/>
  </si>
  <si>
    <t>NM_033486</t>
    <phoneticPr fontId="1" type="noConversion"/>
  </si>
  <si>
    <t>NM_138706</t>
    <phoneticPr fontId="1" type="noConversion"/>
  </si>
  <si>
    <t>XM_001714786</t>
    <phoneticPr fontId="1" type="noConversion"/>
  </si>
  <si>
    <t>XM_001717544</t>
    <phoneticPr fontId="1" type="noConversion"/>
  </si>
  <si>
    <t>XM_003403461</t>
    <phoneticPr fontId="1" type="noConversion"/>
  </si>
  <si>
    <t>XM_003846356</t>
    <phoneticPr fontId="1" type="noConversion"/>
  </si>
  <si>
    <t>XM_003959925</t>
    <phoneticPr fontId="1" type="noConversion"/>
  </si>
  <si>
    <t>XM_003959956</t>
    <phoneticPr fontId="1" type="noConversion"/>
  </si>
  <si>
    <t>XM_003959990</t>
    <phoneticPr fontId="1" type="noConversion"/>
  </si>
  <si>
    <t>XM_003959993</t>
    <phoneticPr fontId="1" type="noConversion"/>
  </si>
  <si>
    <t>纠后正确，utr略有变化，版本不一致</t>
  </si>
  <si>
    <t>2(1)</t>
    <phoneticPr fontId="1" type="noConversion"/>
  </si>
  <si>
    <t>第一类：相对基因组存在INDEL,且编码起始位置无变化</t>
    <phoneticPr fontId="1" type="noConversion"/>
  </si>
  <si>
    <r>
      <t>1</t>
    </r>
    <r>
      <rPr>
        <sz val="10"/>
        <color theme="1"/>
        <rFont val="宋体"/>
        <family val="3"/>
        <charset val="134"/>
      </rPr>
      <t>、通过</t>
    </r>
    <r>
      <rPr>
        <sz val="10"/>
        <color theme="1"/>
        <rFont val="Times New Roman"/>
        <family val="1"/>
      </rPr>
      <t>blat</t>
    </r>
    <r>
      <rPr>
        <sz val="10"/>
        <color theme="1"/>
        <rFont val="宋体"/>
        <family val="3"/>
        <charset val="134"/>
      </rPr>
      <t>比对结果（</t>
    </r>
    <r>
      <rPr>
        <sz val="10"/>
        <color theme="1"/>
        <rFont val="Times New Roman"/>
        <family val="1"/>
      </rPr>
      <t>NCBI knownrefseq_alignments.gff3</t>
    </r>
    <r>
      <rPr>
        <sz val="10"/>
        <color theme="1"/>
        <rFont val="宋体"/>
        <family val="3"/>
        <charset val="134"/>
      </rPr>
      <t>）可找出这些</t>
    </r>
    <r>
      <rPr>
        <sz val="10"/>
        <color theme="1"/>
        <rFont val="Times New Roman"/>
        <family val="1"/>
      </rPr>
      <t>INDEL</t>
    </r>
    <phoneticPr fontId="1" type="noConversion"/>
  </si>
  <si>
    <r>
      <t>3</t>
    </r>
    <r>
      <rPr>
        <sz val="10"/>
        <color theme="0" tint="-0.34998626667073579"/>
        <rFont val="宋体"/>
        <family val="3"/>
        <charset val="134"/>
      </rPr>
      <t>、出现</t>
    </r>
    <r>
      <rPr>
        <sz val="10"/>
        <color theme="0" tint="-0.34998626667073579"/>
        <rFont val="Times New Roman"/>
        <family val="1"/>
      </rPr>
      <t>INDEL</t>
    </r>
    <r>
      <rPr>
        <sz val="10"/>
        <color theme="0" tint="-0.34998626667073579"/>
        <rFont val="宋体"/>
        <family val="3"/>
        <charset val="134"/>
      </rPr>
      <t>的位置，通过</t>
    </r>
    <r>
      <rPr>
        <sz val="10"/>
        <color theme="0" tint="-0.34998626667073579"/>
        <rFont val="Times New Roman"/>
        <family val="1"/>
      </rPr>
      <t>MeMAF</t>
    </r>
    <r>
      <rPr>
        <sz val="10"/>
        <color theme="0" tint="-0.34998626667073579"/>
        <rFont val="宋体"/>
        <family val="3"/>
        <charset val="134"/>
      </rPr>
      <t>进行碱基修正，如基因组缺少一个碱基，则通过</t>
    </r>
    <r>
      <rPr>
        <sz val="10"/>
        <color theme="0" tint="-0.34998626667073579"/>
        <rFont val="Times New Roman"/>
        <family val="1"/>
      </rPr>
      <t>MeMAF</t>
    </r>
    <r>
      <rPr>
        <sz val="10"/>
        <color theme="0" tint="-0.34998626667073579"/>
        <rFont val="宋体"/>
        <family val="3"/>
        <charset val="134"/>
      </rPr>
      <t>补全这个碱基，再进行编码</t>
    </r>
    <phoneticPr fontId="1" type="noConversion"/>
  </si>
  <si>
    <r>
      <t>4</t>
    </r>
    <r>
      <rPr>
        <sz val="10"/>
        <color theme="0" tint="-0.34998626667073579"/>
        <rFont val="宋体"/>
        <family val="3"/>
        <charset val="134"/>
      </rPr>
      <t>、注释的突变正好为</t>
    </r>
    <r>
      <rPr>
        <sz val="10"/>
        <color theme="0" tint="-0.34998626667073579"/>
        <rFont val="Times New Roman"/>
        <family val="1"/>
      </rPr>
      <t>INDEL</t>
    </r>
    <r>
      <rPr>
        <sz val="10"/>
        <color theme="0" tint="-0.34998626667073579"/>
        <rFont val="宋体"/>
        <family val="3"/>
        <charset val="134"/>
      </rPr>
      <t>位置则给予同义突变或非移码，并给标记（</t>
    </r>
    <r>
      <rPr>
        <sz val="10"/>
        <color theme="0" tint="-0.34998626667073579"/>
        <rFont val="Times New Roman"/>
        <family val="1"/>
      </rPr>
      <t>Normal</t>
    </r>
    <r>
      <rPr>
        <sz val="10"/>
        <color theme="0" tint="-0.34998626667073579"/>
        <rFont val="宋体"/>
        <family val="3"/>
        <charset val="134"/>
      </rPr>
      <t>）</t>
    </r>
    <phoneticPr fontId="1" type="noConversion"/>
  </si>
  <si>
    <r>
      <t>5</t>
    </r>
    <r>
      <rPr>
        <sz val="10"/>
        <color rgb="FFFF0000"/>
        <rFont val="宋体"/>
        <family val="3"/>
        <charset val="134"/>
      </rPr>
      <t>、在</t>
    </r>
    <r>
      <rPr>
        <sz val="10"/>
        <color rgb="FFFF0000"/>
        <rFont val="Times New Roman"/>
        <family val="1"/>
      </rPr>
      <t>INDEL</t>
    </r>
    <r>
      <rPr>
        <sz val="10"/>
        <color rgb="FFFF0000"/>
        <rFont val="宋体"/>
        <family val="3"/>
        <charset val="134"/>
      </rPr>
      <t>附近位置突变，氨基酸变化可能不正确</t>
    </r>
    <phoneticPr fontId="1" type="noConversion"/>
  </si>
  <si>
    <t>NM_000597</t>
    <phoneticPr fontId="1" type="noConversion"/>
  </si>
  <si>
    <t>NM_001002836</t>
    <phoneticPr fontId="1" type="noConversion"/>
  </si>
  <si>
    <t>NM_019119</t>
    <phoneticPr fontId="1" type="noConversion"/>
  </si>
  <si>
    <t>NM_012314</t>
    <phoneticPr fontId="1" type="noConversion"/>
  </si>
  <si>
    <r>
      <t>6</t>
    </r>
    <r>
      <rPr>
        <sz val="10"/>
        <color rgb="FFFF0000"/>
        <rFont val="宋体"/>
        <family val="3"/>
        <charset val="134"/>
      </rPr>
      <t>、该变体上的</t>
    </r>
    <r>
      <rPr>
        <sz val="10"/>
        <color rgb="FFFF0000"/>
        <rFont val="Times New Roman"/>
        <family val="1"/>
      </rPr>
      <t>INDEL</t>
    </r>
    <r>
      <rPr>
        <sz val="10"/>
        <color rgb="FFFF0000"/>
        <rFont val="宋体"/>
        <family val="3"/>
        <charset val="134"/>
      </rPr>
      <t>移码、提前终止、延长突变，氨基酸变化数目可能不正确</t>
    </r>
    <phoneticPr fontId="1" type="noConversion"/>
  </si>
  <si>
    <t>错误</t>
  </si>
  <si>
    <t>纠后正确，少了3个氨基酸</t>
  </si>
  <si>
    <t>XM_003846272</t>
    <phoneticPr fontId="1" type="noConversion"/>
  </si>
  <si>
    <t>XM_003846302</t>
    <phoneticPr fontId="1" type="noConversion"/>
  </si>
  <si>
    <t>XM_003846248</t>
    <phoneticPr fontId="1" type="noConversion"/>
  </si>
  <si>
    <t>XM_003959969</t>
    <phoneticPr fontId="1" type="noConversion"/>
  </si>
  <si>
    <t>NM_001242538</t>
    <phoneticPr fontId="1" type="noConversion"/>
  </si>
  <si>
    <t>NM_002929chr13:114321594</t>
    <phoneticPr fontId="1" type="noConversion"/>
  </si>
  <si>
    <t>PECAM1</t>
    <phoneticPr fontId="1" type="noConversion"/>
  </si>
  <si>
    <t>CRLF2</t>
    <phoneticPr fontId="1" type="noConversion"/>
  </si>
  <si>
    <t>LOC101060037</t>
    <phoneticPr fontId="1" type="noConversion"/>
  </si>
  <si>
    <t>XM_003846383</t>
    <phoneticPr fontId="1" type="noConversion"/>
  </si>
  <si>
    <t>XM_003846328</t>
    <phoneticPr fontId="1" type="noConversion"/>
  </si>
  <si>
    <t>NM_003777</t>
    <phoneticPr fontId="1" type="noConversion"/>
  </si>
  <si>
    <t>NM_001080519</t>
    <phoneticPr fontId="1" type="noConversion"/>
  </si>
  <si>
    <t>NM_001077527</t>
    <phoneticPr fontId="1" type="noConversion"/>
  </si>
  <si>
    <t>NM_001042758</t>
    <phoneticPr fontId="1" type="noConversion"/>
  </si>
  <si>
    <t>NM_001037675</t>
    <phoneticPr fontId="1" type="noConversion"/>
  </si>
  <si>
    <t>GOLGA6L10</t>
    <phoneticPr fontId="1" type="noConversion"/>
  </si>
  <si>
    <t>LOC100996575</t>
    <phoneticPr fontId="1" type="noConversion"/>
  </si>
  <si>
    <t>LOC100996350</t>
    <phoneticPr fontId="1" type="noConversion"/>
  </si>
  <si>
    <t>NEK3</t>
    <phoneticPr fontId="1" type="noConversion"/>
  </si>
  <si>
    <t>#mRNA</t>
  </si>
  <si>
    <t>Start</t>
  </si>
  <si>
    <t>IndelPos(0)</t>
  </si>
  <si>
    <t>type</t>
  </si>
  <si>
    <t>Length</t>
  </si>
  <si>
    <t>NR_110830.1</t>
  </si>
  <si>
    <t>NC_000023.10</t>
  </si>
  <si>
    <t>INS</t>
  </si>
  <si>
    <t>NM_001346050.1</t>
  </si>
  <si>
    <t>NC_000005.9</t>
  </si>
  <si>
    <t>DEL</t>
  </si>
  <si>
    <t>NM_001001419.1</t>
  </si>
  <si>
    <t>NM_031945.4</t>
  </si>
  <si>
    <t>NC_000017.10</t>
  </si>
  <si>
    <t>NM_173681.5</t>
  </si>
  <si>
    <t>NC_000007.13</t>
  </si>
  <si>
    <t>NM_021250.3</t>
  </si>
  <si>
    <t>NW_003571054.1</t>
  </si>
  <si>
    <t>NM_001145303.1</t>
  </si>
  <si>
    <t>NW_003571060.1</t>
  </si>
  <si>
    <t>NM_001290049.1</t>
  </si>
  <si>
    <t>NC_000004.11</t>
  </si>
  <si>
    <t>NM_001287062.1</t>
  </si>
  <si>
    <t>NM_001143813.1</t>
  </si>
  <si>
    <t>NC_000011.9</t>
  </si>
  <si>
    <t>NM_001077690.1</t>
  </si>
  <si>
    <t>NM_024075.4</t>
  </si>
  <si>
    <t>NW_003571056.1</t>
  </si>
  <si>
    <t>NM_213632.2</t>
  </si>
  <si>
    <t>NC_000020.10</t>
  </si>
  <si>
    <t>NM_001254717.1</t>
  </si>
  <si>
    <t>NT_167247.1</t>
  </si>
  <si>
    <t>NM_153334.6</t>
  </si>
  <si>
    <t>NC_000022.10</t>
  </si>
  <si>
    <t>NM_001282302.1</t>
  </si>
  <si>
    <t>NM_001098534.1</t>
  </si>
  <si>
    <t>NT_167245.1</t>
  </si>
  <si>
    <t>NM_001304359.1</t>
  </si>
  <si>
    <t>NM_001346355.1</t>
  </si>
  <si>
    <t>NM_033487.2</t>
  </si>
  <si>
    <t>NC_000001.10</t>
  </si>
  <si>
    <t>NM_020056.4</t>
  </si>
  <si>
    <t>NR_110382.1</t>
  </si>
  <si>
    <t>NM_001010883.2</t>
  </si>
  <si>
    <t>NM_001290060.1</t>
  </si>
  <si>
    <t>NC_000003.11</t>
  </si>
  <si>
    <t>NM_032765.3</t>
  </si>
  <si>
    <t>NR_109948.1</t>
  </si>
  <si>
    <t>NW_003571036.1</t>
  </si>
  <si>
    <t>NM_001113239.2</t>
  </si>
  <si>
    <t>NR_037170.1</t>
  </si>
  <si>
    <t>NT_167248.1</t>
  </si>
  <si>
    <t>NM_003573.2</t>
  </si>
  <si>
    <t>NC_000019.9</t>
  </si>
  <si>
    <t>NM_001267548.2</t>
  </si>
  <si>
    <t>NM_001285986.1</t>
  </si>
  <si>
    <t>NT_167249.1</t>
  </si>
  <si>
    <t>NR_038378.2</t>
  </si>
  <si>
    <t>NW_004775430.1</t>
  </si>
  <si>
    <t>NM_001278786.1</t>
  </si>
  <si>
    <t>NM_004557.3</t>
  </si>
  <si>
    <t>NT_167246.1</t>
  </si>
  <si>
    <t>NM_001201404.2</t>
  </si>
  <si>
    <t>NT_113891.2</t>
  </si>
  <si>
    <t>NM_203289.4</t>
  </si>
  <si>
    <t>NM_001289052.1</t>
  </si>
  <si>
    <t>NW_004775427.1</t>
  </si>
  <si>
    <t>NM_001322371.1</t>
  </si>
  <si>
    <t>NT_167244.1</t>
  </si>
  <si>
    <t>NR_001590.1</t>
  </si>
  <si>
    <t>NM_021623.1</t>
  </si>
  <si>
    <t>NC_000008.10</t>
  </si>
  <si>
    <t>NM_032932.5</t>
  </si>
  <si>
    <t>NM_001303465.1</t>
  </si>
  <si>
    <t>NM_005931.4</t>
  </si>
  <si>
    <t>NR_120608.1</t>
  </si>
  <si>
    <t>NR_136245.1</t>
  </si>
  <si>
    <t>NM_012324.4</t>
  </si>
  <si>
    <t>NM_001278425.1</t>
  </si>
  <si>
    <t>NC_000016.9</t>
  </si>
  <si>
    <t>NM_080702.2</t>
  </si>
  <si>
    <t>NM_001278267.1</t>
  </si>
  <si>
    <t>NM_021184.3</t>
  </si>
  <si>
    <t>NM_001199515.1</t>
  </si>
  <si>
    <t>NM_001291412.1</t>
  </si>
  <si>
    <t>NC_000021.8</t>
  </si>
  <si>
    <t>NM_001173531.2</t>
  </si>
  <si>
    <t>NM_001252338.2</t>
  </si>
  <si>
    <t>NM_000500.7</t>
  </si>
  <si>
    <t>NR_026680.2</t>
  </si>
  <si>
    <t>NT_167251.1</t>
  </si>
  <si>
    <t>NM_001012989.2</t>
  </si>
  <si>
    <t>NM_003631.2</t>
  </si>
  <si>
    <t>NW_004504302.1</t>
  </si>
  <si>
    <t>NM_001278404.1</t>
  </si>
  <si>
    <t>NM_001145303.2</t>
  </si>
  <si>
    <t>NR_033375.2</t>
  </si>
  <si>
    <t>NC_000014.8</t>
  </si>
  <si>
    <t>NM_001346312.1</t>
  </si>
  <si>
    <t>NR_104096.1</t>
  </si>
  <si>
    <t>NM_001199239.1</t>
  </si>
  <si>
    <t>NM_004392.6</t>
  </si>
  <si>
    <t>NC_000013.10</t>
  </si>
  <si>
    <t>NM_001322469.1</t>
  </si>
  <si>
    <t>NM_198488.3</t>
  </si>
  <si>
    <t>NW_003315923.1</t>
  </si>
  <si>
    <t>NM_001025091.1</t>
  </si>
  <si>
    <t>NM_001203252.1</t>
  </si>
  <si>
    <t>NM_014249.3</t>
  </si>
  <si>
    <t>NC_000015.9</t>
  </si>
  <si>
    <t>NR_001317.2</t>
  </si>
  <si>
    <t>NM_144686.2</t>
  </si>
  <si>
    <t>NW_003571055.1</t>
  </si>
  <si>
    <t>NM_001012288.2</t>
  </si>
  <si>
    <t>NC_000024.9</t>
  </si>
  <si>
    <t>NR_024054.2</t>
  </si>
  <si>
    <t>NW_003315917.2</t>
  </si>
  <si>
    <t>NR_044996.1</t>
  </si>
  <si>
    <t>NM_001136179.2</t>
  </si>
  <si>
    <t>NC_000010.10</t>
  </si>
  <si>
    <t>NM_002127.5</t>
  </si>
  <si>
    <t>NR_135131.1</t>
  </si>
  <si>
    <t>NC_000012.11</t>
  </si>
  <si>
    <t>NR_047569.3</t>
  </si>
  <si>
    <t>NR_110865.1</t>
  </si>
  <si>
    <t>NR_027115.3</t>
  </si>
  <si>
    <t>NC_000006.11</t>
  </si>
  <si>
    <t>NM_012314.3</t>
  </si>
  <si>
    <t>NW_004166865.1</t>
  </si>
  <si>
    <t>NM_005931.3</t>
  </si>
  <si>
    <t>NR_024053.2</t>
  </si>
  <si>
    <t>NR_027457.2</t>
  </si>
  <si>
    <t>NM_015203.4</t>
  </si>
  <si>
    <t>NW_003871055.3</t>
  </si>
  <si>
    <t>NM_001331022.1</t>
  </si>
  <si>
    <t>NR_046455.1</t>
  </si>
  <si>
    <t>NC_000018.9</t>
  </si>
  <si>
    <t>NM_001145440.2</t>
  </si>
  <si>
    <t>NR_109813.1</t>
  </si>
  <si>
    <t>NM_001322180.1</t>
  </si>
  <si>
    <t>NM_013329.3</t>
  </si>
  <si>
    <t>NW_003315969.1</t>
  </si>
  <si>
    <t>NM_001305004.1</t>
  </si>
  <si>
    <t>NM_001256396.1</t>
  </si>
  <si>
    <t>NM_015286.5</t>
  </si>
  <si>
    <t>NR_103507.2</t>
  </si>
  <si>
    <t>NM_001319949.1</t>
  </si>
  <si>
    <t>NM_015584.3</t>
  </si>
  <si>
    <t>NW_003871090.1</t>
  </si>
  <si>
    <t>NR_027790.2</t>
  </si>
  <si>
    <t>NM_001001419.2</t>
  </si>
  <si>
    <t>NM_213631.2</t>
  </si>
  <si>
    <t>NM_058180.3</t>
  </si>
  <si>
    <t>NR_001317.3</t>
  </si>
  <si>
    <t>NW_003871063.1</t>
  </si>
  <si>
    <t>NR_130169.1</t>
  </si>
  <si>
    <t>NW_003571057.1</t>
  </si>
  <si>
    <t>NM_001048201.1</t>
  </si>
  <si>
    <t>NM_002586.4</t>
  </si>
  <si>
    <t>NM_001290206.1</t>
  </si>
  <si>
    <t>NM_001167671.2</t>
  </si>
  <si>
    <t>NM_005874.4</t>
  </si>
  <si>
    <t>NM_001163.3</t>
  </si>
  <si>
    <t>NW_003315929.1</t>
  </si>
  <si>
    <t>NM_001278403.2</t>
  </si>
  <si>
    <t>NW_003571061.1</t>
  </si>
  <si>
    <t>NM_014643.3</t>
  </si>
  <si>
    <t>NR_027484.2</t>
  </si>
  <si>
    <t>NM_001173531.1</t>
  </si>
  <si>
    <t>NM_014828.3</t>
  </si>
  <si>
    <t>NM_001130997.2</t>
  </si>
  <si>
    <t>NM_001293213.1</t>
  </si>
  <si>
    <t>NR_134870.1</t>
  </si>
  <si>
    <t>NM_001163323.2</t>
  </si>
  <si>
    <t>NW_004070880.2</t>
  </si>
  <si>
    <t>NM_001143810.1</t>
  </si>
  <si>
    <t>NM_001289091.1</t>
  </si>
  <si>
    <t>NM_001346359.1</t>
  </si>
  <si>
    <t>NM_033517.1</t>
  </si>
  <si>
    <t>NM_001330736.1</t>
  </si>
  <si>
    <t>NM_003954.4</t>
  </si>
  <si>
    <t>NM_020469.2</t>
  </si>
  <si>
    <t>NC_000009.11</t>
  </si>
  <si>
    <t>NM_002800.4</t>
  </si>
  <si>
    <t>NM_001304419.1</t>
  </si>
  <si>
    <t>NM_015597.5</t>
  </si>
  <si>
    <t>NM_173506.6</t>
  </si>
  <si>
    <t>NM_014218.2</t>
  </si>
  <si>
    <t>NM_001160329.1</t>
  </si>
  <si>
    <t>NM_032965.5</t>
  </si>
  <si>
    <t>NM_005541.3</t>
  </si>
  <si>
    <t>NC_000002.11</t>
  </si>
  <si>
    <t>NM_007180.2</t>
  </si>
  <si>
    <t>NM_002111.7</t>
  </si>
  <si>
    <t>NM_198839.2</t>
  </si>
  <si>
    <t>NM_000804.3</t>
  </si>
  <si>
    <t>NR_040583.2</t>
  </si>
  <si>
    <t>NM_001271888.1</t>
  </si>
  <si>
    <t>NM_033518.2</t>
  </si>
  <si>
    <t>NM_001282332.1</t>
  </si>
  <si>
    <t>NM_001291642.1</t>
  </si>
  <si>
    <t>NM_206809.3</t>
  </si>
  <si>
    <t>NR_134950.1</t>
  </si>
  <si>
    <t>NM_001278403.1</t>
  </si>
  <si>
    <t>NM_002122.3</t>
  </si>
  <si>
    <t>NM_001278405.1</t>
  </si>
  <si>
    <t>NM_033489.1</t>
  </si>
  <si>
    <t>NM_001199240.1</t>
  </si>
  <si>
    <t>NM_001346051.1</t>
  </si>
  <si>
    <t>NM_001256540.2</t>
  </si>
  <si>
    <t>NM_001017417.2</t>
  </si>
  <si>
    <t>NM_024839.2</t>
  </si>
  <si>
    <t>NM_197968.3</t>
  </si>
  <si>
    <t>NM_031904.4</t>
  </si>
  <si>
    <t>NR_103542.1</t>
  </si>
  <si>
    <t>NR_024048.1</t>
  </si>
  <si>
    <t>NW_003871103.3</t>
  </si>
  <si>
    <t>NM_138324.2</t>
  </si>
  <si>
    <t>NM_003575.3</t>
  </si>
  <si>
    <t>NR_002745.1</t>
  </si>
  <si>
    <t>NM_173506.4</t>
  </si>
  <si>
    <t>NW_004775434.1</t>
  </si>
  <si>
    <t>NM_014219.2</t>
  </si>
  <si>
    <t>NM_001282733.1</t>
  </si>
  <si>
    <t>NW_003315932.1</t>
  </si>
  <si>
    <t>NM_018711.3</t>
  </si>
  <si>
    <t>NM_203289.5</t>
  </si>
  <si>
    <t>NM_001264.4</t>
  </si>
  <si>
    <t>NM_133457.3</t>
  </si>
  <si>
    <t>NR_026595.1</t>
  </si>
  <si>
    <t>NW_004070882.1</t>
  </si>
  <si>
    <t>NM_133457.4</t>
  </si>
  <si>
    <t>NM_001289952.1</t>
  </si>
  <si>
    <t>NR_051958.2</t>
  </si>
  <si>
    <t>NM_004639.3</t>
  </si>
  <si>
    <t>NM_007231.3</t>
  </si>
  <si>
    <t>NW_004070892.1</t>
  </si>
  <si>
    <t>NM_001039724.3</t>
  </si>
  <si>
    <t>NW_003315909.1</t>
  </si>
  <si>
    <t>NM_001290047.1</t>
  </si>
  <si>
    <t>NR_026964.3</t>
  </si>
  <si>
    <t>NR_027455.3</t>
  </si>
  <si>
    <t>NW_004070890.2</t>
  </si>
  <si>
    <t>NM_001291308.1</t>
  </si>
  <si>
    <t>NM_016325.3</t>
  </si>
  <si>
    <t>NR_029426.1</t>
  </si>
  <si>
    <t>NM_080759.5</t>
  </si>
  <si>
    <t>NM_006778.3</t>
  </si>
  <si>
    <t>NM_001040658.1</t>
  </si>
  <si>
    <t>NW_003871084.1</t>
  </si>
  <si>
    <t>NM_001099671.1</t>
  </si>
  <si>
    <t>NM_001012989.1</t>
  </si>
  <si>
    <t>NW_004070889.1</t>
  </si>
  <si>
    <t>NR_001434.4</t>
  </si>
  <si>
    <t>NR_026800.2</t>
  </si>
  <si>
    <t>NM_021088.3</t>
  </si>
  <si>
    <t>NM_015584.4</t>
  </si>
  <si>
    <t>NM_001324280.1</t>
  </si>
  <si>
    <t>NM_001013742.3</t>
  </si>
  <si>
    <t>NM_001303016.1</t>
  </si>
  <si>
    <t>NM_203458.4</t>
  </si>
  <si>
    <t>NM_206812.3</t>
  </si>
  <si>
    <t>NR_051954.2</t>
  </si>
  <si>
    <t>NM_001102597.1</t>
  </si>
  <si>
    <t>NR_111893.1</t>
  </si>
  <si>
    <t>NM_001256299.1</t>
  </si>
  <si>
    <t>NW_003871086.1</t>
  </si>
  <si>
    <t>NR_133907.1</t>
  </si>
  <si>
    <t>NM_013289.2</t>
  </si>
  <si>
    <t>NM_001282333.1</t>
  </si>
  <si>
    <t>NM_001324277.1</t>
  </si>
  <si>
    <t>NR_036481.2</t>
  </si>
  <si>
    <t>NM_001281471.2</t>
  </si>
  <si>
    <t>NR_037169.1</t>
  </si>
  <si>
    <t>NM_001099850.2</t>
  </si>
  <si>
    <t>NM_018474.4</t>
  </si>
  <si>
    <t>NM_016391.6</t>
  </si>
  <si>
    <t>NM_007253.3</t>
  </si>
  <si>
    <t>NM_001304717.1</t>
  </si>
  <si>
    <t>NR_136246.1</t>
  </si>
  <si>
    <t>NM_024318.2</t>
  </si>
  <si>
    <t>NM_020648.5</t>
  </si>
  <si>
    <t>NM_020137.4</t>
  </si>
  <si>
    <t>NM_001470.2</t>
  </si>
  <si>
    <t>NM_001040657.1</t>
  </si>
  <si>
    <t>NM_001039651.1</t>
  </si>
  <si>
    <t>NM_001316325.1</t>
  </si>
  <si>
    <t>NM_001184750.1</t>
  </si>
  <si>
    <t>NM_206810.3</t>
  </si>
  <si>
    <t>NM_030930.3</t>
  </si>
  <si>
    <t>NM_152274.4</t>
  </si>
  <si>
    <t>NR_144465.1</t>
  </si>
  <si>
    <t>NR_103496.2</t>
  </si>
  <si>
    <t>NR_040584.2</t>
  </si>
  <si>
    <t>NM_001330733.1</t>
  </si>
  <si>
    <t>NM_001346335.1</t>
  </si>
  <si>
    <t>NM_002441.4</t>
  </si>
  <si>
    <t>NM_015326.4</t>
  </si>
  <si>
    <t>NM_138693.3</t>
  </si>
  <si>
    <t>NR_134949.1</t>
  </si>
  <si>
    <t>NM_033210.4</t>
  </si>
  <si>
    <t>NM_020463.3</t>
  </si>
  <si>
    <t>NM_001322191.1</t>
  </si>
  <si>
    <t>NM_001077238.1</t>
  </si>
  <si>
    <t>NM_001291505.1</t>
  </si>
  <si>
    <t>NM_001290043.1</t>
  </si>
  <si>
    <t>NM_052886.2</t>
  </si>
  <si>
    <t>NM_130797.3</t>
  </si>
  <si>
    <t>NR_103521.2</t>
  </si>
  <si>
    <t>NM_001220771.1</t>
  </si>
  <si>
    <t>NM_002117.5</t>
  </si>
  <si>
    <t>NM_012309.3</t>
  </si>
  <si>
    <t>NM_178014.3</t>
  </si>
  <si>
    <t>NM_001291504.1</t>
  </si>
  <si>
    <t>NM_181351.4</t>
  </si>
  <si>
    <t>NM_138322.3</t>
  </si>
  <si>
    <t>NM_001346326.1</t>
  </si>
  <si>
    <t>NM_001163022.1</t>
  </si>
  <si>
    <t>NM_016631.3</t>
  </si>
  <si>
    <t>NR_002139.2</t>
  </si>
  <si>
    <t>NM_022148.3</t>
  </si>
  <si>
    <t>NM_001346328.1</t>
  </si>
  <si>
    <t>NM_033486.2</t>
  </si>
  <si>
    <t>NM_001164796.1</t>
  </si>
  <si>
    <t>NW_003315912.1</t>
  </si>
  <si>
    <t>NR_125915.1</t>
  </si>
  <si>
    <t>NM_001303489.1</t>
  </si>
  <si>
    <t>NM_001128854.1</t>
  </si>
  <si>
    <t>NM_138323.1</t>
  </si>
  <si>
    <t>NM_001199514.1</t>
  </si>
  <si>
    <t>NM_001256395.1</t>
  </si>
  <si>
    <t>NM_014703.2</t>
  </si>
  <si>
    <t>NM_001280794.2</t>
  </si>
  <si>
    <t>NR_136545.1</t>
  </si>
  <si>
    <t>NM_001008229.2</t>
  </si>
  <si>
    <t>NM_021250.2</t>
  </si>
  <si>
    <t>NM_001318833.1</t>
  </si>
  <si>
    <t>NM_001277444.1</t>
  </si>
  <si>
    <t>NM_007097.3</t>
  </si>
  <si>
    <t>NM_001166698.1</t>
  </si>
  <si>
    <t>NW_003571058.1</t>
  </si>
  <si>
    <t>NM_001013742.2</t>
  </si>
  <si>
    <t>NR_026751.1</t>
  </si>
  <si>
    <t>NM_017570.4</t>
  </si>
  <si>
    <t>NR_026901.3</t>
  </si>
  <si>
    <t>NM_005266.6</t>
  </si>
  <si>
    <t>NR_103864.1</t>
  </si>
  <si>
    <t>NM_001291784.1</t>
  </si>
  <si>
    <t>NM_001172703.1</t>
  </si>
  <si>
    <t>NM_001291989.1</t>
  </si>
  <si>
    <t>NR_111948.1</t>
  </si>
  <si>
    <t>NM_001171654.1</t>
  </si>
  <si>
    <t>NM_000828.4</t>
  </si>
  <si>
    <t>NM_001291281.1</t>
  </si>
  <si>
    <t>NM_001199513.1</t>
  </si>
  <si>
    <t>NM_178504.4</t>
  </si>
  <si>
    <t>NW_003315911.1</t>
  </si>
  <si>
    <t>NM_003715.2</t>
  </si>
  <si>
    <t>NM_022905.4</t>
  </si>
  <si>
    <t>NM_001102598.1</t>
  </si>
  <si>
    <t>NM_001048201.2</t>
  </si>
  <si>
    <t>NM_002433.4</t>
  </si>
  <si>
    <t>NM_001199237.1</t>
  </si>
  <si>
    <t>NR_125435.1</t>
  </si>
  <si>
    <t>NR_104117.1</t>
  </si>
  <si>
    <t>NM_006781.4</t>
  </si>
  <si>
    <t>NM_001130991.2</t>
  </si>
  <si>
    <t>NR_046742.1</t>
  </si>
  <si>
    <t>NM_002263.3</t>
  </si>
  <si>
    <t>NM_198215.3</t>
  </si>
  <si>
    <t>NM_133373.4</t>
  </si>
  <si>
    <t>NM_032595.3</t>
  </si>
  <si>
    <t>NM_032450.2</t>
  </si>
  <si>
    <t>NW_003315924.1</t>
  </si>
  <si>
    <t>NM_002119.3</t>
  </si>
  <si>
    <t>NM_001318908.1</t>
  </si>
  <si>
    <t>NR_026680.3</t>
  </si>
  <si>
    <t>NM_001143962.1</t>
  </si>
  <si>
    <t>NM_001282199.1</t>
  </si>
  <si>
    <t>NM_001005861.2</t>
  </si>
  <si>
    <t>NM_001288813.1</t>
  </si>
  <si>
    <t>NM_001164771.1</t>
  </si>
  <si>
    <t>NM_172165.3</t>
  </si>
  <si>
    <t>NM_001331018.1</t>
  </si>
  <si>
    <t>NR_027791.2</t>
  </si>
  <si>
    <t>NR_047531.2</t>
  </si>
  <si>
    <t>NM_014212.3</t>
  </si>
  <si>
    <t>NM_001289161.1</t>
  </si>
  <si>
    <t>NM_153443.3</t>
  </si>
  <si>
    <t>NM_177476.3</t>
  </si>
  <si>
    <t>NR_111919.1</t>
  </si>
  <si>
    <t>NM_001220767.1</t>
  </si>
  <si>
    <t>NR_144423.1</t>
  </si>
  <si>
    <t>NM_080870.3</t>
  </si>
  <si>
    <t>NM_001099289.1</t>
  </si>
  <si>
    <t>NM_001206924.1</t>
  </si>
  <si>
    <t>NM_001291274.1</t>
  </si>
  <si>
    <t>NM_001297652.1</t>
  </si>
  <si>
    <t>NM_001285987.1</t>
  </si>
  <si>
    <t>NM_004335.3</t>
  </si>
  <si>
    <t>NM_003587.4</t>
  </si>
  <si>
    <t>NR_051956.2</t>
  </si>
  <si>
    <t>NM_001081639.2</t>
  </si>
  <si>
    <t>NM_022551.2</t>
  </si>
  <si>
    <t>NR_110522.1</t>
  </si>
  <si>
    <t>NM_001243127.2</t>
  </si>
  <si>
    <t>NW_004166863.1</t>
  </si>
  <si>
    <t>NM_001317107.1</t>
  </si>
  <si>
    <t>NM_019119.4</t>
  </si>
  <si>
    <t>NM_001346356.1</t>
  </si>
  <si>
    <t>NR_038378.3</t>
  </si>
  <si>
    <t>NM_181703.3</t>
  </si>
  <si>
    <t>NM_001304457.1</t>
  </si>
  <si>
    <t>NR_111005.1</t>
  </si>
  <si>
    <t>NM_001346331.1</t>
  </si>
  <si>
    <t>NM_001128834.2</t>
  </si>
  <si>
    <t>NM_181311.3</t>
  </si>
  <si>
    <t>NM_001136179.1</t>
  </si>
  <si>
    <t>NM_001012965.1</t>
  </si>
  <si>
    <t>NM_003121.4</t>
  </si>
  <si>
    <t>NR_104581.1</t>
  </si>
  <si>
    <t>NW_004775431.1</t>
  </si>
  <si>
    <t>NM_001110199.2</t>
  </si>
  <si>
    <t>NW_003871064.1</t>
  </si>
  <si>
    <t>NM_002958.3</t>
  </si>
  <si>
    <t>NM_153443.4</t>
  </si>
  <si>
    <t>NM_002111.6</t>
  </si>
  <si>
    <t>NM_005578.4</t>
  </si>
  <si>
    <t>NR_044997.1</t>
  </si>
  <si>
    <t>NM_001220768.1</t>
  </si>
  <si>
    <t>NM_001145414.3</t>
  </si>
  <si>
    <t>NR_111951.1</t>
  </si>
  <si>
    <t>NM_130797.2</t>
  </si>
  <si>
    <t>NM_001834.3</t>
  </si>
  <si>
    <t>NM_001346358.1</t>
  </si>
  <si>
    <t>NM_001346747.1</t>
  </si>
  <si>
    <t>NM_016835.4</t>
  </si>
  <si>
    <t>NM_001319955.1</t>
  </si>
  <si>
    <t>NM_002356.6</t>
  </si>
  <si>
    <t>NM_001001420.1</t>
  </si>
  <si>
    <t>NM_001007277.1</t>
  </si>
  <si>
    <t>NM_022169.4</t>
  </si>
  <si>
    <t>NM_006120.3</t>
  </si>
  <si>
    <t>NR_037846.1</t>
  </si>
  <si>
    <t>NR_002188.3</t>
  </si>
  <si>
    <t>NW_003315906.1</t>
  </si>
  <si>
    <t>NM_178844.2</t>
  </si>
  <si>
    <t>NM_032534.3</t>
  </si>
  <si>
    <t>NM_021729.4</t>
  </si>
  <si>
    <t>NW_003871076.1</t>
  </si>
  <si>
    <t>NM_170733.3</t>
  </si>
  <si>
    <t>NM_006990.4</t>
  </si>
  <si>
    <t>NM_006864.2</t>
  </si>
  <si>
    <t>NM_019119.3</t>
  </si>
  <si>
    <t>NM_001037144.5</t>
  </si>
  <si>
    <t>NM_001141970.1</t>
  </si>
  <si>
    <t>NR_138082.1</t>
  </si>
  <si>
    <t>NW_003315934.1</t>
  </si>
  <si>
    <t>NM_170769.2</t>
  </si>
  <si>
    <t>NM_013993.2</t>
  </si>
  <si>
    <t>NM_144686.3</t>
  </si>
  <si>
    <t>NM_001143814.1</t>
  </si>
  <si>
    <t>NM_001278563.2</t>
  </si>
  <si>
    <t>NM_001164278.1</t>
  </si>
  <si>
    <t>NM_001220769.1</t>
  </si>
  <si>
    <t>NM_001353.5</t>
  </si>
  <si>
    <t>NW_003871071.1</t>
  </si>
  <si>
    <t>NM_031421.3</t>
  </si>
  <si>
    <t>NM_005828.4</t>
  </si>
  <si>
    <t>NM_001040656.1</t>
  </si>
  <si>
    <t>NM_001202523.1</t>
  </si>
  <si>
    <t>NM_001291661.1</t>
  </si>
  <si>
    <t>NM_005671.2</t>
  </si>
  <si>
    <t>NR_136244.1</t>
  </si>
  <si>
    <t>NM_004445.5</t>
  </si>
  <si>
    <t>NW_003571040.1</t>
  </si>
  <si>
    <t>NR_026716.2</t>
  </si>
  <si>
    <t>NM_152725.3</t>
  </si>
  <si>
    <t>NM_004753.6</t>
  </si>
  <si>
    <t>NM_023946.3</t>
  </si>
  <si>
    <t>NM_001270616.1</t>
  </si>
  <si>
    <t>NM_006561.3</t>
  </si>
  <si>
    <t>NM_001936.3</t>
  </si>
  <si>
    <t>NR_132323.1</t>
  </si>
  <si>
    <t>NR_136550.1</t>
  </si>
  <si>
    <t>NM_001954.4</t>
  </si>
  <si>
    <t>NM_001297653.1</t>
  </si>
  <si>
    <t>NM_025109.5</t>
  </si>
  <si>
    <t>NR_111004.1</t>
  </si>
  <si>
    <t>NR_001543.3</t>
  </si>
  <si>
    <t>NM_022132.4</t>
  </si>
  <si>
    <t>NM_001199697.1</t>
  </si>
  <si>
    <t>NM_001142673.2</t>
  </si>
  <si>
    <t>NM_012115.3</t>
  </si>
  <si>
    <t>NR_104121.1</t>
  </si>
  <si>
    <t>NM_001958.3</t>
  </si>
  <si>
    <t>NR_001434.3</t>
  </si>
  <si>
    <t>NM_001077446.3</t>
  </si>
  <si>
    <t>NR_028032.1</t>
  </si>
  <si>
    <t>NR_027002.1</t>
  </si>
  <si>
    <t>NM_001291324.1</t>
  </si>
  <si>
    <t>NR_111950.1</t>
  </si>
  <si>
    <t>NM_002716.4</t>
  </si>
  <si>
    <t>NW_003871080.1</t>
  </si>
  <si>
    <t>NM_001008539.3</t>
  </si>
  <si>
    <t>NM_001008228.2</t>
  </si>
  <si>
    <t>NM_001128852.1</t>
  </si>
  <si>
    <t>NM_001277816.1</t>
  </si>
  <si>
    <t>NM_001145073.2</t>
  </si>
  <si>
    <t>NM_032631.3</t>
  </si>
  <si>
    <t>NM_001291307.2</t>
  </si>
  <si>
    <t>NM_001199456.1</t>
  </si>
  <si>
    <t>NM_170735.5</t>
  </si>
  <si>
    <t>NM_001286054.1</t>
  </si>
  <si>
    <t>NM_001199238.1</t>
  </si>
  <si>
    <t>NM_021809.6</t>
  </si>
  <si>
    <t>NM_015430.3</t>
  </si>
  <si>
    <t>NM_001289160.1</t>
  </si>
  <si>
    <t>NM_004445.4</t>
  </si>
  <si>
    <t>NM_001304718.1</t>
  </si>
  <si>
    <t>NM_001077511.1</t>
  </si>
  <si>
    <t>NM_001290051.1</t>
  </si>
  <si>
    <t>NM_033089.6</t>
  </si>
  <si>
    <t>NR_037925.1</t>
  </si>
  <si>
    <t>NT_167222.1</t>
  </si>
  <si>
    <t>NR_001434.2</t>
  </si>
  <si>
    <t>NM_032830.2</t>
  </si>
  <si>
    <t>NW_003315946.1</t>
  </si>
  <si>
    <t>NR_027392.2</t>
  </si>
  <si>
    <t>NR_103521.1</t>
  </si>
  <si>
    <t>NM_001330650.1</t>
  </si>
  <si>
    <t>NR_024052.2</t>
  </si>
  <si>
    <t>NR_136549.1</t>
  </si>
  <si>
    <t>NM_012133.4</t>
  </si>
  <si>
    <t>NM_000260.3</t>
  </si>
  <si>
    <t>NW_003871081.1</t>
  </si>
  <si>
    <t>NM_020675.3</t>
  </si>
  <si>
    <t>NM_001040655.1</t>
  </si>
  <si>
    <t>NM_001007075.2</t>
  </si>
  <si>
    <t>NM_001346311.1</t>
  </si>
  <si>
    <t>NM_018646.4</t>
  </si>
  <si>
    <t>NR_130168.1</t>
  </si>
  <si>
    <t>NM_024815.3</t>
  </si>
  <si>
    <t>NM_014069.2</t>
  </si>
  <si>
    <t>NM_018711.4</t>
  </si>
  <si>
    <t>NR_136300.1</t>
  </si>
  <si>
    <t>NM_001137667.1</t>
  </si>
  <si>
    <t>NM_001291308.2</t>
  </si>
  <si>
    <t>NM_003190.4</t>
  </si>
  <si>
    <t>NM_003386.1</t>
  </si>
  <si>
    <t>NM_032508.3</t>
  </si>
  <si>
    <t>NM_001278404.2</t>
  </si>
  <si>
    <t>NM_001143805.1</t>
  </si>
  <si>
    <t>NR_104345.1</t>
  </si>
  <si>
    <t>NM_032439.3</t>
  </si>
  <si>
    <t>NM_199349.2</t>
  </si>
  <si>
    <t>NR_103726.1</t>
  </si>
  <si>
    <t>NM_001017396.2</t>
  </si>
  <si>
    <t>NM_001282734.1</t>
  </si>
  <si>
    <t>NM_022148.2</t>
  </si>
  <si>
    <t>NM_001145146.1</t>
  </si>
  <si>
    <t>NM_005429.4</t>
  </si>
  <si>
    <t>NM_001009615.1</t>
  </si>
  <si>
    <t>NM_005175.2</t>
  </si>
  <si>
    <t>NM_001164279.1</t>
  </si>
  <si>
    <t>NM_138277.2</t>
  </si>
  <si>
    <t>NM_024075.3</t>
  </si>
  <si>
    <t>NM_001324278.1</t>
  </si>
  <si>
    <t>NR_125850.1</t>
  </si>
  <si>
    <t>NW_003315930.1</t>
  </si>
  <si>
    <t>NR_130726.1</t>
  </si>
  <si>
    <t>NM_012327.5</t>
  </si>
  <si>
    <t>NM_021959.2</t>
  </si>
  <si>
    <t>NM_145660.1</t>
  </si>
  <si>
    <t>NM_001220765.1</t>
  </si>
  <si>
    <t>NR_111962.1</t>
  </si>
  <si>
    <t>NM_005346.4</t>
  </si>
  <si>
    <t>NM_007213.2</t>
  </si>
  <si>
    <t>NM_001090.2</t>
  </si>
  <si>
    <t>NM_001127178.2</t>
  </si>
  <si>
    <t>NM_001289973.1</t>
  </si>
  <si>
    <t>NR_132315.1</t>
  </si>
  <si>
    <t>NT_167235.1</t>
  </si>
  <si>
    <t>NR_110997.1</t>
  </si>
  <si>
    <t>NR_026901.1</t>
  </si>
  <si>
    <t>NR_111929.1</t>
  </si>
  <si>
    <t>NM_030582.3</t>
  </si>
  <si>
    <t>NM_003909.4</t>
  </si>
  <si>
    <t>NM_001242607.1</t>
  </si>
  <si>
    <t>NM_001199824.2</t>
  </si>
  <si>
    <t>NM_001330124.1</t>
  </si>
  <si>
    <t>NM_001324276.1</t>
  </si>
  <si>
    <t>NM_001346337.1</t>
  </si>
  <si>
    <t>NR_109852.1</t>
  </si>
  <si>
    <t>NW_003871065.1</t>
  </si>
  <si>
    <t>NM_001291604.1</t>
  </si>
  <si>
    <t>NM_007028.3</t>
  </si>
  <si>
    <t>NR_125968.1</t>
  </si>
  <si>
    <t>NM_001794.4</t>
  </si>
  <si>
    <t>NM_001350.4</t>
  </si>
  <si>
    <t>NM_001271893.2</t>
  </si>
  <si>
    <t>NM_001290135.1</t>
  </si>
  <si>
    <t>NM_001002027.1</t>
  </si>
  <si>
    <t>NM_001127345.1</t>
  </si>
  <si>
    <t>NM_003043.4</t>
  </si>
  <si>
    <t>NM_007231.4</t>
  </si>
  <si>
    <t>NR_103797.1</t>
  </si>
  <si>
    <t>NR_136552.1</t>
  </si>
  <si>
    <t>NM_031421.2</t>
  </si>
  <si>
    <t>NM_138320.1</t>
  </si>
  <si>
    <t>NM_006505.4</t>
  </si>
  <si>
    <t>NM_024644.4</t>
  </si>
  <si>
    <t>NM_001136478.3</t>
  </si>
  <si>
    <t>NM_173471.3</t>
  </si>
  <si>
    <t>NM_001270401.1</t>
  </si>
  <si>
    <t>NM_024302.4</t>
  </si>
  <si>
    <t>NM_000442.4</t>
  </si>
  <si>
    <t>NM_012314.4</t>
  </si>
  <si>
    <t>NM_004382.4</t>
  </si>
  <si>
    <t>NM_001297673.1</t>
  </si>
  <si>
    <t>NR_052012.1</t>
  </si>
  <si>
    <t>NM_001220770.1</t>
  </si>
  <si>
    <t>NM_001145147.1</t>
  </si>
  <si>
    <t>NM_030643.4</t>
  </si>
  <si>
    <t>NM_001174092.2</t>
  </si>
  <si>
    <t>NR_110866.1</t>
  </si>
  <si>
    <t>NM_001300832.2</t>
  </si>
  <si>
    <t>NM_001291283.1</t>
  </si>
  <si>
    <t>NW_003315903.1</t>
  </si>
  <si>
    <t>NM_145660.2</t>
  </si>
  <si>
    <t>NM_001290185.1</t>
  </si>
  <si>
    <t>NM_033177.3</t>
  </si>
  <si>
    <t>NM_001017915.1</t>
  </si>
  <si>
    <t>NM_001077446.2</t>
  </si>
  <si>
    <t>NM_001256299.2</t>
  </si>
  <si>
    <t>NM_001243962.1</t>
  </si>
  <si>
    <t>NR_134268.1</t>
  </si>
  <si>
    <t>NM_005407.2</t>
  </si>
  <si>
    <t>NM_001178063.1</t>
  </si>
  <si>
    <t>NM_001322187.1</t>
  </si>
  <si>
    <t>NR_003948.2</t>
  </si>
  <si>
    <t>NR_036483.2</t>
  </si>
  <si>
    <t>NM_001039350.1</t>
  </si>
  <si>
    <t>NM_001199455.1</t>
  </si>
  <si>
    <t>NM_001282916.1</t>
  </si>
  <si>
    <t>NM_000278.3</t>
  </si>
  <si>
    <t>NM_001085474.1</t>
  </si>
  <si>
    <t>NM_001242366.2</t>
  </si>
  <si>
    <t>NM_003724.3</t>
  </si>
  <si>
    <t>NM_001023560.2</t>
  </si>
  <si>
    <t>NM_152988.2</t>
  </si>
  <si>
    <t>NM_001077350.2</t>
  </si>
  <si>
    <t>NM_014803.3</t>
  </si>
  <si>
    <t>NM_001291932.1</t>
  </si>
  <si>
    <t>NM_001291307.1</t>
  </si>
  <si>
    <t>NM_001290059.1</t>
  </si>
  <si>
    <t>NM_021904.3</t>
  </si>
  <si>
    <t>NM_001193466.1</t>
  </si>
  <si>
    <t>NM_173600.2</t>
  </si>
  <si>
    <t>NM_006389.4</t>
  </si>
  <si>
    <t>NM_001134870.1</t>
  </si>
  <si>
    <t>NR_125914.1</t>
  </si>
  <si>
    <t>NM_178126.3</t>
  </si>
  <si>
    <t>NM_001164277.1</t>
  </si>
  <si>
    <t>NM_198283.1</t>
  </si>
  <si>
    <t>NM_001164465.3</t>
  </si>
  <si>
    <t>NM_001314000.1</t>
  </si>
  <si>
    <t>NM_006249.4</t>
  </si>
  <si>
    <t>NM_014001.3</t>
  </si>
  <si>
    <t>NM_001282900.1</t>
  </si>
  <si>
    <t>NM_001291446.1</t>
  </si>
  <si>
    <t>NM_001145710.1</t>
  </si>
  <si>
    <t>NM_001282535.1</t>
  </si>
  <si>
    <t>NM_001257191.2</t>
  </si>
  <si>
    <t>NW_003871072.2</t>
  </si>
  <si>
    <t>NM_001346360.1</t>
  </si>
  <si>
    <t>NR_136544.1</t>
  </si>
  <si>
    <t>NR_138084.1</t>
  </si>
  <si>
    <t>NM_005132.2</t>
  </si>
  <si>
    <t>NM_001164615.1</t>
  </si>
  <si>
    <t>NM_031945.3</t>
  </si>
  <si>
    <t>NM_001136178.1</t>
  </si>
  <si>
    <t>NM_001346354.1</t>
  </si>
  <si>
    <t>NM_001083585.1</t>
  </si>
  <si>
    <t>NM_181491.2</t>
  </si>
  <si>
    <t>NM_001039127.5</t>
  </si>
  <si>
    <t>NM_052828.2</t>
  </si>
  <si>
    <t>NR_125425.1</t>
  </si>
  <si>
    <t>NW_003571042.1</t>
  </si>
  <si>
    <t>NM_016346.3</t>
  </si>
  <si>
    <t>NM_022740.4</t>
  </si>
  <si>
    <t>NR_126452.2</t>
  </si>
  <si>
    <t>NM_138927.2</t>
  </si>
  <si>
    <t>NR_033320.2</t>
  </si>
  <si>
    <t>NM_001143809.1</t>
  </si>
  <si>
    <t>NM_001346329.1</t>
  </si>
  <si>
    <t>NM_001467.5</t>
  </si>
  <si>
    <t>NM_031274.4</t>
  </si>
  <si>
    <t>NM_001278398.2</t>
  </si>
  <si>
    <t>NM_001290050.1</t>
  </si>
  <si>
    <t>NR_073585.1</t>
  </si>
  <si>
    <t>NR_104098.1</t>
  </si>
  <si>
    <t>NM_001001520.1</t>
  </si>
  <si>
    <t>NM_001161473.2</t>
  </si>
  <si>
    <t>NM_001346334.1</t>
  </si>
  <si>
    <t>NM_001318045.1</t>
  </si>
  <si>
    <t>NM_181844.3</t>
  </si>
  <si>
    <t>NM_001143807.1</t>
  </si>
  <si>
    <t>NM_001291581.1</t>
  </si>
  <si>
    <t>NR_111903.1</t>
  </si>
  <si>
    <t>NM_001136177.1</t>
  </si>
  <si>
    <t>NM_001346314.1</t>
  </si>
  <si>
    <t>NM_032102.3</t>
  </si>
  <si>
    <t>NM_001134442.1</t>
  </si>
  <si>
    <t>NM_001322190.1</t>
  </si>
  <si>
    <t>NR_026800.1</t>
  </si>
  <si>
    <t>NM_001291815.1</t>
  </si>
  <si>
    <t>NR_027455.5</t>
  </si>
  <si>
    <t>NM_001145195.1</t>
  </si>
  <si>
    <t>NM_001012709.1</t>
  </si>
  <si>
    <t>NM_031308.2</t>
  </si>
  <si>
    <t>NR_144329.1</t>
  </si>
  <si>
    <t>NM_001282658.1</t>
  </si>
  <si>
    <t>NR_046135.1</t>
  </si>
  <si>
    <t>NM_001202466.1</t>
  </si>
  <si>
    <t>NW_003571043.1</t>
  </si>
  <si>
    <t>NM_001290264.1</t>
  </si>
  <si>
    <t>NM_012314.5</t>
  </si>
  <si>
    <t>NM_178124.4</t>
  </si>
  <si>
    <t>NM_001145064.2</t>
  </si>
  <si>
    <t>NM_001297696.1</t>
  </si>
  <si>
    <t>NM_001346319.1</t>
  </si>
  <si>
    <t>NM_133471.3</t>
  </si>
  <si>
    <t>NM_001160328.1</t>
  </si>
  <si>
    <t>NR_027790.3</t>
  </si>
  <si>
    <t>NM_001319053.1</t>
  </si>
  <si>
    <t>NR_103756.1</t>
  </si>
  <si>
    <t>NM_001134441.1</t>
  </si>
  <si>
    <t>NM_001280794.1</t>
  </si>
  <si>
    <t>NM_003987.3</t>
  </si>
  <si>
    <t>NM_001199121.1</t>
  </si>
  <si>
    <t>NM_001110781.2</t>
  </si>
  <si>
    <t>NM_001002836.2</t>
  </si>
  <si>
    <t>NM_138325.2</t>
  </si>
  <si>
    <t>NM_001286476.1</t>
  </si>
  <si>
    <t>NM_001177563.1</t>
  </si>
  <si>
    <t>NM_001010855.2</t>
  </si>
  <si>
    <t>NM_016834.4</t>
  </si>
  <si>
    <t>NM_014504.2</t>
  </si>
  <si>
    <t>NM_000116.3</t>
  </si>
  <si>
    <t>NM_001278526.1</t>
  </si>
  <si>
    <t>NM_001345872.1</t>
  </si>
  <si>
    <t>NM_001202521.1</t>
  </si>
  <si>
    <t>NR_024089.2</t>
  </si>
  <si>
    <t>NR_028475.1</t>
  </si>
  <si>
    <t>NM_032298.2</t>
  </si>
  <si>
    <t>NM_138352.2</t>
  </si>
  <si>
    <t>NM_001320.5</t>
  </si>
  <si>
    <t>NM_001170418.1</t>
  </si>
  <si>
    <t>NM_001330732.1</t>
  </si>
  <si>
    <t>NM_000348.3</t>
  </si>
  <si>
    <t>NM_001346321.1</t>
  </si>
  <si>
    <t>NM_030975.2</t>
  </si>
  <si>
    <t>NW_003871092.1</t>
  </si>
  <si>
    <t>NM_002570.4</t>
  </si>
  <si>
    <t>NM_033401.4</t>
  </si>
  <si>
    <t>NM_004703.5</t>
  </si>
  <si>
    <t>NM_001346332.1</t>
  </si>
  <si>
    <t>NM_001039350.2</t>
  </si>
  <si>
    <t>NM_182524.2</t>
  </si>
  <si>
    <t>NM_001346315.1</t>
  </si>
  <si>
    <t>NM_138319.3</t>
  </si>
  <si>
    <t>NM_001145167.1</t>
  </si>
  <si>
    <t>NM_006781.3</t>
  </si>
  <si>
    <t>NM_001242366.1</t>
  </si>
  <si>
    <t>NR_136551.1</t>
  </si>
  <si>
    <t>NM_001290187.1</t>
  </si>
  <si>
    <t>NM_006904.6</t>
  </si>
  <si>
    <t>NM_138322.2</t>
  </si>
  <si>
    <t>NM_001282398.1</t>
  </si>
  <si>
    <t>NM_001317056.1</t>
  </si>
  <si>
    <t>NR_130643.1</t>
  </si>
  <si>
    <t>NM_020979.4</t>
  </si>
  <si>
    <t>NR_135765.1</t>
  </si>
  <si>
    <t>NR_111004.2</t>
  </si>
  <si>
    <t>NM_181606.2</t>
  </si>
  <si>
    <t>NM_001346323.1</t>
  </si>
  <si>
    <t>NM_001280560.1</t>
  </si>
  <si>
    <t>NM_001141969.1</t>
  </si>
  <si>
    <t>NR_110527.1</t>
  </si>
  <si>
    <t>NM_001271466.1</t>
  </si>
  <si>
    <t>NM_002121.5</t>
  </si>
  <si>
    <t>NM_003988.3</t>
  </si>
  <si>
    <t>NM_006669.6</t>
  </si>
  <si>
    <t>NR_036647.1</t>
  </si>
  <si>
    <t>NM_001293212.1</t>
  </si>
  <si>
    <t>NW_004070877.1</t>
  </si>
  <si>
    <t>NR_047573.1</t>
  </si>
  <si>
    <t>NM_001291345.1</t>
  </si>
  <si>
    <t>NM_001276389.1</t>
  </si>
  <si>
    <t>NM_001127178.1</t>
  </si>
  <si>
    <t>NM_025184.3</t>
  </si>
  <si>
    <t>NM_013994.2</t>
  </si>
  <si>
    <t>NR_027916.1</t>
  </si>
  <si>
    <t>NM_001184750.2</t>
  </si>
  <si>
    <t>NM_033518.3</t>
  </si>
  <si>
    <t>NM_006060.5</t>
  </si>
  <si>
    <t>NM_001040659.1</t>
  </si>
  <si>
    <t>NM_001081637.1</t>
  </si>
  <si>
    <t>NM_001134382.2</t>
  </si>
  <si>
    <t>NM_014607.3</t>
  </si>
  <si>
    <t>NM_001282899.1</t>
  </si>
  <si>
    <t>NR_144424.1</t>
  </si>
  <si>
    <t>NM_001288811.1</t>
  </si>
  <si>
    <t>NR_033957.2</t>
  </si>
  <si>
    <t>NM_001287060.1</t>
  </si>
  <si>
    <t>NM_001470.3</t>
  </si>
  <si>
    <t>NR_027295.2</t>
  </si>
  <si>
    <t>NM_052892.3</t>
  </si>
  <si>
    <t>NM_005429.3</t>
  </si>
  <si>
    <t>NM_001122636.1</t>
  </si>
  <si>
    <t>NW_003315937.1</t>
  </si>
  <si>
    <t>NM_015197.3</t>
  </si>
  <si>
    <t>NM_001282880.1</t>
  </si>
  <si>
    <t>NM_002255.5</t>
  </si>
  <si>
    <t>NR_136216.1</t>
  </si>
  <si>
    <t>NM_001190965.2</t>
  </si>
  <si>
    <t>NM_001099673.2</t>
  </si>
  <si>
    <t>NM_032817.5</t>
  </si>
  <si>
    <t>NM_006510.4</t>
  </si>
  <si>
    <t>NM_176816.4</t>
  </si>
  <si>
    <t>NR_136548.1</t>
  </si>
  <si>
    <t>NR_109947.1</t>
  </si>
  <si>
    <t>NR_033319.2</t>
  </si>
  <si>
    <t>NR_033345.1</t>
  </si>
  <si>
    <t>NR_051955.2</t>
  </si>
  <si>
    <t>NR_134318.1</t>
  </si>
  <si>
    <t>NM_001145103.1</t>
  </si>
  <si>
    <t>NM_005960.1</t>
  </si>
  <si>
    <t>NM_032258.4</t>
  </si>
  <si>
    <t>NW_003315949.1</t>
  </si>
  <si>
    <t>NM_001291277.1</t>
  </si>
  <si>
    <t>NM_181985.2</t>
  </si>
  <si>
    <t>NM_014262.4</t>
  </si>
  <si>
    <t>NR_003491.3</t>
  </si>
  <si>
    <t>NR_135562.1</t>
  </si>
  <si>
    <t>NM_170783.3</t>
  </si>
  <si>
    <t>NR_037625.1</t>
  </si>
  <si>
    <t>NR_119376.1</t>
  </si>
  <si>
    <t>NM_171999.3</t>
  </si>
  <si>
    <t>NW_003315961.1</t>
  </si>
  <si>
    <t>NM_001290058.1</t>
  </si>
  <si>
    <t>NM_005105.4</t>
  </si>
  <si>
    <t>NM_003766.4</t>
  </si>
  <si>
    <t>NM_178517.4</t>
  </si>
  <si>
    <t>NM_001267545.2</t>
  </si>
  <si>
    <t>NM_001127200.1</t>
  </si>
  <si>
    <t>NM_001272093.2</t>
  </si>
  <si>
    <t>NR_136546.1</t>
  </si>
  <si>
    <t>NR_037860.1</t>
  </si>
  <si>
    <t>NM_033425.4</t>
  </si>
  <si>
    <t>NM_001293216.1</t>
  </si>
  <si>
    <t>NM_000399.3</t>
  </si>
  <si>
    <t>NM_001002836.3</t>
  </si>
  <si>
    <t>NM_080669.5</t>
  </si>
  <si>
    <t>NM_152503.5</t>
  </si>
  <si>
    <t>NM_001134367.2</t>
  </si>
  <si>
    <t>NM_177477.3</t>
  </si>
  <si>
    <t>NM_001329984.1</t>
  </si>
  <si>
    <t>NM_176787.4</t>
  </si>
  <si>
    <t>NM_001322189.1</t>
  </si>
  <si>
    <t>NM_001282850.1</t>
  </si>
  <si>
    <t>NM_001135914.1</t>
  </si>
  <si>
    <t>NM_001330735.1</t>
  </si>
  <si>
    <t>NM_001280795.1</t>
  </si>
  <si>
    <t>NR_045724.1</t>
  </si>
  <si>
    <t>NM_001297674.1</t>
  </si>
  <si>
    <t>NM_004472.2</t>
  </si>
  <si>
    <t>NR_038400.1</t>
  </si>
  <si>
    <t>NW_003315968.1</t>
  </si>
  <si>
    <t>NM_001177562.1</t>
  </si>
  <si>
    <t>NM_001346049.1</t>
  </si>
  <si>
    <t>NM_001256647.1</t>
  </si>
  <si>
    <t>NM_001300833.2</t>
  </si>
  <si>
    <t>NM_014262.3</t>
  </si>
  <si>
    <t>NM_016324.3</t>
  </si>
  <si>
    <t>NM_001330734.1</t>
  </si>
  <si>
    <t>NM_002455.4</t>
  </si>
  <si>
    <t>NM_001243247.1</t>
  </si>
  <si>
    <t>NM_001267812.1</t>
  </si>
  <si>
    <t>NM_015443.3</t>
  </si>
  <si>
    <t>NM_006750.3</t>
  </si>
  <si>
    <t>NM_000615.6</t>
  </si>
  <si>
    <t>NR_134316.1</t>
  </si>
  <si>
    <t>NR_136547.1</t>
  </si>
  <si>
    <t>NM_006889.4</t>
  </si>
  <si>
    <t>NM_001289951.1</t>
  </si>
  <si>
    <t>NM_002774.3</t>
  </si>
  <si>
    <t>NM_138323.2</t>
  </si>
  <si>
    <t>NM_001290033.1</t>
  </si>
  <si>
    <t>NR_001543.2</t>
  </si>
  <si>
    <t>NM_021965.3</t>
  </si>
  <si>
    <t>NW_003871067.1</t>
  </si>
  <si>
    <t>NM_207355.3</t>
  </si>
  <si>
    <t>NM_000544.3</t>
  </si>
  <si>
    <t>NM_006178.3</t>
  </si>
  <si>
    <t>NR_117086.1</t>
  </si>
  <si>
    <t>NM_032591.2</t>
  </si>
  <si>
    <t>NW_004166866.1</t>
  </si>
  <si>
    <t>NM_001122964.2</t>
  </si>
  <si>
    <t>NM_001289152.1</t>
  </si>
  <si>
    <t>NM_003954.3</t>
  </si>
  <si>
    <t>NM_173059.2</t>
  </si>
  <si>
    <t>NM_001164239.1</t>
  </si>
  <si>
    <t>NR_110770.1</t>
  </si>
  <si>
    <t>NR_125916.1</t>
  </si>
  <si>
    <t>NR_136268.1</t>
  </si>
  <si>
    <t>NM_031960.2</t>
  </si>
  <si>
    <t>NW_003871091.1</t>
  </si>
  <si>
    <t>NM_001290211.1</t>
  </si>
  <si>
    <t>NR_130768.1</t>
  </si>
  <si>
    <t>NM_001346346.1</t>
  </si>
  <si>
    <t>NM_016523.1</t>
  </si>
  <si>
    <t>NM_005910.5</t>
  </si>
  <si>
    <t>NM_001303456.1</t>
  </si>
  <si>
    <t>NM_001143774.1</t>
  </si>
  <si>
    <t>NR_027392.1</t>
  </si>
  <si>
    <t>NM_001290046.1</t>
  </si>
  <si>
    <t>NM_001025076.2</t>
  </si>
  <si>
    <t>NM_001080826.2</t>
  </si>
  <si>
    <t>NM_017419.2</t>
  </si>
  <si>
    <t>NW_003315914.1</t>
  </si>
  <si>
    <t>NM_001346749.1</t>
  </si>
  <si>
    <t>NM_001346333.1</t>
  </si>
  <si>
    <t>NM_001080394.3</t>
  </si>
  <si>
    <t>NM_001271835.1</t>
  </si>
  <si>
    <t>NM_001346357.1</t>
  </si>
  <si>
    <t>NM_005541.4</t>
  </si>
  <si>
    <t>NM_152914.2</t>
  </si>
  <si>
    <t>NM_001142505.1</t>
  </si>
  <si>
    <t>NM_001281972.1</t>
  </si>
  <si>
    <t>NR_046136.1</t>
  </si>
  <si>
    <t>NR_003246.3</t>
  </si>
  <si>
    <t>NR_024260.1</t>
  </si>
  <si>
    <t>NM_001199698.1</t>
  </si>
  <si>
    <t>NM_001330619.1</t>
  </si>
  <si>
    <t>NR_103551.2</t>
  </si>
  <si>
    <t>NR_040116.1</t>
  </si>
  <si>
    <t>NM_000804.2</t>
  </si>
  <si>
    <t>NM_001290052.1</t>
  </si>
  <si>
    <t>NM_001081638.2</t>
  </si>
  <si>
    <t>NR_138259.1</t>
  </si>
  <si>
    <t>NM_015077.3</t>
  </si>
  <si>
    <t>NM_172166.3</t>
  </si>
  <si>
    <t>NM_000158.3</t>
  </si>
  <si>
    <t>NM_001277818.1</t>
  </si>
  <si>
    <t>NM_001280795.2</t>
  </si>
  <si>
    <t>NM_138619.3</t>
  </si>
  <si>
    <t>NM_006052.1</t>
  </si>
  <si>
    <t>NR_037926.1</t>
  </si>
  <si>
    <t>NM_001099670.1</t>
  </si>
  <si>
    <t>NM_153267.4</t>
  </si>
  <si>
    <t>NM_001083585.2</t>
  </si>
  <si>
    <t>NM_001128833.1</t>
  </si>
  <si>
    <t>NM_002538.3</t>
  </si>
  <si>
    <t>NM_005874.3</t>
  </si>
  <si>
    <t>NM_001331021.1</t>
  </si>
  <si>
    <t>NM_145055.3</t>
  </si>
  <si>
    <t>NR_027921.3</t>
  </si>
  <si>
    <t>NR_104095.1</t>
  </si>
  <si>
    <t>NM_001271872.2</t>
  </si>
  <si>
    <t>NR_111893.2</t>
  </si>
  <si>
    <t>NM_001303020.1</t>
  </si>
  <si>
    <t>NR_038269.1</t>
  </si>
  <si>
    <t>NW_003315939.1</t>
  </si>
  <si>
    <t>NR_135513.1</t>
  </si>
  <si>
    <t>NM_001278563.1</t>
  </si>
  <si>
    <t>NM_001077445.2</t>
  </si>
  <si>
    <t>NM_001272093.1</t>
  </si>
  <si>
    <t>NM_001322179.1</t>
  </si>
  <si>
    <t>NM_001278081.1</t>
  </si>
  <si>
    <t>NM_003631.3</t>
  </si>
  <si>
    <t>NM_001163322.2</t>
  </si>
  <si>
    <t>NM_001172703.2</t>
  </si>
  <si>
    <t>NR_027822.1</t>
  </si>
  <si>
    <t>NM_145728.2</t>
  </si>
  <si>
    <t>NM_004703.4</t>
  </si>
  <si>
    <t>NR_103727.1</t>
  </si>
  <si>
    <t>NR_104001.2</t>
  </si>
  <si>
    <t>NM_001114093.1</t>
  </si>
  <si>
    <t>NW_003315963.1</t>
  </si>
  <si>
    <t>NM_001322370.1</t>
  </si>
  <si>
    <t>NM_001081638.3</t>
  </si>
  <si>
    <t>NM_080703.2</t>
  </si>
  <si>
    <t>NM_004260.3</t>
  </si>
  <si>
    <t>NM_001290229.1</t>
  </si>
  <si>
    <t>NM_001329963.1</t>
  </si>
  <si>
    <t>NR_104165.1</t>
  </si>
  <si>
    <t>NM_138325.3</t>
  </si>
  <si>
    <t>NR_036750.2</t>
  </si>
  <si>
    <t>NW_003315948.2</t>
  </si>
  <si>
    <t>NM_033060.2</t>
  </si>
  <si>
    <t>NM_004636.2</t>
  </si>
  <si>
    <t>NM_001287061.1</t>
  </si>
  <si>
    <t>NM_001271889.1</t>
  </si>
  <si>
    <t>NM_130444.2</t>
  </si>
  <si>
    <t>NM_016403.3</t>
  </si>
  <si>
    <t>NM_022450.3</t>
  </si>
  <si>
    <t>NM_001205120.1</t>
  </si>
  <si>
    <t>NW_003571059.1</t>
  </si>
  <si>
    <t>NR_073415.1</t>
  </si>
  <si>
    <t>NR_135824.1</t>
  </si>
  <si>
    <t>NM_016429.2</t>
  </si>
  <si>
    <t>NM_001099773.1</t>
  </si>
  <si>
    <t>NM_007109.2</t>
  </si>
  <si>
    <t>NR_111966.1</t>
  </si>
  <si>
    <t>NM_001012755.3</t>
  </si>
  <si>
    <t>NW_004070885.1</t>
  </si>
  <si>
    <t>NM_001080978.2</t>
  </si>
  <si>
    <t>NM_001184749.1</t>
  </si>
  <si>
    <t>NM_001278398.1</t>
  </si>
  <si>
    <t>NR_104001.1</t>
  </si>
  <si>
    <t>NM_198963.2</t>
  </si>
  <si>
    <t>NR_136753.1</t>
  </si>
  <si>
    <t>NM_001267547.2</t>
  </si>
  <si>
    <t>NM_001278687.2</t>
  </si>
  <si>
    <t>NR_136210.1</t>
  </si>
  <si>
    <t>NM_001277814.1</t>
  </si>
  <si>
    <t>NM_138324.1</t>
  </si>
  <si>
    <t>NM_001324279.1</t>
  </si>
  <si>
    <t>NR_103798.1</t>
  </si>
  <si>
    <t>NR_002188.2</t>
  </si>
  <si>
    <t>NM_001077527.2</t>
  </si>
  <si>
    <t>NM_145171.3</t>
  </si>
  <si>
    <t>NM_001267544.2</t>
  </si>
  <si>
    <t>NM_005903.6</t>
  </si>
  <si>
    <t>NM_001293215.1</t>
  </si>
  <si>
    <t>NM_006014.3</t>
  </si>
  <si>
    <t>NM_001207043.1</t>
  </si>
  <si>
    <t>NM_001291281.2</t>
  </si>
  <si>
    <t>NM_152758.5</t>
  </si>
  <si>
    <t>NM_001171908.1</t>
  </si>
  <si>
    <t>NM_001012964.1</t>
  </si>
  <si>
    <t>NM_001271893.3</t>
  </si>
  <si>
    <t>NM_206814.5</t>
  </si>
  <si>
    <t>NM_001040660.1</t>
  </si>
  <si>
    <t>NM_004866.5</t>
  </si>
  <si>
    <t>NM_001205122.1</t>
  </si>
  <si>
    <t>NR_136213.1</t>
  </si>
  <si>
    <t>NM_001320049.1</t>
  </si>
  <si>
    <t>NR_026791.1</t>
  </si>
  <si>
    <t>NM_001167672.2</t>
  </si>
  <si>
    <t>NR_123721.1</t>
  </si>
  <si>
    <t>NM_016339.4</t>
  </si>
  <si>
    <t>NM_181312.2</t>
  </si>
  <si>
    <t>NR_036523.1</t>
  </si>
  <si>
    <t>NM_153713.2</t>
  </si>
  <si>
    <t>NM_001278701.1</t>
  </si>
  <si>
    <t>NR_125967.1</t>
  </si>
  <si>
    <t>NM_001171908.2</t>
  </si>
  <si>
    <t>NM_001137668.1</t>
  </si>
  <si>
    <t>NR_111952.1</t>
  </si>
  <si>
    <t>NM_001080423.2</t>
  </si>
  <si>
    <t>NM_001330065.1</t>
  </si>
  <si>
    <t>NM_001136479.2</t>
  </si>
  <si>
    <t>NM_001039888.3</t>
  </si>
  <si>
    <t>NM_001204204.2</t>
  </si>
  <si>
    <t>NM_001170637.2</t>
  </si>
  <si>
    <t>NM_001163735.1</t>
  </si>
  <si>
    <t>NR_037183.1</t>
  </si>
  <si>
    <t>NW_004070888.1</t>
  </si>
  <si>
    <t>NM_001145440.1</t>
  </si>
  <si>
    <t>NM_015670.5</t>
  </si>
  <si>
    <t>NR_111005.2</t>
  </si>
  <si>
    <t>NM_016391.7</t>
  </si>
  <si>
    <t>NM_130784.2</t>
  </si>
  <si>
    <t>NM_001293214.1</t>
  </si>
  <si>
    <t>NM_001267549.2</t>
  </si>
  <si>
    <t>NM_001243248.1</t>
  </si>
  <si>
    <t>NM_021976.4</t>
  </si>
  <si>
    <t>NM_016647.2</t>
  </si>
  <si>
    <t>NW_003871066.2</t>
  </si>
  <si>
    <t>NM_001321037.1</t>
  </si>
  <si>
    <t>NM_001242608.1</t>
  </si>
  <si>
    <t>NM_001145148.1</t>
  </si>
  <si>
    <t>NM_001289051.1</t>
  </si>
  <si>
    <t>NM_001134440.1</t>
  </si>
  <si>
    <t>NM_001346342.1</t>
  </si>
  <si>
    <t>NM_153046.2</t>
  </si>
  <si>
    <t>NM_001291822.1</t>
  </si>
  <si>
    <t>NM_001076682.3</t>
  </si>
  <si>
    <t>NM_001080394.2</t>
  </si>
  <si>
    <t>NM_003453.4</t>
  </si>
  <si>
    <t>NR_046138.1</t>
  </si>
  <si>
    <t>NM_001297654.1</t>
  </si>
  <si>
    <t>NM_000694.3</t>
  </si>
  <si>
    <t>NM_015908.5</t>
  </si>
  <si>
    <t>NM_001243127.1</t>
  </si>
  <si>
    <t>NM_013364.4</t>
  </si>
  <si>
    <t>NM_030569.6</t>
  </si>
  <si>
    <t>NR_046115.1</t>
  </si>
  <si>
    <t>NM_212479.3</t>
  </si>
  <si>
    <t>NR_110899.1</t>
  </si>
  <si>
    <t>NM_080764.3</t>
  </si>
  <si>
    <t>NM_001001991.2</t>
  </si>
  <si>
    <t>NM_032855.2</t>
  </si>
  <si>
    <t>NM_173506.5</t>
  </si>
  <si>
    <t>NM_033493.1</t>
  </si>
  <si>
    <t>NR_125933.1</t>
  </si>
  <si>
    <t>NM_001291588.1</t>
  </si>
  <si>
    <t>NM_182524.3</t>
  </si>
  <si>
    <t>NM_001100913.2</t>
  </si>
  <si>
    <t>NM_000294.2</t>
  </si>
  <si>
    <t>NM_001128590.3</t>
  </si>
  <si>
    <t>NR_038378.1</t>
  </si>
  <si>
    <t>NM_001205119.1</t>
  </si>
  <si>
    <t>NM_130445.2</t>
  </si>
  <si>
    <t>NM_030920.4</t>
  </si>
  <si>
    <t>NM_145041.3</t>
  </si>
  <si>
    <t>NM_133502.2</t>
  </si>
  <si>
    <t>NM_000597.2</t>
  </si>
  <si>
    <t>NM_000314.6</t>
  </si>
  <si>
    <t>NM_173078.4</t>
  </si>
  <si>
    <t>NM_001293320.1</t>
  </si>
  <si>
    <t>NM_001012288.1</t>
  </si>
  <si>
    <t>NM_006158.4</t>
  </si>
  <si>
    <t>NM_001048205.1</t>
  </si>
  <si>
    <t>NR_027873.1</t>
  </si>
  <si>
    <t>NM_001286463.1</t>
  </si>
  <si>
    <t>NM_138321.1</t>
  </si>
  <si>
    <t>NR_144514.1</t>
  </si>
  <si>
    <t>NW_003315964.2</t>
  </si>
  <si>
    <t>NM_001014431.1</t>
  </si>
  <si>
    <t>NR_104097.1</t>
  </si>
  <si>
    <t>NM_213631.1</t>
  </si>
  <si>
    <t>NM_004879.3</t>
  </si>
  <si>
    <t>NM_001330738.1</t>
  </si>
  <si>
    <t>NM_001281971.1</t>
  </si>
  <si>
    <t>NR_103850.1</t>
  </si>
  <si>
    <t>NM_001290205.1</t>
  </si>
  <si>
    <t>NM_176816.3</t>
  </si>
  <si>
    <t>NR_033379.1</t>
  </si>
  <si>
    <t>NM_005903.5</t>
  </si>
  <si>
    <t>NM_021729.5</t>
  </si>
  <si>
    <t>NM_001244000.1</t>
  </si>
  <si>
    <t>NM_012309.4</t>
  </si>
  <si>
    <t>NM_001291305.2</t>
  </si>
  <si>
    <t>NR_046137.1</t>
  </si>
  <si>
    <t>NR_027457.1</t>
  </si>
  <si>
    <t>NR_002206.3</t>
  </si>
  <si>
    <t>NM_005803.3</t>
  </si>
  <si>
    <t>NM_001134368.3</t>
  </si>
  <si>
    <t>NM_018711.2</t>
  </si>
  <si>
    <t>NM_001278525.1</t>
  </si>
  <si>
    <t>NR_051957.2</t>
  </si>
  <si>
    <t>NM_002457.3</t>
  </si>
  <si>
    <t>NM_198455.2</t>
  </si>
  <si>
    <t>NM_206811.3</t>
  </si>
  <si>
    <t>NR_126347.1</t>
  </si>
  <si>
    <t>NM_001282676.1</t>
  </si>
  <si>
    <t>NM_001102599.2</t>
  </si>
  <si>
    <t>NM_001291831.1</t>
  </si>
  <si>
    <t>NM_031274.3</t>
  </si>
  <si>
    <t>NM_018156.3</t>
  </si>
  <si>
    <t>NM_001346336.1</t>
  </si>
  <si>
    <t>NM_153498.3</t>
  </si>
  <si>
    <t>NM_021088.2</t>
  </si>
  <si>
    <t>NM_001023560.3</t>
  </si>
  <si>
    <t>NM_181536.1</t>
  </si>
  <si>
    <t>NM_001346318.1</t>
  </si>
  <si>
    <t>NM_015326.3</t>
  </si>
  <si>
    <t>NM_198689.2</t>
  </si>
  <si>
    <t>NM_182515.3</t>
  </si>
  <si>
    <t>NM_001290212.1</t>
  </si>
  <si>
    <t>NM_001145026.1</t>
  </si>
  <si>
    <t>NR_122073.1</t>
  </si>
  <si>
    <t>NM_172209.2</t>
  </si>
  <si>
    <t>NM_001281471.1</t>
  </si>
  <si>
    <t>NM_006201.4</t>
  </si>
  <si>
    <t>NM_002426.5</t>
  </si>
  <si>
    <t>NM_001286477.1</t>
  </si>
  <si>
    <t>NM_033401.3</t>
  </si>
  <si>
    <t>NM_024772.4</t>
  </si>
  <si>
    <t>NM_001297697.1</t>
  </si>
  <si>
    <t>NM_207411.4</t>
  </si>
  <si>
    <t>NM_001291447.1</t>
  </si>
  <si>
    <t>NM_024164.5</t>
  </si>
  <si>
    <t>NM_001206925.1</t>
  </si>
  <si>
    <t>NM_014068.2</t>
  </si>
  <si>
    <t>NM_001204314.2</t>
  </si>
  <si>
    <t>NR_120505.1</t>
  </si>
  <si>
    <t>NM_001709.4</t>
  </si>
  <si>
    <t>NM_004397.5</t>
  </si>
  <si>
    <t>NR_024086.2</t>
  </si>
  <si>
    <t>NM_032790.3</t>
  </si>
  <si>
    <t>NM_001145166.1</t>
  </si>
  <si>
    <t>NM_001346344.1</t>
  </si>
  <si>
    <t>NM_000314.5</t>
  </si>
  <si>
    <t>NR_037903.3</t>
  </si>
  <si>
    <t>NM_032182.3</t>
  </si>
  <si>
    <t>NM_000277.1</t>
  </si>
  <si>
    <t>NM_017680.4</t>
  </si>
  <si>
    <t>NM_007028.4</t>
  </si>
  <si>
    <t>NR_144422.1</t>
  </si>
  <si>
    <t>NM_001291305.1</t>
  </si>
  <si>
    <t>NR_111967.1</t>
  </si>
  <si>
    <t>NM_006478.4</t>
  </si>
  <si>
    <t>NM_005902.3</t>
  </si>
  <si>
    <t>NM_001277815.1</t>
  </si>
  <si>
    <t>NM_024644.3</t>
  </si>
  <si>
    <t>NM_033487.1</t>
  </si>
  <si>
    <t>NM_001301065.1</t>
  </si>
  <si>
    <t>NM_181313.2</t>
  </si>
  <si>
    <t>NM_024740.2</t>
  </si>
  <si>
    <t>NM_001008401.3</t>
  </si>
  <si>
    <t>NM_001102600.2</t>
  </si>
  <si>
    <t>NR_133014.1</t>
  </si>
  <si>
    <t>NM_001289953.1</t>
  </si>
  <si>
    <t>NM_001243998.1</t>
  </si>
  <si>
    <t>NM_001081639.3</t>
  </si>
  <si>
    <t>NM_024693.4</t>
  </si>
  <si>
    <t>NM_001280559.1</t>
  </si>
  <si>
    <t>NM_001279352.1</t>
  </si>
  <si>
    <t>NM_001289153.1</t>
  </si>
  <si>
    <t>NR_040097.2</t>
  </si>
  <si>
    <t>NM_001271466.2</t>
  </si>
  <si>
    <t>NM_176892.1</t>
  </si>
  <si>
    <t>NM_001257291.1</t>
  </si>
  <si>
    <t>NR_038423.2</t>
  </si>
  <si>
    <t>NR_134305.1</t>
  </si>
  <si>
    <t>NM_152236.2</t>
  </si>
  <si>
    <t>NM_001164616.1</t>
  </si>
  <si>
    <t>NM_178844.3</t>
  </si>
  <si>
    <t>NR_073601.1</t>
  </si>
  <si>
    <t>NM_001184749.2</t>
  </si>
  <si>
    <t>NM_001197320.1</t>
  </si>
  <si>
    <t>NW_003871083.2</t>
  </si>
  <si>
    <t>NM_001080978.3</t>
  </si>
  <si>
    <t>NM_015430.2</t>
  </si>
  <si>
    <t>NM_013282.3</t>
  </si>
  <si>
    <t>NM_001282189.1</t>
  </si>
  <si>
    <t>NM_001163023.1</t>
  </si>
  <si>
    <t>NR_027922.3</t>
  </si>
  <si>
    <t>NM_001014432.1</t>
  </si>
  <si>
    <t>NM_001309242.1</t>
  </si>
  <si>
    <t>NM_001017417.1</t>
  </si>
  <si>
    <t>NW_004070887.1</t>
  </si>
  <si>
    <t>NM_017940.4</t>
  </si>
  <si>
    <t>NM_033490.2</t>
  </si>
  <si>
    <t>NM_001345991.1</t>
  </si>
  <si>
    <t>NM_004866.4</t>
  </si>
  <si>
    <t>NM_181985.3</t>
  </si>
  <si>
    <t>NR_037171.1</t>
  </si>
  <si>
    <t>NM_181842.2</t>
  </si>
  <si>
    <t>NM_001190964.2</t>
  </si>
  <si>
    <t>NM_001256539.3</t>
  </si>
  <si>
    <t>NM_001278405.2</t>
  </si>
  <si>
    <t>NM_001346348.1</t>
  </si>
  <si>
    <t>NM_001288814.1</t>
  </si>
  <si>
    <t>NM_018043.5</t>
  </si>
  <si>
    <t>NR_003614.3</t>
  </si>
  <si>
    <t>NM_001202522.1</t>
  </si>
  <si>
    <t>NM_001346320.1</t>
  </si>
  <si>
    <t>NM_175859.2</t>
  </si>
  <si>
    <t>NM_033049.3</t>
  </si>
  <si>
    <t>NR_024384.1</t>
  </si>
  <si>
    <t>NM_001278524.1</t>
  </si>
  <si>
    <t>NM_001787.2</t>
  </si>
  <si>
    <t>NM_178014.2</t>
  </si>
  <si>
    <t>NM_001017396.1</t>
  </si>
  <si>
    <t>NM_001146344.2</t>
  </si>
  <si>
    <t>NR_125934.1</t>
  </si>
  <si>
    <t>NM_173078.3</t>
  </si>
  <si>
    <t>NM_006108.3</t>
  </si>
  <si>
    <t>NR_037172.1</t>
  </si>
  <si>
    <t>NM_001005914.1</t>
  </si>
  <si>
    <t>NR_133921.1</t>
  </si>
  <si>
    <t>NM_001102599.1</t>
  </si>
  <si>
    <t>NR_038378.4</t>
  </si>
  <si>
    <t>NM_198834.2</t>
  </si>
  <si>
    <t>NM_005396.4</t>
  </si>
  <si>
    <t>NM_001346325.1</t>
  </si>
  <si>
    <t>NM_001242673.1</t>
  </si>
  <si>
    <t>NM_001289930.1</t>
  </si>
  <si>
    <t>NR_138257.1</t>
  </si>
  <si>
    <t>NM_001346350.1</t>
  </si>
  <si>
    <t>NR_037183.2</t>
  </si>
  <si>
    <t>NR_033880.3</t>
  </si>
  <si>
    <t>NR_037861.1</t>
  </si>
  <si>
    <t>NM_001145063.2</t>
  </si>
  <si>
    <t>NM_198988.1</t>
  </si>
  <si>
    <t>NM_058180.4</t>
  </si>
  <si>
    <t>NR_136542.1</t>
  </si>
  <si>
    <t>NM_001076.3</t>
  </si>
  <si>
    <t>NT_167250.1</t>
  </si>
  <si>
    <t>NM_001143812.1</t>
  </si>
  <si>
    <t>NM_001289090.1</t>
  </si>
  <si>
    <t>NM_005568.4</t>
  </si>
  <si>
    <t>NM_001143811.1</t>
  </si>
  <si>
    <t>NM_001143808.1</t>
  </si>
  <si>
    <t>NM_001080423.3</t>
  </si>
  <si>
    <t>NM_032258.3</t>
  </si>
  <si>
    <t>NR_047574.1</t>
  </si>
  <si>
    <t>NR_110662.1</t>
  </si>
  <si>
    <t>NR_121210.1</t>
  </si>
  <si>
    <t>NM_001318484.1</t>
  </si>
  <si>
    <t>NM_001177519.2</t>
  </si>
  <si>
    <t>NM_001030010.2</t>
  </si>
  <si>
    <t>NR_135178.1</t>
  </si>
  <si>
    <t>NM_001099415.2</t>
  </si>
  <si>
    <t>NM_021904.2</t>
  </si>
  <si>
    <t>NM_001267814.1</t>
  </si>
  <si>
    <t>NM_012196.1</t>
  </si>
  <si>
    <t>NM_001291986.1</t>
  </si>
  <si>
    <t>NR_111918.1</t>
  </si>
  <si>
    <t>NM_006060.4</t>
  </si>
  <si>
    <t>NM_001291398.1</t>
  </si>
  <si>
    <t>NM_001135768.2</t>
  </si>
  <si>
    <t>NM_001161473.1</t>
  </si>
  <si>
    <t>NM_033626.3</t>
  </si>
  <si>
    <t>NM_025259.5</t>
  </si>
  <si>
    <t>NM_003046.5</t>
  </si>
  <si>
    <t>NM_001110199.1</t>
  </si>
  <si>
    <t>NM_175859.1</t>
  </si>
  <si>
    <t>NM_001320.6</t>
  </si>
  <si>
    <t>NM_001322178.1</t>
  </si>
  <si>
    <t>NM_014735.3</t>
  </si>
  <si>
    <t>NM_001346048.1</t>
  </si>
  <si>
    <t>NM_173824.3</t>
  </si>
  <si>
    <t>NM_001301224.1</t>
  </si>
  <si>
    <t>NM_033488.1</t>
  </si>
  <si>
    <t>NM_001278735.1</t>
  </si>
  <si>
    <t>NM_018403.5</t>
  </si>
  <si>
    <t>NR_027295.1</t>
  </si>
  <si>
    <t>NM_016523.2</t>
  </si>
  <si>
    <t>NM_001080519.2</t>
  </si>
  <si>
    <t>NM_015653.4</t>
  </si>
  <si>
    <t>NM_012429.4</t>
  </si>
  <si>
    <t>NM_001346748.1</t>
  </si>
  <si>
    <t>NR_136574.1</t>
  </si>
  <si>
    <t>NR_027791.3</t>
  </si>
  <si>
    <t>NM_001318875.1</t>
  </si>
  <si>
    <t>NM_001145414.2</t>
  </si>
  <si>
    <t>NM_001178063.2</t>
  </si>
  <si>
    <t>NM_001282619.1</t>
  </si>
  <si>
    <t>NW_003871059.1</t>
  </si>
  <si>
    <t>NM_001171904.1</t>
  </si>
  <si>
    <t>NM_001136557.1</t>
  </si>
  <si>
    <t>NW_004070869.1</t>
  </si>
  <si>
    <t>NM_020246.3</t>
  </si>
  <si>
    <t>NM_015509.3</t>
  </si>
  <si>
    <t>NM_024772.3</t>
  </si>
  <si>
    <t>NM_016431.3</t>
  </si>
  <si>
    <t>NM_001134368.2</t>
  </si>
  <si>
    <t>NM_001111039.1</t>
  </si>
  <si>
    <t>NM_017570.3</t>
  </si>
  <si>
    <t>NR_046139.1</t>
  </si>
  <si>
    <t>NM_001278510.2</t>
  </si>
  <si>
    <t>NM_013364.5</t>
  </si>
  <si>
    <t>NM_178128.5</t>
  </si>
  <si>
    <t>NR_075083.2</t>
  </si>
  <si>
    <t>NM_001277813.1</t>
  </si>
  <si>
    <t>NM_001291641.1</t>
  </si>
  <si>
    <t>NR_130642.1</t>
  </si>
  <si>
    <t>NM_001017915.2</t>
  </si>
  <si>
    <t>NM_000682.5</t>
  </si>
  <si>
    <t>NR_024048.2</t>
  </si>
  <si>
    <t>NM_177457.4</t>
  </si>
  <si>
    <t>NM_001256539.2</t>
  </si>
  <si>
    <t>NM_178167.3</t>
  </si>
  <si>
    <t>NR_033191.2</t>
  </si>
  <si>
    <t>NR_110551.1</t>
  </si>
  <si>
    <t>NR_133652.1</t>
  </si>
  <si>
    <t>NM_001267546.2</t>
  </si>
  <si>
    <t>NM_001163321.2</t>
  </si>
  <si>
    <t>NM_015578.2</t>
  </si>
  <si>
    <t>NM_006468.7</t>
  </si>
  <si>
    <t>NR_075083.1</t>
  </si>
  <si>
    <t>NM_004636.3</t>
  </si>
  <si>
    <t>NM_001111039.2</t>
  </si>
  <si>
    <t>NR_111953.1</t>
  </si>
  <si>
    <t>NM_001143806.1</t>
  </si>
  <si>
    <t>NM_207421.4</t>
  </si>
  <si>
    <t>NM_001164417.2</t>
  </si>
  <si>
    <t>NM_032932.4</t>
  </si>
  <si>
    <t>NM_001105520.1</t>
  </si>
  <si>
    <t>NR_036750.1</t>
  </si>
  <si>
    <t>NM_001145102.1</t>
  </si>
  <si>
    <t>NM_007213.1</t>
  </si>
  <si>
    <t>NM_000257.2</t>
  </si>
  <si>
    <t>NM_001322188.1</t>
  </si>
  <si>
    <t>NM_001102600.1</t>
  </si>
  <si>
    <t>NM_001303542.2</t>
  </si>
  <si>
    <t>NM_001099672.1</t>
  </si>
  <si>
    <t>NM_152503.4</t>
  </si>
  <si>
    <t>NM_198883.3</t>
  </si>
  <si>
    <t>NM_032855.3</t>
  </si>
  <si>
    <t>NM_182700.5</t>
  </si>
  <si>
    <t>NM_001276282.1</t>
  </si>
  <si>
    <t>NM_001136177.2</t>
  </si>
  <si>
    <t>NM_001145441.1</t>
  </si>
  <si>
    <t>NM_020407.4</t>
  </si>
  <si>
    <t>NR_134669.1</t>
  </si>
  <si>
    <t>NM_001220773.1</t>
  </si>
  <si>
    <t>NR_003587.2</t>
  </si>
  <si>
    <t>NM_001303487.1</t>
  </si>
  <si>
    <t>NR_033383.1</t>
  </si>
  <si>
    <t>NM_018717.4</t>
  </si>
  <si>
    <t>NR_037903.2</t>
  </si>
  <si>
    <t>NM_021732.2</t>
  </si>
  <si>
    <t>NR_003922.1</t>
  </si>
  <si>
    <t>NR_103507.1</t>
  </si>
  <si>
    <t>NM_006383.3</t>
  </si>
  <si>
    <t>NM_001346330.1</t>
  </si>
  <si>
    <t>NM_001203251.1</t>
  </si>
  <si>
    <t>NM_003224.5</t>
  </si>
  <si>
    <t>NM_170732.4</t>
  </si>
  <si>
    <t>NM_001001971.2</t>
  </si>
  <si>
    <t>NM_018403.6</t>
  </si>
  <si>
    <t>NM_001039887.2</t>
  </si>
  <si>
    <t>NM_001301782.1</t>
  </si>
  <si>
    <t>NM_182763.2</t>
  </si>
  <si>
    <t>NM_182703.5</t>
  </si>
  <si>
    <t>NR_110723.1</t>
  </si>
  <si>
    <t>NR_026697.1</t>
  </si>
  <si>
    <t>NM_138319.2</t>
  </si>
  <si>
    <t>NR_047529.2</t>
  </si>
  <si>
    <t>NM_001171907.2</t>
  </si>
  <si>
    <t>NM_032534.2</t>
  </si>
  <si>
    <t>NM_001001420.2</t>
  </si>
  <si>
    <t>NM_173477.4</t>
  </si>
  <si>
    <t>NM_014735.4</t>
  </si>
  <si>
    <t>NM_001277817.1</t>
  </si>
  <si>
    <t>NM_001290204.1</t>
  </si>
  <si>
    <t>NM_014448.3</t>
  </si>
  <si>
    <t>NM_000694.2</t>
  </si>
  <si>
    <t>NM_001099672.2</t>
  </si>
  <si>
    <t>NM_001324275.1</t>
  </si>
  <si>
    <t>NM_001145104.1</t>
  </si>
  <si>
    <t>NM_001346340.1</t>
  </si>
  <si>
    <t>NM_002929.2</t>
  </si>
  <si>
    <t>NM_001256743.1</t>
  </si>
  <si>
    <t>NM_000922.3</t>
  </si>
  <si>
    <t>NW_003871082.1</t>
  </si>
  <si>
    <t>NR_111917.1</t>
  </si>
  <si>
    <t>NM_001346353.1</t>
  </si>
  <si>
    <t>NM_001291838.1</t>
  </si>
  <si>
    <t>NR_134630.1</t>
  </si>
  <si>
    <t>NM_001304717.2</t>
  </si>
  <si>
    <t>NM_019857.4</t>
  </si>
  <si>
    <t>NR_002328.3</t>
  </si>
  <si>
    <t>NM_001243249.1</t>
  </si>
  <si>
    <t>NM_181312.3</t>
  </si>
  <si>
    <t>NR_103518.2</t>
  </si>
  <si>
    <t>NM_001081637.2</t>
  </si>
  <si>
    <t>NM_014596.5</t>
  </si>
  <si>
    <t>NM_181313.3</t>
  </si>
  <si>
    <t>NM_133373.3</t>
  </si>
  <si>
    <t>NR_026973.1</t>
  </si>
  <si>
    <t>NM_001143816.1</t>
  </si>
  <si>
    <t>NM_001278734.1</t>
  </si>
  <si>
    <t>NM_207421.3</t>
  </si>
  <si>
    <t>NM_001346316.1</t>
  </si>
  <si>
    <t>NR_034118.1</t>
  </si>
  <si>
    <t>NW_004504305.1</t>
  </si>
  <si>
    <t>NM_032595.4</t>
  </si>
  <si>
    <t>NM_001346870.1</t>
  </si>
  <si>
    <t>NM_001282675.1</t>
  </si>
  <si>
    <t>NR_074088.2</t>
  </si>
  <si>
    <t>NM_001346349.1</t>
  </si>
  <si>
    <t>NR_024240.1</t>
  </si>
  <si>
    <t>NM_138706.4</t>
  </si>
  <si>
    <t>NM_001037954.3</t>
  </si>
  <si>
    <t>NM_001330164.1</t>
  </si>
  <si>
    <t>NW_003871069.1</t>
  </si>
  <si>
    <t>NR_117087.1</t>
  </si>
  <si>
    <t>NM_001278702.1</t>
  </si>
  <si>
    <t>NM_001198815.1</t>
  </si>
  <si>
    <t>NM_001282597.1</t>
  </si>
  <si>
    <t>NM_001290145.1</t>
  </si>
  <si>
    <t>NM_001039476.2</t>
  </si>
  <si>
    <t>NM_198563.2</t>
  </si>
  <si>
    <t>NM_020945.1</t>
  </si>
  <si>
    <t>NM_031308.3</t>
  </si>
  <si>
    <t>NM_003506.3</t>
  </si>
  <si>
    <t>NM_001171909.3</t>
  </si>
  <si>
    <t>NR_003242.2</t>
  </si>
  <si>
    <t>NM_015888.4</t>
  </si>
  <si>
    <t>NM_001286053.1</t>
  </si>
  <si>
    <t>NM_001012755.4</t>
  </si>
  <si>
    <t>NM_152338.3</t>
  </si>
  <si>
    <t>NM_001135649.1</t>
  </si>
  <si>
    <t>NR_110523.1</t>
  </si>
  <si>
    <t>NM_001291587.1</t>
  </si>
  <si>
    <t>NM_003441.2</t>
  </si>
  <si>
    <t>NM_001289154.1</t>
  </si>
  <si>
    <t>NM_181311.2</t>
  </si>
  <si>
    <t>NM_021960.4</t>
  </si>
  <si>
    <t>NM_001099289.2</t>
  </si>
  <si>
    <t>NM_001113182.2</t>
  </si>
  <si>
    <t>NR_026595.2</t>
  </si>
  <si>
    <t>NM_014518.3</t>
  </si>
  <si>
    <t>NR_110885.1</t>
  </si>
  <si>
    <t>NM_001102597.2</t>
  </si>
  <si>
    <t>NM_019857.3</t>
  </si>
  <si>
    <t>NM_001177507.1</t>
  </si>
  <si>
    <t>NR_136755.1</t>
  </si>
  <si>
    <t>NM_001190467.1</t>
  </si>
  <si>
    <t>NM_001319.6</t>
  </si>
  <si>
    <t>NM_053051.3</t>
  </si>
  <si>
    <t>NM_001282919.1</t>
  </si>
  <si>
    <t>NM_198956.3</t>
  </si>
  <si>
    <t>NR_027116.2</t>
  </si>
  <si>
    <t>NM_173059.1</t>
  </si>
  <si>
    <t>NR_033321.2</t>
  </si>
  <si>
    <t>NR_026901.2</t>
  </si>
  <si>
    <t>NR_104014.2</t>
  </si>
  <si>
    <t>NM_001288615.1</t>
  </si>
  <si>
    <t>NM_000949.6</t>
  </si>
  <si>
    <t>NM_000399.4</t>
  </si>
  <si>
    <t>NM_001276282.3</t>
  </si>
  <si>
    <t>NM_001282489.2</t>
  </si>
  <si>
    <t>NM_001010855.3</t>
  </si>
  <si>
    <t>NM_001051.4</t>
  </si>
  <si>
    <t>NM_001171907.1</t>
  </si>
  <si>
    <t>NM_001317796.1</t>
  </si>
  <si>
    <t>NR_026811.3</t>
  </si>
  <si>
    <t>NR_136756.1</t>
  </si>
  <si>
    <t>NM_001271893.1</t>
  </si>
  <si>
    <t>NM_138619.2</t>
  </si>
  <si>
    <t>NM_001252339.2</t>
  </si>
  <si>
    <t>NM_001322181.1</t>
  </si>
  <si>
    <t>NM_006621.5</t>
  </si>
  <si>
    <t>NR_136752.1</t>
  </si>
  <si>
    <t>NM_031309.5</t>
  </si>
  <si>
    <t>NM_178172.5</t>
  </si>
  <si>
    <t>NM_001256540.3</t>
  </si>
  <si>
    <t>NR_136543.1</t>
  </si>
  <si>
    <t>NM_007178.3</t>
  </si>
  <si>
    <t>NM_012324.3</t>
  </si>
  <si>
    <t>NM_001346317.1</t>
  </si>
  <si>
    <t>NM_001330737.1</t>
  </si>
  <si>
    <t>NM_033486.1</t>
  </si>
  <si>
    <t>NM_003989.3</t>
  </si>
  <si>
    <t>NM_001346322.1</t>
  </si>
  <si>
    <t>NM_015378.3</t>
  </si>
  <si>
    <t>NR_027468.3</t>
  </si>
  <si>
    <t>NR_135482.1</t>
  </si>
  <si>
    <t>NT_167218.1</t>
  </si>
  <si>
    <t>NM_015120.4</t>
  </si>
  <si>
    <t>NM_001291328.1</t>
  </si>
  <si>
    <t>NM_001346351.1</t>
  </si>
  <si>
    <t>NM_001001991.1</t>
  </si>
  <si>
    <t>NM_080669.4</t>
  </si>
  <si>
    <t>NM_032950.3</t>
  </si>
  <si>
    <t>NM_001135769.2</t>
  </si>
  <si>
    <t>NM_020899.3</t>
  </si>
  <si>
    <t>NM_001286052.1</t>
  </si>
  <si>
    <t>NR_103518.1</t>
  </si>
  <si>
    <t>NM_001288616.1</t>
  </si>
  <si>
    <t>NM_007121.5</t>
  </si>
  <si>
    <t>NM_001303018.1</t>
  </si>
  <si>
    <t>NM_001099670.2</t>
  </si>
  <si>
    <t>NM_014741.4</t>
  </si>
  <si>
    <t>NM_130445.3</t>
  </si>
  <si>
    <t>NM_014001.4</t>
  </si>
  <si>
    <t>NM_001289089.1</t>
  </si>
  <si>
    <t>NR_111988.1</t>
  </si>
  <si>
    <t>NM_001042545.1</t>
  </si>
  <si>
    <t>NM_001164280.1</t>
  </si>
  <si>
    <t>NM_031901.5</t>
  </si>
  <si>
    <t>NM_001290061.1</t>
  </si>
  <si>
    <t>NM_001199120.1</t>
  </si>
  <si>
    <t>NM_001193465.1</t>
  </si>
  <si>
    <t>NM_001291586.1</t>
  </si>
  <si>
    <t>NM_033489.2</t>
  </si>
  <si>
    <t>NM_001042544.1</t>
  </si>
  <si>
    <t>NM_020137.3</t>
  </si>
  <si>
    <t>NM_016841.4</t>
  </si>
  <si>
    <t>NM_001282620.1</t>
  </si>
  <si>
    <t>NM_032631.2</t>
  </si>
  <si>
    <t>NM_001134367.3</t>
  </si>
  <si>
    <t>NM_006472.5</t>
  </si>
  <si>
    <t>NM_001303523.1</t>
  </si>
  <si>
    <t>NM_001077445.1</t>
  </si>
  <si>
    <t>NM_001127180.1</t>
  </si>
  <si>
    <t>NM_000682.6</t>
  </si>
  <si>
    <t>NM_001345989.1</t>
  </si>
  <si>
    <t>NR_110752.1</t>
  </si>
  <si>
    <t>NM_001008239.2</t>
  </si>
  <si>
    <t>NM_000116.4</t>
  </si>
  <si>
    <t>NR_136754.1</t>
  </si>
  <si>
    <t>NM_001177506.1</t>
  </si>
  <si>
    <t>NM_001145073.1</t>
  </si>
  <si>
    <t>NM_001134758.3</t>
  </si>
  <si>
    <t>NM_001012964.2</t>
  </si>
  <si>
    <t>NM_005788.3</t>
  </si>
  <si>
    <t>NM_001313972.1</t>
  </si>
  <si>
    <t>NM_001291605.1</t>
  </si>
  <si>
    <t>NM_001290207.1</t>
  </si>
  <si>
    <t>NM_001309516.1</t>
  </si>
  <si>
    <t>NM_001001520.2</t>
  </si>
  <si>
    <t>NM_001313998.1</t>
  </si>
  <si>
    <t>NM_138352.1</t>
  </si>
  <si>
    <t>NR_046742.2</t>
  </si>
  <si>
    <t>NM_015203.3</t>
  </si>
  <si>
    <t>NM_001025077.2</t>
  </si>
  <si>
    <t>NM_013282.4</t>
  </si>
  <si>
    <t>NW_003871079.1</t>
  </si>
  <si>
    <t>NM_178124.5</t>
  </si>
  <si>
    <t>NM_001102598.2</t>
  </si>
  <si>
    <t>NR_033936.3</t>
  </si>
  <si>
    <t>NM_001205121.1</t>
  </si>
  <si>
    <t>NM_014817.3</t>
  </si>
  <si>
    <t>NM_004447.5</t>
  </si>
  <si>
    <t>NM_130464.2</t>
  </si>
  <si>
    <t>NM_001039127.3</t>
  </si>
  <si>
    <t>NM_001039703.5</t>
  </si>
  <si>
    <t>NM_001346352.1</t>
  </si>
  <si>
    <t>NR_110769.1</t>
  </si>
  <si>
    <t>NM_033492.1</t>
  </si>
  <si>
    <t>NM_002426.4</t>
  </si>
  <si>
    <t>NM_001330419.1</t>
  </si>
  <si>
    <t>NM_080760.5</t>
  </si>
  <si>
    <t>NR_111945.1</t>
  </si>
  <si>
    <t>NM_024302.3</t>
  </si>
  <si>
    <t>NM_025010.4</t>
  </si>
  <si>
    <t>NM_000314.4</t>
  </si>
  <si>
    <t>NR_024383.1</t>
  </si>
  <si>
    <t>NM_007325.4</t>
  </si>
  <si>
    <t>NW_004504303.2</t>
  </si>
  <si>
    <t>NM_001346327.1</t>
  </si>
  <si>
    <t>NM_018646.5</t>
  </si>
  <si>
    <t>NM_199478.2</t>
  </si>
  <si>
    <t>NM_006472.4</t>
  </si>
  <si>
    <t>NM_030652.3</t>
  </si>
  <si>
    <t>NM_001858.5</t>
  </si>
  <si>
    <t>NM_016429.3</t>
  </si>
  <si>
    <t>NM_001205254.1</t>
  </si>
  <si>
    <t>NM_001033580.2</t>
  </si>
  <si>
    <t>NW_004775426.1</t>
  </si>
  <si>
    <t>NM_000533.4</t>
  </si>
  <si>
    <t>NM_003990.3</t>
  </si>
  <si>
    <t>NM_001193335.1</t>
  </si>
  <si>
    <t>NR_024437.1</t>
  </si>
  <si>
    <t>NW_003571031.1</t>
  </si>
  <si>
    <t>NR_074088.1</t>
  </si>
  <si>
    <t>NR_033191.1</t>
  </si>
  <si>
    <t>NM_001291309.1</t>
  </si>
  <si>
    <t>NM_001271836.1</t>
  </si>
  <si>
    <t>NM_018997.3</t>
  </si>
  <si>
    <t>NM_001040282.2</t>
  </si>
  <si>
    <t>NM_001243999.1</t>
  </si>
  <si>
    <t>NM_006249.5</t>
  </si>
  <si>
    <t>NM_001081640.1</t>
  </si>
  <si>
    <t>NM_001324274.1</t>
  </si>
  <si>
    <t>NM_001282385.1</t>
  </si>
  <si>
    <t>NR_024560.1</t>
  </si>
  <si>
    <t>NM_001099671.2</t>
  </si>
  <si>
    <t>NM_001099673.1</t>
  </si>
  <si>
    <t>NM_001319948.1</t>
  </si>
  <si>
    <t>NM_002457.2</t>
  </si>
  <si>
    <t>NM_001123067.3</t>
  </si>
  <si>
    <t>NM_207355.2</t>
  </si>
  <si>
    <t>NM_001637.3</t>
  </si>
  <si>
    <t>NM_001317975.1</t>
  </si>
  <si>
    <t>NM_003043.5</t>
  </si>
  <si>
    <t>NM_002457.4</t>
  </si>
  <si>
    <t>NM_001291476.1</t>
  </si>
  <si>
    <t>NM_014455.3</t>
  </si>
  <si>
    <t>NM_001303542.1</t>
  </si>
  <si>
    <t>NR_132750.1</t>
  </si>
  <si>
    <t>NM_030643.3</t>
  </si>
  <si>
    <t>NM_001287349.1</t>
  </si>
  <si>
    <t>NM_001346313.1</t>
  </si>
  <si>
    <t>NM_006331.7</t>
  </si>
  <si>
    <t>NM_001030010.1</t>
  </si>
  <si>
    <t>NR_034118.2</t>
  </si>
  <si>
    <t>NR_027916.2</t>
  </si>
  <si>
    <t>NM_001936.4</t>
  </si>
  <si>
    <t>NM_001346324.1</t>
  </si>
  <si>
    <t>NM_001170637.3</t>
  </si>
  <si>
    <t>NM_003386.2</t>
  </si>
  <si>
    <t>NM_001303481.1</t>
  </si>
  <si>
    <t>NR_103796.1</t>
  </si>
  <si>
    <t>NM_175862.4</t>
  </si>
  <si>
    <t>NM_001123066.3</t>
  </si>
  <si>
    <t>NM_001143773.1</t>
  </si>
  <si>
    <t>NM_182895.4</t>
  </si>
  <si>
    <t>NM_001345990.1</t>
  </si>
  <si>
    <t>NM_005803.2</t>
  </si>
  <si>
    <t>NM_002570.3</t>
  </si>
  <si>
    <t>NM_170734.3</t>
  </si>
  <si>
    <t>NM_001005914.2</t>
  </si>
  <si>
    <t>NR_109783.1</t>
  </si>
  <si>
    <t>NM_004879.4</t>
  </si>
  <si>
    <t>NM_000104.3</t>
  </si>
  <si>
    <t>NR_047530.2</t>
  </si>
  <si>
    <t>NM_170731.4</t>
  </si>
  <si>
    <t>NM_005104.3</t>
  </si>
  <si>
    <t>NM_005671.3</t>
  </si>
  <si>
    <t>NM_003715.3</t>
  </si>
  <si>
    <t>NM_001220766.1</t>
  </si>
  <si>
    <t>NM_001144002.1</t>
  </si>
  <si>
    <t>NR_033375.1</t>
  </si>
  <si>
    <t>NM_001346338.1</t>
  </si>
  <si>
    <t>NM_001083591.1</t>
  </si>
  <si>
    <t>NR_102327.1</t>
  </si>
  <si>
    <t>NM_213632.1</t>
  </si>
  <si>
    <t>NM_001012965.2</t>
  </si>
  <si>
    <t>NM_012133.5</t>
  </si>
  <si>
    <t>NR_102326.1</t>
  </si>
  <si>
    <t>NM_002111.8</t>
  </si>
  <si>
    <t>NM_001205255.1</t>
  </si>
  <si>
    <t>NM_000247.1</t>
  </si>
  <si>
    <t>NM_001346754.1</t>
  </si>
  <si>
    <t>NM_006241.7</t>
  </si>
  <si>
    <t>NM_001081450.1</t>
  </si>
  <si>
    <t>NM_007010.4</t>
  </si>
  <si>
    <t>NM_001128853.1</t>
  </si>
  <si>
    <t>NM_025236.3</t>
  </si>
  <si>
    <t>NM_031455.3</t>
  </si>
  <si>
    <t>NM_030930.2</t>
  </si>
  <si>
    <t>NM_020979.3</t>
  </si>
  <si>
    <t>NM_001220774.1</t>
  </si>
  <si>
    <t>NR_073169.1</t>
  </si>
  <si>
    <t>XM_001724242.5</t>
  </si>
  <si>
    <t>XR_247457.1</t>
  </si>
  <si>
    <t>XR_108964.3</t>
  </si>
  <si>
    <t>XR_108924.2</t>
  </si>
  <si>
    <t>XR_110095.2</t>
  </si>
  <si>
    <t>XR_254201.1</t>
  </si>
  <si>
    <t>XR_246555.1</t>
  </si>
  <si>
    <t>XR_241815.1</t>
  </si>
  <si>
    <t>XR_159035.2</t>
  </si>
  <si>
    <t>XR_254426.1</t>
  </si>
  <si>
    <t>XR_247003.1</t>
  </si>
  <si>
    <t>XM_001717074.5</t>
  </si>
  <si>
    <t>XM_003959954.2</t>
  </si>
  <si>
    <t>XR_246983.1</t>
  </si>
  <si>
    <t>XR_171099.2</t>
  </si>
  <si>
    <t>XM_005269378.1</t>
  </si>
  <si>
    <t>XR_246948.1</t>
  </si>
  <si>
    <t>XR_132563.3</t>
  </si>
  <si>
    <t>XR_254313.1</t>
  </si>
  <si>
    <t>XR_243331.1</t>
  </si>
  <si>
    <t>XR_132501.3</t>
  </si>
  <si>
    <t>XR_171073.2</t>
  </si>
  <si>
    <t>XR_254306.1</t>
  </si>
  <si>
    <t>XR_133570.3</t>
  </si>
  <si>
    <t>XR_245823.1</t>
  </si>
  <si>
    <t>XR_244344.1</t>
  </si>
  <si>
    <t>XR_171057.2</t>
  </si>
  <si>
    <t>XR_109760.3</t>
  </si>
  <si>
    <t>XM_005254825.1</t>
  </si>
  <si>
    <t>XR_247332.1</t>
  </si>
  <si>
    <t>NT_167209.1</t>
  </si>
  <si>
    <t>XR_159013.2</t>
  </si>
  <si>
    <t>XR_247086.1</t>
  </si>
  <si>
    <t>XR_241840.1</t>
  </si>
  <si>
    <t>XR_246209.1</t>
  </si>
  <si>
    <t>XR_158923.2</t>
  </si>
  <si>
    <t>XR_243609.1</t>
  </si>
  <si>
    <t>XR_241993.1</t>
  </si>
  <si>
    <t>XR_254375.1</t>
  </si>
  <si>
    <t>NW_003871056.3</t>
  </si>
  <si>
    <t>XR_246663.1</t>
  </si>
  <si>
    <t>XM_005272366.1</t>
  </si>
  <si>
    <t>XM_003960991.2</t>
  </si>
  <si>
    <t>NW_003571047.1</t>
  </si>
  <si>
    <t>XR_241841.1</t>
  </si>
  <si>
    <t>XR_246662.1</t>
  </si>
  <si>
    <t>XR_241839.1</t>
  </si>
  <si>
    <t>XR_132610.2</t>
  </si>
  <si>
    <t>XR_247338.1</t>
  </si>
  <si>
    <t>NT_167216.1</t>
  </si>
  <si>
    <t>XR_158875.2</t>
  </si>
  <si>
    <t>XM_002342102.5</t>
  </si>
  <si>
    <t>XR_254429.1</t>
  </si>
  <si>
    <t>XR_242446.1</t>
  </si>
  <si>
    <t>XR_245883.1</t>
  </si>
  <si>
    <t>XR_171081.2</t>
  </si>
  <si>
    <t>XR_159176.2</t>
  </si>
  <si>
    <t>XR_108436.2</t>
  </si>
  <si>
    <t>XR_158937.2</t>
  </si>
  <si>
    <t>XM_001717544.3</t>
  </si>
  <si>
    <t>XR_242178.1</t>
  </si>
  <si>
    <t>XR_242362.1</t>
  </si>
  <si>
    <t>XR_243343.1</t>
  </si>
  <si>
    <t>XM_001714786.5</t>
  </si>
  <si>
    <t>XR_254450.1</t>
  </si>
  <si>
    <t>NW_004070872.2</t>
  </si>
  <si>
    <t>XR_241774.1</t>
  </si>
  <si>
    <t>XR_243783.1</t>
  </si>
  <si>
    <t>XM_005260180.1</t>
  </si>
  <si>
    <t>XR_254410.1</t>
  </si>
  <si>
    <t>NW_003871068.1</t>
  </si>
  <si>
    <t>XR_254263.1</t>
  </si>
  <si>
    <t>XR_242367.1</t>
  </si>
  <si>
    <t>XR_254206.1</t>
  </si>
  <si>
    <t>XM_003846356.2</t>
  </si>
  <si>
    <t>XM_005248223.1</t>
  </si>
  <si>
    <t>XM_005266194.1</t>
  </si>
  <si>
    <t>XR_243515.1</t>
  </si>
  <si>
    <t>XR_243328.1</t>
  </si>
  <si>
    <t>XR_243601.1</t>
  </si>
  <si>
    <t>XM_005263846.1</t>
  </si>
  <si>
    <t>XM_005277533.1</t>
  </si>
  <si>
    <t>NW_003871060.1</t>
  </si>
  <si>
    <t>XR_158834.3</t>
  </si>
  <si>
    <t>XR_247163.1</t>
  </si>
  <si>
    <t>XR_171082.2</t>
  </si>
  <si>
    <t>XR_245650.1</t>
  </si>
  <si>
    <t>XR_254207.1</t>
  </si>
  <si>
    <t>XR_244264.1</t>
  </si>
  <si>
    <t>XR_242363.1</t>
  </si>
  <si>
    <t>XR_132593.4</t>
  </si>
  <si>
    <t>XR_245319.1</t>
  </si>
  <si>
    <t>XM_003403461.4</t>
  </si>
  <si>
    <t>XR_243514.1</t>
  </si>
  <si>
    <t>XR_247455.1</t>
  </si>
  <si>
    <t>XR_171111.2</t>
  </si>
  <si>
    <t>NT_113901.1</t>
  </si>
  <si>
    <t>XR_246528.1</t>
  </si>
  <si>
    <t>XR_244453.1</t>
  </si>
  <si>
    <t>XR_158882.2</t>
  </si>
  <si>
    <t>NC_000023.10</t>
    <phoneticPr fontId="1" type="noConversion"/>
  </si>
  <si>
    <t>chr1</t>
    <phoneticPr fontId="1" type="noConversion"/>
  </si>
  <si>
    <t>chrX</t>
    <phoneticPr fontId="1" type="noConversion"/>
  </si>
  <si>
    <t>chrY</t>
    <phoneticPr fontId="1" type="noConversion"/>
  </si>
  <si>
    <t>Chr(NCBI)</t>
    <phoneticPr fontId="1" type="noConversion"/>
  </si>
  <si>
    <t>Chr</t>
    <phoneticPr fontId="1" type="noConversion"/>
  </si>
  <si>
    <t>mRNA_NoVersion</t>
    <phoneticPr fontId="1" type="noConversion"/>
  </si>
  <si>
    <t>NR_110830</t>
  </si>
  <si>
    <t>NM_001346050</t>
  </si>
  <si>
    <t>NM_001290049</t>
  </si>
  <si>
    <t>NM_001287062</t>
  </si>
  <si>
    <t>NM_001143813</t>
  </si>
  <si>
    <t>NM_001282302</t>
  </si>
  <si>
    <t>NM_001304359</t>
  </si>
  <si>
    <t>NM_001346355</t>
  </si>
  <si>
    <t>NR_110382</t>
  </si>
  <si>
    <t>NM_001290060</t>
  </si>
  <si>
    <t>NR_109948</t>
  </si>
  <si>
    <t>NR_037170</t>
  </si>
  <si>
    <t>NM_001285986</t>
  </si>
  <si>
    <t>NM_001289052</t>
  </si>
  <si>
    <t>NM_001322371</t>
  </si>
  <si>
    <t>NR_001590</t>
  </si>
  <si>
    <t>NM_001303465</t>
  </si>
  <si>
    <t>NR_120608</t>
  </si>
  <si>
    <t>NR_136245</t>
  </si>
  <si>
    <t>NM_001199515</t>
  </si>
  <si>
    <t>NM_001291412</t>
  </si>
  <si>
    <t>NM_001346312</t>
  </si>
  <si>
    <t>NR_104096</t>
  </si>
  <si>
    <t>NM_001322469</t>
  </si>
  <si>
    <t>NR_044996</t>
  </si>
  <si>
    <t>NR_135131</t>
  </si>
  <si>
    <t>NR_110865</t>
  </si>
  <si>
    <t>NM_001331022</t>
  </si>
  <si>
    <t>NR_046455</t>
  </si>
  <si>
    <t>NR_109813</t>
  </si>
  <si>
    <t>NM_001322180</t>
  </si>
  <si>
    <t>NM_001305004</t>
  </si>
  <si>
    <t>NM_001319949</t>
  </si>
  <si>
    <t>NR_130169</t>
  </si>
  <si>
    <t>NM_001290206</t>
  </si>
  <si>
    <t>NM_001293213</t>
  </si>
  <si>
    <t>NR_134870</t>
  </si>
  <si>
    <t>NM_001143810</t>
  </si>
  <si>
    <t>NM_001289091</t>
  </si>
  <si>
    <t>NM_001346359</t>
  </si>
  <si>
    <t>NM_001330736</t>
  </si>
  <si>
    <t>NM_001304419</t>
  </si>
  <si>
    <t>NM_001160329</t>
  </si>
  <si>
    <t>NM_001271888</t>
  </si>
  <si>
    <t>NM_001282332</t>
  </si>
  <si>
    <t>NM_001291642</t>
  </si>
  <si>
    <t>NR_134950</t>
  </si>
  <si>
    <t>NM_001346051</t>
  </si>
  <si>
    <t>NR_103542</t>
  </si>
  <si>
    <t>NR_024048</t>
  </si>
  <si>
    <t>NR_002745</t>
  </si>
  <si>
    <t>NM_001282733</t>
  </si>
  <si>
    <t>NR_026595</t>
  </si>
  <si>
    <t>NM_001289952</t>
  </si>
  <si>
    <t>NM_001290047</t>
  </si>
  <si>
    <t>NM_001291308</t>
  </si>
  <si>
    <t>NR_029426</t>
  </si>
  <si>
    <t>NM_001324280</t>
  </si>
  <si>
    <t>NM_001303016</t>
  </si>
  <si>
    <t>NR_111893</t>
  </si>
  <si>
    <t>NR_133907</t>
  </si>
  <si>
    <t>NM_001282333</t>
  </si>
  <si>
    <t>NM_001324277</t>
  </si>
  <si>
    <t>NR_037169</t>
  </si>
  <si>
    <t>NM_001304717</t>
  </si>
  <si>
    <t>NR_136246</t>
  </si>
  <si>
    <t>NM_001316325</t>
  </si>
  <si>
    <t>NR_144465</t>
  </si>
  <si>
    <t>NM_001330733</t>
  </si>
  <si>
    <t>NM_001346335</t>
  </si>
  <si>
    <t>NR_134949</t>
  </si>
  <si>
    <t>NM_001322191</t>
  </si>
  <si>
    <t>NM_001291505</t>
  </si>
  <si>
    <t>NM_001290043</t>
  </si>
  <si>
    <t>NM_001291504</t>
  </si>
  <si>
    <t>NM_001346326</t>
  </si>
  <si>
    <t>NM_001346328</t>
  </si>
  <si>
    <t>NR_125915</t>
  </si>
  <si>
    <t>NM_001303489</t>
  </si>
  <si>
    <t>NM_001128854</t>
  </si>
  <si>
    <t>NM_001199514</t>
  </si>
  <si>
    <t>NR_136545</t>
  </si>
  <si>
    <t>NM_001318833</t>
  </si>
  <si>
    <t>NM_001166698</t>
  </si>
  <si>
    <t>NR_026751</t>
  </si>
  <si>
    <t>NR_103864</t>
  </si>
  <si>
    <t>NM_001291784</t>
  </si>
  <si>
    <t>NM_001172703</t>
  </si>
  <si>
    <t>NM_001291989</t>
  </si>
  <si>
    <t>NR_111948</t>
  </si>
  <si>
    <t>NM_001171654</t>
  </si>
  <si>
    <t>NM_001291281</t>
  </si>
  <si>
    <t>NM_001199513</t>
  </si>
  <si>
    <t>NR_125435</t>
  </si>
  <si>
    <t>NR_104117</t>
  </si>
  <si>
    <t>NR_046742</t>
  </si>
  <si>
    <t>NM_001318908</t>
  </si>
  <si>
    <t>NM_001282199</t>
  </si>
  <si>
    <t>NM_001288813</t>
  </si>
  <si>
    <t>NM_001164771</t>
  </si>
  <si>
    <t>NM_001331018</t>
  </si>
  <si>
    <t>NM_001289161</t>
  </si>
  <si>
    <t>NR_111919</t>
  </si>
  <si>
    <t>NR_144423</t>
  </si>
  <si>
    <t>NM_001291274</t>
  </si>
  <si>
    <t>NM_001297652</t>
  </si>
  <si>
    <t>NM_001285987</t>
  </si>
  <si>
    <t>NR_110522</t>
  </si>
  <si>
    <t>NM_001317107</t>
  </si>
  <si>
    <t>NM_001346356</t>
  </si>
  <si>
    <t>NM_001304457</t>
  </si>
  <si>
    <t>NR_111005</t>
  </si>
  <si>
    <t>NM_001346331</t>
  </si>
  <si>
    <t>NM_001136179</t>
  </si>
  <si>
    <t>NM_001012965</t>
  </si>
  <si>
    <t>NR_104581</t>
  </si>
  <si>
    <t>NR_044997</t>
  </si>
  <si>
    <t>NR_111951</t>
  </si>
  <si>
    <t>NM_001346358</t>
  </si>
  <si>
    <t>NM_001346747</t>
  </si>
  <si>
    <t>NM_001319955</t>
  </si>
  <si>
    <t>NR_037846</t>
  </si>
  <si>
    <t>NR_138082</t>
  </si>
  <si>
    <t>NM_001143814</t>
  </si>
  <si>
    <t>NM_001291661</t>
  </si>
  <si>
    <t>NR_136244</t>
  </si>
  <si>
    <t>NM_001270616</t>
  </si>
  <si>
    <t>NR_132323</t>
  </si>
  <si>
    <t>NR_136550</t>
  </si>
  <si>
    <t>NM_001297653</t>
  </si>
  <si>
    <t>NR_111004</t>
  </si>
  <si>
    <t>NR_104121</t>
  </si>
  <si>
    <t>NR_028032</t>
  </si>
  <si>
    <t>NR_027002</t>
  </si>
  <si>
    <t>NM_001291324</t>
  </si>
  <si>
    <t>NR_111950</t>
  </si>
  <si>
    <t>NM_001128852</t>
  </si>
  <si>
    <t>NM_001286054</t>
  </si>
  <si>
    <t>NM_001289160</t>
  </si>
  <si>
    <t>NM_001304718</t>
  </si>
  <si>
    <t>NM_001290051</t>
  </si>
  <si>
    <t>NR_037925</t>
  </si>
  <si>
    <t>NR_103521</t>
  </si>
  <si>
    <t>NM_001330650</t>
  </si>
  <si>
    <t>NR_136549</t>
  </si>
  <si>
    <t>NM_001346311</t>
  </si>
  <si>
    <t>NR_130168</t>
  </si>
  <si>
    <t>NR_136300</t>
  </si>
  <si>
    <t>NM_001143805</t>
  </si>
  <si>
    <t>NR_104345</t>
  </si>
  <si>
    <t>NR_103726</t>
  </si>
  <si>
    <t>NM_001282734</t>
  </si>
  <si>
    <t>NM_001324278</t>
  </si>
  <si>
    <t>NR_125850</t>
  </si>
  <si>
    <t>NR_130726</t>
  </si>
  <si>
    <t>NR_111962</t>
  </si>
  <si>
    <t>NM_001289973</t>
  </si>
  <si>
    <t>NR_132315</t>
  </si>
  <si>
    <t>NR_110997</t>
  </si>
  <si>
    <t>NR_026901</t>
  </si>
  <si>
    <t>NR_111929</t>
  </si>
  <si>
    <t>NM_001330124</t>
  </si>
  <si>
    <t>NM_001324276</t>
  </si>
  <si>
    <t>NM_001346337</t>
  </si>
  <si>
    <t>NR_109852</t>
  </si>
  <si>
    <t>NM_001291604</t>
  </si>
  <si>
    <t>NR_125968</t>
  </si>
  <si>
    <t>NM_001290135</t>
  </si>
  <si>
    <t>NM_001002027</t>
  </si>
  <si>
    <t>NM_001127345</t>
  </si>
  <si>
    <t>NR_103797</t>
  </si>
  <si>
    <t>NR_136552</t>
  </si>
  <si>
    <t>NM_001297673</t>
  </si>
  <si>
    <t>NR_052012</t>
  </si>
  <si>
    <t>NR_110866</t>
  </si>
  <si>
    <t>NM_001291283</t>
  </si>
  <si>
    <t>NM_001290185</t>
  </si>
  <si>
    <t>NR_134268</t>
  </si>
  <si>
    <t>NM_001322187</t>
  </si>
  <si>
    <t>NM_001282916</t>
  </si>
  <si>
    <t>NM_001291932</t>
  </si>
  <si>
    <t>NM_001291307</t>
  </si>
  <si>
    <t>NM_001290059</t>
  </si>
  <si>
    <t>NR_125914</t>
  </si>
  <si>
    <t>NM_198283</t>
  </si>
  <si>
    <t>NM_001314000</t>
  </si>
  <si>
    <t>NM_001282900</t>
  </si>
  <si>
    <t>NM_001291446</t>
  </si>
  <si>
    <t>NM_001282535</t>
  </si>
  <si>
    <t>NM_001346360</t>
  </si>
  <si>
    <t>NR_136544</t>
  </si>
  <si>
    <t>NR_138084</t>
  </si>
  <si>
    <t>NM_001164615</t>
  </si>
  <si>
    <t>NM_001136178</t>
  </si>
  <si>
    <t>NM_001346354</t>
  </si>
  <si>
    <t>NM_001083585</t>
  </si>
  <si>
    <t>NR_125425</t>
  </si>
  <si>
    <t>NM_001143809</t>
  </si>
  <si>
    <t>NM_001346329</t>
  </si>
  <si>
    <t>NM_001290050</t>
  </si>
  <si>
    <t>NR_073585</t>
  </si>
  <si>
    <t>NR_104098</t>
  </si>
  <si>
    <t>NM_001346334</t>
  </si>
  <si>
    <t>NM_001318045</t>
  </si>
  <si>
    <t>NM_001143807</t>
  </si>
  <si>
    <t>NM_001291581</t>
  </si>
  <si>
    <t>NR_111903</t>
  </si>
  <si>
    <t>NM_001136177</t>
  </si>
  <si>
    <t>NM_001346314</t>
  </si>
  <si>
    <t>NM_001134442</t>
  </si>
  <si>
    <t>NM_001322190</t>
  </si>
  <si>
    <t>NR_026800</t>
  </si>
  <si>
    <t>NM_001291815</t>
  </si>
  <si>
    <t>NR_144329</t>
  </si>
  <si>
    <t>NM_001282658</t>
  </si>
  <si>
    <t>NR_046135</t>
  </si>
  <si>
    <t>NM_001202466</t>
  </si>
  <si>
    <t>NM_001290264</t>
  </si>
  <si>
    <t>NM_001297696</t>
  </si>
  <si>
    <t>NM_001346319</t>
  </si>
  <si>
    <t>NM_001160328</t>
  </si>
  <si>
    <t>NM_001319053</t>
  </si>
  <si>
    <t>NR_103756</t>
  </si>
  <si>
    <t>NM_001134441</t>
  </si>
  <si>
    <t>NM_001286476</t>
  </si>
  <si>
    <t>NM_001345872</t>
  </si>
  <si>
    <t>NR_028475</t>
  </si>
  <si>
    <t>NM_001330732</t>
  </si>
  <si>
    <t>NM_001346321</t>
  </si>
  <si>
    <t>NM_001346332</t>
  </si>
  <si>
    <t>NM_001346315</t>
  </si>
  <si>
    <t>NR_136551</t>
  </si>
  <si>
    <t>NM_001290187</t>
  </si>
  <si>
    <t>NM_001282398</t>
  </si>
  <si>
    <t>NM_001317056</t>
  </si>
  <si>
    <t>NR_130643</t>
  </si>
  <si>
    <t>NR_135765</t>
  </si>
  <si>
    <t>NM_001346323</t>
  </si>
  <si>
    <t>NR_110527</t>
  </si>
  <si>
    <t>NR_036647</t>
  </si>
  <si>
    <t>NM_001293212</t>
  </si>
  <si>
    <t>NR_047573</t>
  </si>
  <si>
    <t>NM_001291345</t>
  </si>
  <si>
    <t>NR_027916</t>
  </si>
  <si>
    <t>NM_001282899</t>
  </si>
  <si>
    <t>NR_144424</t>
  </si>
  <si>
    <t>NM_001288811</t>
  </si>
  <si>
    <t>NM_001287060</t>
  </si>
  <si>
    <t>NM_001282880</t>
  </si>
  <si>
    <t>NR_136216</t>
  </si>
  <si>
    <t>NR_136548</t>
  </si>
  <si>
    <t>NR_109947</t>
  </si>
  <si>
    <t>NR_033345</t>
  </si>
  <si>
    <t>NR_134318</t>
  </si>
  <si>
    <t>NM_001145103</t>
  </si>
  <si>
    <t>NM_005960</t>
  </si>
  <si>
    <t>NM_001291277</t>
  </si>
  <si>
    <t>NR_135562</t>
  </si>
  <si>
    <t>NR_037625</t>
  </si>
  <si>
    <t>NR_119376</t>
  </si>
  <si>
    <t>NM_001290058</t>
  </si>
  <si>
    <t>NR_136546</t>
  </si>
  <si>
    <t>NR_037860</t>
  </si>
  <si>
    <t>NM_001293216</t>
  </si>
  <si>
    <t>NM_001329984</t>
  </si>
  <si>
    <t>NM_001322189</t>
  </si>
  <si>
    <t>NM_001282850</t>
  </si>
  <si>
    <t>NM_001330735</t>
  </si>
  <si>
    <t>NR_045724</t>
  </si>
  <si>
    <t>NM_001297674</t>
  </si>
  <si>
    <t>NR_038400</t>
  </si>
  <si>
    <t>NM_001346049</t>
  </si>
  <si>
    <t>NM_001330734</t>
  </si>
  <si>
    <t>NM_001267812</t>
  </si>
  <si>
    <t>NR_134316</t>
  </si>
  <si>
    <t>NR_136547</t>
  </si>
  <si>
    <t>NM_001289951</t>
  </si>
  <si>
    <t>NM_001290033</t>
  </si>
  <si>
    <t>NR_117086</t>
  </si>
  <si>
    <t>NM_001289152</t>
  </si>
  <si>
    <t>NR_110770</t>
  </si>
  <si>
    <t>NR_125916</t>
  </si>
  <si>
    <t>NR_136268</t>
  </si>
  <si>
    <t>NM_001290211</t>
  </si>
  <si>
    <t>NR_130768</t>
  </si>
  <si>
    <t>NM_001346346</t>
  </si>
  <si>
    <t>NM_001303456</t>
  </si>
  <si>
    <t>NM_001143774</t>
  </si>
  <si>
    <t>NR_027392</t>
  </si>
  <si>
    <t>NM_001290046</t>
  </si>
  <si>
    <t>NM_001346749</t>
  </si>
  <si>
    <t>NM_001346333</t>
  </si>
  <si>
    <t>NM_001346357</t>
  </si>
  <si>
    <t>NM_001142505</t>
  </si>
  <si>
    <t>NM_001281972</t>
  </si>
  <si>
    <t>NR_046136</t>
  </si>
  <si>
    <t>NR_024260</t>
  </si>
  <si>
    <t>NM_001330619</t>
  </si>
  <si>
    <t>NR_040116</t>
  </si>
  <si>
    <t>NM_001290052</t>
  </si>
  <si>
    <t>NR_138259</t>
  </si>
  <si>
    <t>NM_006052</t>
  </si>
  <si>
    <t>NR_037926</t>
  </si>
  <si>
    <t>NM_001128833</t>
  </si>
  <si>
    <t>NM_001331021</t>
  </si>
  <si>
    <t>NR_104095</t>
  </si>
  <si>
    <t>NM_001303020</t>
  </si>
  <si>
    <t>NR_038269</t>
  </si>
  <si>
    <t>NR_135513</t>
  </si>
  <si>
    <t>NM_001322179</t>
  </si>
  <si>
    <t>NR_027822</t>
  </si>
  <si>
    <t>NR_103727</t>
  </si>
  <si>
    <t>NM_001322370</t>
  </si>
  <si>
    <t>NM_001290229</t>
  </si>
  <si>
    <t>NM_001329963</t>
  </si>
  <si>
    <t>NR_104165</t>
  </si>
  <si>
    <t>NM_001287061</t>
  </si>
  <si>
    <t>NM_001271889</t>
  </si>
  <si>
    <t>NM_001205120</t>
  </si>
  <si>
    <t>NR_073415</t>
  </si>
  <si>
    <t>NR_135824</t>
  </si>
  <si>
    <t>NM_001099773</t>
  </si>
  <si>
    <t>NR_111966</t>
  </si>
  <si>
    <t>NR_104001</t>
  </si>
  <si>
    <t>NR_136753</t>
  </si>
  <si>
    <t>NR_136210</t>
  </si>
  <si>
    <t>NM_001324279</t>
  </si>
  <si>
    <t>NR_103798</t>
  </si>
  <si>
    <t>NM_001293215</t>
  </si>
  <si>
    <t>NM_001012964</t>
  </si>
  <si>
    <t>NM_001205122</t>
  </si>
  <si>
    <t>NR_136213</t>
  </si>
  <si>
    <t>NM_001320049</t>
  </si>
  <si>
    <t>NR_026791</t>
  </si>
  <si>
    <t>NR_123721</t>
  </si>
  <si>
    <t>NR_036523</t>
  </si>
  <si>
    <t>NR_125967</t>
  </si>
  <si>
    <t>NR_111952</t>
  </si>
  <si>
    <t>NM_001330065</t>
  </si>
  <si>
    <t>NR_037183</t>
  </si>
  <si>
    <t>NM_001293214</t>
  </si>
  <si>
    <t>NM_001321037</t>
  </si>
  <si>
    <t>NM_001289051</t>
  </si>
  <si>
    <t>NM_001134440</t>
  </si>
  <si>
    <t>NM_001346342</t>
  </si>
  <si>
    <t>NM_001291822</t>
  </si>
  <si>
    <t>NR_046138</t>
  </si>
  <si>
    <t>NM_001297654</t>
  </si>
  <si>
    <t>NR_046115</t>
  </si>
  <si>
    <t>NR_110899</t>
  </si>
  <si>
    <t>NR_125933</t>
  </si>
  <si>
    <t>NM_001291588</t>
  </si>
  <si>
    <t>NR_038378</t>
  </si>
  <si>
    <t>NM_001205119</t>
  </si>
  <si>
    <t>NM_001293320</t>
  </si>
  <si>
    <t>NR_027873</t>
  </si>
  <si>
    <t>NM_001286463</t>
  </si>
  <si>
    <t>NR_144514</t>
  </si>
  <si>
    <t>NM_001014431</t>
  </si>
  <si>
    <t>NR_104097</t>
  </si>
  <si>
    <t>NM_001330738</t>
  </si>
  <si>
    <t>NM_001281971</t>
  </si>
  <si>
    <t>NR_103850</t>
  </si>
  <si>
    <t>NM_001290205</t>
  </si>
  <si>
    <t>NR_033379</t>
  </si>
  <si>
    <t>NR_046137</t>
  </si>
  <si>
    <t>NR_027457</t>
  </si>
  <si>
    <t>NR_126347</t>
  </si>
  <si>
    <t>NM_001282676</t>
  </si>
  <si>
    <t>NM_001291831</t>
  </si>
  <si>
    <t>NM_001346336</t>
  </si>
  <si>
    <t>NM_001346318</t>
  </si>
  <si>
    <t>NM_001290212</t>
  </si>
  <si>
    <t>NR_122073</t>
  </si>
  <si>
    <t>NM_001286477</t>
  </si>
  <si>
    <t>NM_001297697</t>
  </si>
  <si>
    <t>NM_001291447</t>
  </si>
  <si>
    <t>NR_120505</t>
  </si>
  <si>
    <t>NM_001346344</t>
  </si>
  <si>
    <t>NM_000277</t>
  </si>
  <si>
    <t>NR_144422</t>
  </si>
  <si>
    <t>NM_001291305</t>
  </si>
  <si>
    <t>NR_111967</t>
  </si>
  <si>
    <t>NM_001301065</t>
  </si>
  <si>
    <t>NR_133014</t>
  </si>
  <si>
    <t>NM_001289953</t>
  </si>
  <si>
    <t>NM_001243998</t>
  </si>
  <si>
    <t>NM_001289153</t>
  </si>
  <si>
    <t>NR_134305</t>
  </si>
  <si>
    <t>NM_001164616</t>
  </si>
  <si>
    <t>NR_073601</t>
  </si>
  <si>
    <t>NM_001197320</t>
  </si>
  <si>
    <t>NM_001282189</t>
  </si>
  <si>
    <t>NM_001014432</t>
  </si>
  <si>
    <t>NM_001309242</t>
  </si>
  <si>
    <t>NM_001345991</t>
  </si>
  <si>
    <t>NR_037171</t>
  </si>
  <si>
    <t>NM_001346348</t>
  </si>
  <si>
    <t>NM_001288814</t>
  </si>
  <si>
    <t>NM_001346320</t>
  </si>
  <si>
    <t>NR_024384</t>
  </si>
  <si>
    <t>NR_125934</t>
  </si>
  <si>
    <t>NR_037172</t>
  </si>
  <si>
    <t>NR_133921</t>
  </si>
  <si>
    <t>NM_001346325</t>
  </si>
  <si>
    <t>NM_001242673</t>
  </si>
  <si>
    <t>NM_001289930</t>
  </si>
  <si>
    <t>NR_138257</t>
  </si>
  <si>
    <t>NM_001346350</t>
  </si>
  <si>
    <t>NR_037861</t>
  </si>
  <si>
    <t>NR_136542</t>
  </si>
  <si>
    <t>NM_001143812</t>
  </si>
  <si>
    <t>NM_001289090</t>
  </si>
  <si>
    <t>NM_001143811</t>
  </si>
  <si>
    <t>NM_001143808</t>
  </si>
  <si>
    <t>NR_047574</t>
  </si>
  <si>
    <t>NR_110662</t>
  </si>
  <si>
    <t>NR_121210</t>
  </si>
  <si>
    <t>NM_001318484</t>
  </si>
  <si>
    <t>NR_135178</t>
  </si>
  <si>
    <t>NM_001267814</t>
  </si>
  <si>
    <t>NM_012196</t>
  </si>
  <si>
    <t>NM_001291986</t>
  </si>
  <si>
    <t>NR_111918</t>
  </si>
  <si>
    <t>NM_001291398</t>
  </si>
  <si>
    <t>NM_175859</t>
  </si>
  <si>
    <t>NM_001322178</t>
  </si>
  <si>
    <t>NM_001346048</t>
  </si>
  <si>
    <t>NM_001301224</t>
  </si>
  <si>
    <t>NR_027295</t>
  </si>
  <si>
    <t>NM_001346748</t>
  </si>
  <si>
    <t>NR_136574</t>
  </si>
  <si>
    <t>NM_001318875</t>
  </si>
  <si>
    <t>NM_001282619</t>
  </si>
  <si>
    <t>NR_046139</t>
  </si>
  <si>
    <t>NM_001291641</t>
  </si>
  <si>
    <t>NR_130642</t>
  </si>
  <si>
    <t>NR_110551</t>
  </si>
  <si>
    <t>NR_133652</t>
  </si>
  <si>
    <t>NR_075083</t>
  </si>
  <si>
    <t>NR_111953</t>
  </si>
  <si>
    <t>NM_001143806</t>
  </si>
  <si>
    <t>NR_036750</t>
  </si>
  <si>
    <t>NM_001145102</t>
  </si>
  <si>
    <t>NM_001322188</t>
  </si>
  <si>
    <t>NR_134669</t>
  </si>
  <si>
    <t>NM_001303487</t>
  </si>
  <si>
    <t>NR_033383</t>
  </si>
  <si>
    <t>NR_003922</t>
  </si>
  <si>
    <t>NR_103507</t>
  </si>
  <si>
    <t>NM_001346330</t>
  </si>
  <si>
    <t>NM_001301782</t>
  </si>
  <si>
    <t>NR_110723</t>
  </si>
  <si>
    <t>NR_026697</t>
  </si>
  <si>
    <t>NM_001290204</t>
  </si>
  <si>
    <t>NM_001324275</t>
  </si>
  <si>
    <t>NM_001145104</t>
  </si>
  <si>
    <t>NM_001346340</t>
  </si>
  <si>
    <t>NR_111917</t>
  </si>
  <si>
    <t>NM_001346353</t>
  </si>
  <si>
    <t>NM_001291838</t>
  </si>
  <si>
    <t>NR_134630</t>
  </si>
  <si>
    <t>NR_026973</t>
  </si>
  <si>
    <t>NM_001143816</t>
  </si>
  <si>
    <t>NM_001346316</t>
  </si>
  <si>
    <t>NR_034118</t>
  </si>
  <si>
    <t>NM_001346870</t>
  </si>
  <si>
    <t>NM_001282675</t>
  </si>
  <si>
    <t>NM_001346349</t>
  </si>
  <si>
    <t>NR_024240</t>
  </si>
  <si>
    <t>NM_001330164</t>
  </si>
  <si>
    <t>NR_117087</t>
  </si>
  <si>
    <t>NM_001282597</t>
  </si>
  <si>
    <t>NM_001290145</t>
  </si>
  <si>
    <t>NM_020945</t>
  </si>
  <si>
    <t>NM_001286053</t>
  </si>
  <si>
    <t>NR_110523</t>
  </si>
  <si>
    <t>NM_001291587</t>
  </si>
  <si>
    <t>NM_001289154</t>
  </si>
  <si>
    <t>NR_110885</t>
  </si>
  <si>
    <t>NM_001177507</t>
  </si>
  <si>
    <t>NR_136755</t>
  </si>
  <si>
    <t>NM_001282919</t>
  </si>
  <si>
    <t>NM_001288615</t>
  </si>
  <si>
    <t>NM_001317796</t>
  </si>
  <si>
    <t>NR_136756</t>
  </si>
  <si>
    <t>NM_001271893</t>
  </si>
  <si>
    <t>NM_001322181</t>
  </si>
  <si>
    <t>NR_136752</t>
  </si>
  <si>
    <t>NR_136543</t>
  </si>
  <si>
    <t>NM_001346317</t>
  </si>
  <si>
    <t>NM_001330737</t>
  </si>
  <si>
    <t>NM_001346322</t>
  </si>
  <si>
    <t>NR_135482</t>
  </si>
  <si>
    <t>NM_001291328</t>
  </si>
  <si>
    <t>NM_001346351</t>
  </si>
  <si>
    <t>NM_001001991</t>
  </si>
  <si>
    <t>NM_001286052</t>
  </si>
  <si>
    <t>NR_103518</t>
  </si>
  <si>
    <t>NM_001288616</t>
  </si>
  <si>
    <t>NM_001303018</t>
  </si>
  <si>
    <t>NM_001289089</t>
  </si>
  <si>
    <t>NR_111988</t>
  </si>
  <si>
    <t>NM_001290061</t>
  </si>
  <si>
    <t>NM_001291586</t>
  </si>
  <si>
    <t>NM_001282620</t>
  </si>
  <si>
    <t>NM_001303523</t>
  </si>
  <si>
    <t>NM_001345989</t>
  </si>
  <si>
    <t>NR_110752</t>
  </si>
  <si>
    <t>NR_136754</t>
  </si>
  <si>
    <t>NM_001313972</t>
  </si>
  <si>
    <t>NM_001291605</t>
  </si>
  <si>
    <t>NM_001290207</t>
  </si>
  <si>
    <t>NM_001309516</t>
  </si>
  <si>
    <t>NM_001313998</t>
  </si>
  <si>
    <t>NM_001205121</t>
  </si>
  <si>
    <t>NM_001346352</t>
  </si>
  <si>
    <t>NR_110769</t>
  </si>
  <si>
    <t>NM_001330419</t>
  </si>
  <si>
    <t>NR_111945</t>
  </si>
  <si>
    <t>NR_024383</t>
  </si>
  <si>
    <t>NM_001346327</t>
  </si>
  <si>
    <t>NR_024437</t>
  </si>
  <si>
    <t>NR_074088</t>
  </si>
  <si>
    <t>NR_033191</t>
  </si>
  <si>
    <t>NM_001291309</t>
  </si>
  <si>
    <t>NM_001243999</t>
  </si>
  <si>
    <t>NM_001324274</t>
  </si>
  <si>
    <t>NM_001282385</t>
  </si>
  <si>
    <t>NR_024560</t>
  </si>
  <si>
    <t>NM_001319948</t>
  </si>
  <si>
    <t>NM_001317975</t>
  </si>
  <si>
    <t>NM_001291476</t>
  </si>
  <si>
    <t>NM_001303542</t>
  </si>
  <si>
    <t>NR_132750</t>
  </si>
  <si>
    <t>NM_001287349</t>
  </si>
  <si>
    <t>NM_001346313</t>
  </si>
  <si>
    <t>NM_001346324</t>
  </si>
  <si>
    <t>NM_001303481</t>
  </si>
  <si>
    <t>NR_103796</t>
  </si>
  <si>
    <t>NM_001143773</t>
  </si>
  <si>
    <t>NM_001345990</t>
  </si>
  <si>
    <t>NR_109783</t>
  </si>
  <si>
    <t>NM_001144002</t>
  </si>
  <si>
    <t>NR_033375</t>
  </si>
  <si>
    <t>NM_001346338</t>
  </si>
  <si>
    <t>NM_001083591</t>
  </si>
  <si>
    <t>NR_102327</t>
  </si>
  <si>
    <t>NR_102326</t>
  </si>
  <si>
    <t>NM_001346754</t>
  </si>
  <si>
    <t>NM_001128853</t>
  </si>
  <si>
    <t>NR_073169</t>
  </si>
  <si>
    <t>XR_247457</t>
  </si>
  <si>
    <t>XR_254201</t>
  </si>
  <si>
    <t>XR_246555</t>
  </si>
  <si>
    <t>XR_241815</t>
  </si>
  <si>
    <t>XR_254426</t>
  </si>
  <si>
    <t>XR_247003</t>
  </si>
  <si>
    <t>XR_246983</t>
  </si>
  <si>
    <t>XR_246948</t>
  </si>
  <si>
    <t>XR_254313</t>
  </si>
  <si>
    <t>XR_243331</t>
  </si>
  <si>
    <t>XR_254306</t>
  </si>
  <si>
    <t>XR_245823</t>
  </si>
  <si>
    <t>XR_244344</t>
  </si>
  <si>
    <t>XR_247332</t>
  </si>
  <si>
    <t>XR_247086</t>
  </si>
  <si>
    <t>XR_241840</t>
  </si>
  <si>
    <t>XR_246209</t>
  </si>
  <si>
    <t>XR_243609</t>
  </si>
  <si>
    <t>XR_241993</t>
  </si>
  <si>
    <t>XR_254375</t>
  </si>
  <si>
    <t>XR_246663</t>
  </si>
  <si>
    <t>XR_241841</t>
  </si>
  <si>
    <t>XR_246662</t>
  </si>
  <si>
    <t>XR_241839</t>
  </si>
  <si>
    <t>XR_247338</t>
  </si>
  <si>
    <t>XR_254429</t>
  </si>
  <si>
    <t>XR_242446</t>
  </si>
  <si>
    <t>XR_245883</t>
  </si>
  <si>
    <t>XR_242178</t>
  </si>
  <si>
    <t>XR_242362</t>
  </si>
  <si>
    <t>XR_243343</t>
  </si>
  <si>
    <t>XR_254450</t>
  </si>
  <si>
    <t>XR_241774</t>
  </si>
  <si>
    <t>XR_243783</t>
  </si>
  <si>
    <t>XR_254410</t>
  </si>
  <si>
    <t>XR_254263</t>
  </si>
  <si>
    <t>XR_242367</t>
  </si>
  <si>
    <t>XR_254206</t>
  </si>
  <si>
    <t>XR_243515</t>
  </si>
  <si>
    <t>XR_243328</t>
  </si>
  <si>
    <t>XR_243601</t>
  </si>
  <si>
    <t>XR_247163</t>
  </si>
  <si>
    <t>XR_245650</t>
  </si>
  <si>
    <t>XR_254207</t>
  </si>
  <si>
    <t>XR_244264</t>
  </si>
  <si>
    <t>XR_242363</t>
  </si>
  <si>
    <t>XR_245319</t>
  </si>
  <si>
    <t>XR_243514</t>
  </si>
  <si>
    <t>XR_247455</t>
  </si>
  <si>
    <t>XR_246528</t>
  </si>
  <si>
    <t>XR_244453</t>
  </si>
  <si>
    <t>NM_001010883</t>
  </si>
  <si>
    <t>NM_001267548</t>
  </si>
  <si>
    <t>NM_001201404</t>
  </si>
  <si>
    <t>NM_001252338</t>
  </si>
  <si>
    <t>NR_026680</t>
  </si>
  <si>
    <t>NR_001317</t>
  </si>
  <si>
    <t>NR_024054</t>
  </si>
  <si>
    <t>NR_024053</t>
  </si>
  <si>
    <t>NR_027790</t>
  </si>
  <si>
    <t>NM_001167671</t>
  </si>
  <si>
    <t>NR_027484</t>
  </si>
  <si>
    <t>NM_198839</t>
  </si>
  <si>
    <t>NR_040583</t>
  </si>
  <si>
    <t>NM_001256540</t>
  </si>
  <si>
    <t>NM_014219</t>
  </si>
  <si>
    <t>NR_051958</t>
  </si>
  <si>
    <t>NR_051954</t>
  </si>
  <si>
    <t>NR_036481</t>
  </si>
  <si>
    <t>NM_001099850</t>
  </si>
  <si>
    <t>NM_024318</t>
  </si>
  <si>
    <t>NR_103496</t>
  </si>
  <si>
    <t>NR_040584</t>
  </si>
  <si>
    <t>NR_002139</t>
  </si>
  <si>
    <t>NR_027791</t>
  </si>
  <si>
    <t>NR_047531</t>
  </si>
  <si>
    <t>NR_051956</t>
  </si>
  <si>
    <t>NM_001128834</t>
  </si>
  <si>
    <t>NR_026716</t>
  </si>
  <si>
    <t>NM_001142673</t>
  </si>
  <si>
    <t>NR_001434</t>
  </si>
  <si>
    <t>NR_024052</t>
  </si>
  <si>
    <t>NM_001007075</t>
  </si>
  <si>
    <t>NM_005175</t>
  </si>
  <si>
    <t>NM_001300832</t>
  </si>
  <si>
    <t>NM_005407</t>
  </si>
  <si>
    <t>NR_003948</t>
  </si>
  <si>
    <t>NR_036483</t>
  </si>
  <si>
    <t>NM_173600</t>
  </si>
  <si>
    <t>NR_126452</t>
  </si>
  <si>
    <t>NR_033320</t>
  </si>
  <si>
    <t>NM_001145064</t>
  </si>
  <si>
    <t>NM_001110781</t>
  </si>
  <si>
    <t>NM_014504</t>
  </si>
  <si>
    <t>NR_024089</t>
  </si>
  <si>
    <t>NM_032298</t>
  </si>
  <si>
    <t>NR_033957</t>
  </si>
  <si>
    <t>NM_001190965</t>
  </si>
  <si>
    <t>NR_033319</t>
  </si>
  <si>
    <t>NR_051955</t>
  </si>
  <si>
    <t>NM_001267545</t>
  </si>
  <si>
    <t>NM_001134367</t>
  </si>
  <si>
    <t>NM_001300833</t>
  </si>
  <si>
    <t>NR_001543</t>
  </si>
  <si>
    <t>NM_001122964</t>
  </si>
  <si>
    <t>NM_031960</t>
  </si>
  <si>
    <t>NM_001025076</t>
  </si>
  <si>
    <t>NM_001080826</t>
  </si>
  <si>
    <t>NR_103551</t>
  </si>
  <si>
    <t>NM_130444</t>
  </si>
  <si>
    <t>NM_198963</t>
  </si>
  <si>
    <t>NM_001267547</t>
  </si>
  <si>
    <t>NM_001278687</t>
  </si>
  <si>
    <t>NR_002188</t>
  </si>
  <si>
    <t>NM_001267544</t>
  </si>
  <si>
    <t>NM_001167672</t>
  </si>
  <si>
    <t>NM_001204204</t>
  </si>
  <si>
    <t>NM_130784</t>
  </si>
  <si>
    <t>NM_001267549</t>
  </si>
  <si>
    <t>NM_153046</t>
  </si>
  <si>
    <t>NM_000294</t>
  </si>
  <si>
    <t>NR_051957</t>
  </si>
  <si>
    <t>NM_001204314</t>
  </si>
  <si>
    <t>NR_024086</t>
  </si>
  <si>
    <t>NR_040097</t>
  </si>
  <si>
    <t>NR_038423</t>
  </si>
  <si>
    <t>NM_015430</t>
  </si>
  <si>
    <t>NM_033490</t>
  </si>
  <si>
    <t>NM_001190964</t>
  </si>
  <si>
    <t>NM_001787</t>
  </si>
  <si>
    <t>NM_001146344</t>
  </si>
  <si>
    <t>NM_198834</t>
  </si>
  <si>
    <t>NM_001135768</t>
  </si>
  <si>
    <t>NM_001145414</t>
  </si>
  <si>
    <t>NM_001134368</t>
  </si>
  <si>
    <t>NM_001278510</t>
  </si>
  <si>
    <t>NM_001256539</t>
  </si>
  <si>
    <t>NM_001267546</t>
  </si>
  <si>
    <t>NM_000257</t>
  </si>
  <si>
    <t>NR_003587</t>
  </si>
  <si>
    <t>NR_037903</t>
  </si>
  <si>
    <t>NM_021732</t>
  </si>
  <si>
    <t>NM_001001971</t>
  </si>
  <si>
    <t>NM_182763</t>
  </si>
  <si>
    <t>NR_047529</t>
  </si>
  <si>
    <t>NM_198563</t>
  </si>
  <si>
    <t>NR_003242</t>
  </si>
  <si>
    <t>NR_027116</t>
  </si>
  <si>
    <t>NR_033321</t>
  </si>
  <si>
    <t>NR_104014</t>
  </si>
  <si>
    <t>NM_001282489</t>
  </si>
  <si>
    <t>NM_138619</t>
  </si>
  <si>
    <t>NM_001252339</t>
  </si>
  <si>
    <t>NM_001135769</t>
  </si>
  <si>
    <t>NM_001025077</t>
  </si>
  <si>
    <t>NM_199478</t>
  </si>
  <si>
    <t>NR_047530</t>
  </si>
  <si>
    <t>XR_108924</t>
  </si>
  <si>
    <t>XR_110095</t>
  </si>
  <si>
    <t>XR_159035</t>
  </si>
  <si>
    <t>XR_171099</t>
  </si>
  <si>
    <t>XR_171073</t>
  </si>
  <si>
    <t>XR_171057</t>
  </si>
  <si>
    <t>XR_159013</t>
  </si>
  <si>
    <t>XR_158923</t>
  </si>
  <si>
    <t>XR_132610</t>
  </si>
  <si>
    <t>XR_158875</t>
  </si>
  <si>
    <t>XR_171081</t>
  </si>
  <si>
    <t>XR_159176</t>
  </si>
  <si>
    <t>XR_108436</t>
  </si>
  <si>
    <t>XR_158937</t>
  </si>
  <si>
    <t>XR_171082</t>
  </si>
  <si>
    <t>XR_171111</t>
  </si>
  <si>
    <t>XR_158882</t>
  </si>
  <si>
    <t>NM_032765</t>
  </si>
  <si>
    <t>NR_047569</t>
  </si>
  <si>
    <t>NR_027115</t>
  </si>
  <si>
    <t>NM_058180</t>
  </si>
  <si>
    <t>NM_014828</t>
  </si>
  <si>
    <t>NM_197968</t>
  </si>
  <si>
    <t>NM_003575</t>
  </si>
  <si>
    <t>NR_026964</t>
  </si>
  <si>
    <t>NR_027455</t>
  </si>
  <si>
    <t>NM_020463</t>
  </si>
  <si>
    <t>NM_007097</t>
  </si>
  <si>
    <t>NM_198215</t>
  </si>
  <si>
    <t>NM_014212</t>
  </si>
  <si>
    <t>NM_177476</t>
  </si>
  <si>
    <t>NM_004335</t>
  </si>
  <si>
    <t>NM_001834</t>
  </si>
  <si>
    <t>NM_170733</t>
  </si>
  <si>
    <t>NM_023946</t>
  </si>
  <si>
    <t>NM_006561</t>
  </si>
  <si>
    <t>NM_001958</t>
  </si>
  <si>
    <t>NM_001008539</t>
  </si>
  <si>
    <t>NM_032439</t>
  </si>
  <si>
    <t>NM_178126</t>
  </si>
  <si>
    <t>NM_001164465</t>
  </si>
  <si>
    <t>NM_014001</t>
  </si>
  <si>
    <t>NM_003988</t>
  </si>
  <si>
    <t>NM_025184</t>
  </si>
  <si>
    <t>NM_014607</t>
  </si>
  <si>
    <t>NR_003491</t>
  </si>
  <si>
    <t>NM_000399</t>
  </si>
  <si>
    <t>NM_177477</t>
  </si>
  <si>
    <t>NM_002774</t>
  </si>
  <si>
    <t>NR_003246</t>
  </si>
  <si>
    <t>NR_027921</t>
  </si>
  <si>
    <t>NM_022450</t>
  </si>
  <si>
    <t>NM_080764</t>
  </si>
  <si>
    <t>NM_145041</t>
  </si>
  <si>
    <t>NR_002206</t>
  </si>
  <si>
    <t>NM_018156</t>
  </si>
  <si>
    <t>NM_153498</t>
  </si>
  <si>
    <t>NM_032182</t>
  </si>
  <si>
    <t>NM_005902</t>
  </si>
  <si>
    <t>NR_027922</t>
  </si>
  <si>
    <t>NR_003614</t>
  </si>
  <si>
    <t>NR_033880</t>
  </si>
  <si>
    <t>NM_032258</t>
  </si>
  <si>
    <t>NM_173824</t>
  </si>
  <si>
    <t>NM_020246</t>
  </si>
  <si>
    <t>NM_015509</t>
  </si>
  <si>
    <t>NM_024772</t>
  </si>
  <si>
    <t>NM_006383</t>
  </si>
  <si>
    <t>NM_014448</t>
  </si>
  <si>
    <t>NR_002328</t>
  </si>
  <si>
    <t>NM_003506</t>
  </si>
  <si>
    <t>NM_014518</t>
  </si>
  <si>
    <t>NM_019857</t>
  </si>
  <si>
    <t>NM_053051</t>
  </si>
  <si>
    <t>NM_198956</t>
  </si>
  <si>
    <t>NR_026811</t>
  </si>
  <si>
    <t>NM_007178</t>
  </si>
  <si>
    <t>NM_015378</t>
  </si>
  <si>
    <t>NR_027468</t>
  </si>
  <si>
    <t>NM_032950</t>
  </si>
  <si>
    <t>NM_020899</t>
  </si>
  <si>
    <t>NM_001134758</t>
  </si>
  <si>
    <t>NR_033936</t>
  </si>
  <si>
    <t>NM_001637</t>
  </si>
  <si>
    <t>NM_170734</t>
  </si>
  <si>
    <t>NM_031455</t>
  </si>
  <si>
    <t>XR_108964</t>
  </si>
  <si>
    <t>XR_132563</t>
  </si>
  <si>
    <t>XR_132501</t>
  </si>
  <si>
    <t>XR_133570</t>
  </si>
  <si>
    <t>XR_109760</t>
  </si>
  <si>
    <t>XR_158834</t>
  </si>
  <si>
    <t>NM_031904</t>
  </si>
  <si>
    <t>NM_033210</t>
  </si>
  <si>
    <t>NM_003121</t>
  </si>
  <si>
    <t>NM_005578</t>
  </si>
  <si>
    <t>NM_022169</t>
  </si>
  <si>
    <t>NM_006990</t>
  </si>
  <si>
    <t>NM_003909</t>
  </si>
  <si>
    <t>NM_001794</t>
  </si>
  <si>
    <t>NM_003043</t>
  </si>
  <si>
    <t>NM_006505</t>
  </si>
  <si>
    <t>NM_003766</t>
  </si>
  <si>
    <t>NM_176787</t>
  </si>
  <si>
    <t>NM_004703</t>
  </si>
  <si>
    <t>NM_016339</t>
  </si>
  <si>
    <t>NM_003453</t>
  </si>
  <si>
    <t>NM_006201</t>
  </si>
  <si>
    <t>NM_001709</t>
  </si>
  <si>
    <t>NM_005568</t>
  </si>
  <si>
    <t>NM_012429</t>
  </si>
  <si>
    <t>NM_177457</t>
  </si>
  <si>
    <t>NM_032932</t>
  </si>
  <si>
    <t>NM_170732</t>
  </si>
  <si>
    <t>NM_173477</t>
  </si>
  <si>
    <t>NM_015888</t>
  </si>
  <si>
    <t>NM_021960</t>
  </si>
  <si>
    <t>NM_001051</t>
  </si>
  <si>
    <t>NM_014741</t>
  </si>
  <si>
    <t>NM_025010</t>
  </si>
  <si>
    <t>NM_000314</t>
  </si>
  <si>
    <t>NM_000533</t>
  </si>
  <si>
    <t>NM_182895</t>
  </si>
  <si>
    <t>NM_170731</t>
  </si>
  <si>
    <t>NM_007010</t>
  </si>
  <si>
    <t>XR_132593</t>
  </si>
  <si>
    <t>NM_032965</t>
  </si>
  <si>
    <t>NM_080759</t>
  </si>
  <si>
    <t>NM_020648</t>
  </si>
  <si>
    <t>NM_001037144</t>
  </si>
  <si>
    <t>NM_170735</t>
  </si>
  <si>
    <t>NM_012327</t>
  </si>
  <si>
    <t>NM_015908</t>
  </si>
  <si>
    <t>NM_018043</t>
  </si>
  <si>
    <t>NM_003046</t>
  </si>
  <si>
    <t>NM_178128</t>
  </si>
  <si>
    <t>NM_182700</t>
  </si>
  <si>
    <t>NM_003224</t>
  </si>
  <si>
    <t>NM_182703</t>
  </si>
  <si>
    <t>NM_006621</t>
  </si>
  <si>
    <t>NM_178172</t>
  </si>
  <si>
    <t>NM_004447</t>
  </si>
  <si>
    <t>NM_080760</t>
  </si>
  <si>
    <t>NM_001858</t>
  </si>
  <si>
    <t>NM_153334</t>
  </si>
  <si>
    <t>NM_004392</t>
  </si>
  <si>
    <t>NM_016391</t>
  </si>
  <si>
    <t>NM_002356</t>
  </si>
  <si>
    <t>NM_004753</t>
  </si>
  <si>
    <t>NM_021809</t>
  </si>
  <si>
    <t>NM_001319</t>
  </si>
  <si>
    <t>NM_000949</t>
  </si>
  <si>
    <t>NM_006241</t>
  </si>
  <si>
    <t>NR_110830</t>
    <phoneticPr fontId="1" type="noConversion"/>
  </si>
  <si>
    <t>NR_110830chrX:1314869</t>
  </si>
  <si>
    <t>NM_001346050chr5:180682147</t>
  </si>
  <si>
    <t>NM_031945chr17:79609331</t>
  </si>
  <si>
    <t>NM_021250:288498</t>
  </si>
  <si>
    <t>NM_001145303:134946</t>
  </si>
  <si>
    <t>NM_001290049chr4:76649706</t>
  </si>
  <si>
    <t>NM_001287062chr7:66205643</t>
  </si>
  <si>
    <t>NM_001143813chr11:27676440</t>
  </si>
  <si>
    <t>NM_024075:165232</t>
  </si>
  <si>
    <t>NM_001254717:4760078</t>
  </si>
  <si>
    <t>NM_153334chr22:20778874</t>
  </si>
  <si>
    <t>NM_001282302chrX:148685375</t>
  </si>
  <si>
    <t>NM_001098534:2892376</t>
  </si>
  <si>
    <t>NM_001304359chr11:1151580</t>
  </si>
  <si>
    <t>NM_001346355chr11:46638826</t>
  </si>
  <si>
    <t>NM_033487chr1:1570603</t>
  </si>
  <si>
    <t>NM_020056:3991726</t>
  </si>
  <si>
    <t>NR_110382chrX:50838682</t>
  </si>
  <si>
    <t>NM_001010883chr1:109102971</t>
  </si>
  <si>
    <t>NM_001290060chr3:50306427</t>
  </si>
  <si>
    <t>NM_032765chr5:180682147</t>
  </si>
  <si>
    <t>NR_109948:32679</t>
  </si>
  <si>
    <t>NR_037170:3381593</t>
  </si>
  <si>
    <t>NM_001267548chr20:62329995</t>
  </si>
  <si>
    <t>NM_001285986:2467051</t>
  </si>
  <si>
    <t>NR_038378:99841</t>
  </si>
  <si>
    <t>NM_001278786:1322018</t>
  </si>
  <si>
    <t>NM_004557:3505441</t>
  </si>
  <si>
    <t>NM_001201404chr1:27730730</t>
  </si>
  <si>
    <t>NM_004557:3633298</t>
  </si>
  <si>
    <t>NM_203289:2467051</t>
  </si>
  <si>
    <t>NM_001289052:489200</t>
  </si>
  <si>
    <t>NM_001322371:2263131</t>
  </si>
  <si>
    <t>NR_001590:1056331</t>
  </si>
  <si>
    <t>NM_032932chr17:29718642</t>
  </si>
  <si>
    <t>NM_001303465chrX:153639854</t>
  </si>
  <si>
    <t>NM_005931:2845591</t>
  </si>
  <si>
    <t>NR_120608:1980909</t>
  </si>
  <si>
    <t>NR_136245:3625554</t>
  </si>
  <si>
    <t>NM_012324chr22:51039114</t>
  </si>
  <si>
    <t>NM_001278425chr16:81134484</t>
  </si>
  <si>
    <t>NM_080702:3116416</t>
  </si>
  <si>
    <t>NM_001278267chr1:148250249</t>
  </si>
  <si>
    <t>NM_021184:2968964</t>
  </si>
  <si>
    <t>NM_001199515chr20:35202957</t>
  </si>
  <si>
    <t>NM_001291412chr21:34915344</t>
  </si>
  <si>
    <t>NM_001173531:2646867</t>
  </si>
  <si>
    <t>NM_001252338chr20:60074477</t>
  </si>
  <si>
    <t>NM_000500:3338804</t>
  </si>
  <si>
    <t>NR_026680:1151952</t>
  </si>
  <si>
    <t>NM_001012989chrX:142967173</t>
  </si>
  <si>
    <t>NM_003631:11978</t>
  </si>
  <si>
    <t>NM_001278404:248562</t>
  </si>
  <si>
    <t>NR_033375chr14:106744269</t>
  </si>
  <si>
    <t>NM_001346312chr11:46638826</t>
  </si>
  <si>
    <t>NR_104096chr19:55043909</t>
  </si>
  <si>
    <t>NM_001199239:2922643</t>
  </si>
  <si>
    <t>NM_004392chr13:72012098</t>
  </si>
  <si>
    <t>NM_001322469:2485649</t>
  </si>
  <si>
    <t>NM_198488:62578</t>
  </si>
  <si>
    <t>NM_001025091:1832805</t>
  </si>
  <si>
    <t>NM_001203252:762280</t>
  </si>
  <si>
    <t>NM_014249chr15:72102888</t>
  </si>
  <si>
    <t>NR_001317:1187016</t>
  </si>
  <si>
    <t>NM_144686:134946</t>
  </si>
  <si>
    <t>NR_024054:559883</t>
  </si>
  <si>
    <t>NR_044996:3701122</t>
  </si>
  <si>
    <t>NM_001136179chr10:64571756</t>
  </si>
  <si>
    <t>NM_002127:1310647</t>
  </si>
  <si>
    <t>NR_135131chr12:7079944</t>
  </si>
  <si>
    <t>NR_047569chr11:45743858</t>
  </si>
  <si>
    <t>NR_110865chr17:8706041</t>
  </si>
  <si>
    <t>NR_027115chr6:961241</t>
  </si>
  <si>
    <t>NM_012314:807087</t>
  </si>
  <si>
    <t>NM_005931:2816315</t>
  </si>
  <si>
    <t>NR_024053:1603265</t>
  </si>
  <si>
    <t>NR_027457chr14:106938445</t>
  </si>
  <si>
    <t>NM_015203:7179524</t>
  </si>
  <si>
    <t>NM_001331022chr21:38595721</t>
  </si>
  <si>
    <t>NR_046455chr18:39783802</t>
  </si>
  <si>
    <t>NR_109813chrX:148958633</t>
  </si>
  <si>
    <t>NM_001322180chr16:76311115</t>
  </si>
  <si>
    <t>NM_013329:727</t>
  </si>
  <si>
    <t>NM_001305004chrX:103031781</t>
  </si>
  <si>
    <t>NR_103507chr3:14444076</t>
  </si>
  <si>
    <t>NM_001319949chr19:51461887</t>
  </si>
  <si>
    <t>NM_015584:28501</t>
  </si>
  <si>
    <t>NR_027790chr21:17442842</t>
  </si>
  <si>
    <t>NM_001001419chr5:135468534</t>
  </si>
  <si>
    <t>NM_058180chr21:47721047</t>
  </si>
  <si>
    <t>NR_001317:160485</t>
  </si>
  <si>
    <t>NR_130169chr10:51026321</t>
  </si>
  <si>
    <t>NM_002586:3623191</t>
  </si>
  <si>
    <t>NM_001290206chr3:53317443</t>
  </si>
  <si>
    <t>NM_001167671chr3:187943193</t>
  </si>
  <si>
    <t>NM_005874:248805</t>
  </si>
  <si>
    <t>NM_001163:21986</t>
  </si>
  <si>
    <t>NM_001278403:248816</t>
  </si>
  <si>
    <t>NR_027484chr1:149369294</t>
  </si>
  <si>
    <t>NM_014828chr14:21945335</t>
  </si>
  <si>
    <t>NM_203289:2429238</t>
  </si>
  <si>
    <t>NR_001590:1019089</t>
  </si>
  <si>
    <t>NM_001293213:1980909</t>
  </si>
  <si>
    <t>NR_134870:1318409</t>
  </si>
  <si>
    <t>NM_001163323:1298395</t>
  </si>
  <si>
    <t>NM_001143810chr11:27676440</t>
  </si>
  <si>
    <t>NM_001289091chr1:35544964</t>
  </si>
  <si>
    <t>NM_001346359chr11:46638826</t>
  </si>
  <si>
    <t>NM_001330736chr10:97890037</t>
  </si>
  <si>
    <t>NM_003954chr17:43340486</t>
  </si>
  <si>
    <t>NM_002800:4252711</t>
  </si>
  <si>
    <t>NM_001304419chr7:150887960</t>
  </si>
  <si>
    <t>NM_015597chr9:139221932</t>
  </si>
  <si>
    <t>NM_173506chr19:42341148</t>
  </si>
  <si>
    <t>NM_014218:841925</t>
  </si>
  <si>
    <t>NM_001160329chr19:51125234</t>
  </si>
  <si>
    <t>NM_032965chr17:34324618</t>
  </si>
  <si>
    <t>NM_002111chr4:3076237</t>
  </si>
  <si>
    <t>NM_198839chr17:35441927</t>
  </si>
  <si>
    <t>NM_000804chr11:71846756</t>
  </si>
  <si>
    <t>NR_040583chr7:74988447</t>
  </si>
  <si>
    <t>NM_001271888chr15:78396948</t>
  </si>
  <si>
    <t>NM_033518:697973</t>
  </si>
  <si>
    <t>NM_001282332:165695</t>
  </si>
  <si>
    <t>NM_001291642chr17:73232687</t>
  </si>
  <si>
    <t>NM_206809:1143559</t>
  </si>
  <si>
    <t>NR_134950:3477358</t>
  </si>
  <si>
    <t>NM_001278403:248562</t>
  </si>
  <si>
    <t>NM_002122:4038635</t>
  </si>
  <si>
    <t>NM_001278405:248805</t>
  </si>
  <si>
    <t>NM_001199240:2959804</t>
  </si>
  <si>
    <t>NM_001346051chr5:180682147</t>
  </si>
  <si>
    <t>NM_001256540chr5:175810940</t>
  </si>
  <si>
    <t>NM_001017417chrX:134847185</t>
  </si>
  <si>
    <t>NM_024839:1660981</t>
  </si>
  <si>
    <t>NM_197968chr13:20532810</t>
  </si>
  <si>
    <t>NM_031904chr11:65154041</t>
  </si>
  <si>
    <t>NR_103542:1309206</t>
  </si>
  <si>
    <t>NR_024048:1845520</t>
  </si>
  <si>
    <t>NM_003575chr7:148892554</t>
  </si>
  <si>
    <t>NR_002745chr6:31803040</t>
  </si>
  <si>
    <t>NM_173506:406115</t>
  </si>
  <si>
    <t>NM_014219:642866</t>
  </si>
  <si>
    <t>NM_001282733:380630</t>
  </si>
  <si>
    <t>NM_018711chr12:109304655</t>
  </si>
  <si>
    <t>NM_001264:2378683</t>
  </si>
  <si>
    <t>NM_133457chr7:101006101</t>
  </si>
  <si>
    <t>NR_026595:630745</t>
  </si>
  <si>
    <t>NM_004557:3477358</t>
  </si>
  <si>
    <t>NM_001289952chr19:53948254</t>
  </si>
  <si>
    <t>NR_051958chr20:62329995</t>
  </si>
  <si>
    <t>NM_004639:2937602</t>
  </si>
  <si>
    <t>NM_007231:597630</t>
  </si>
  <si>
    <t>NM_001039724:51</t>
  </si>
  <si>
    <t>NM_001290047chr22:17929419</t>
  </si>
  <si>
    <t>NR_026964chr9:139216998</t>
  </si>
  <si>
    <t>NR_027455:5051989</t>
  </si>
  <si>
    <t>NM_001291308chr5:175810940</t>
  </si>
  <si>
    <t>NM_016325chr19:58694356</t>
  </si>
  <si>
    <t>NR_029426:556422</t>
  </si>
  <si>
    <t>NM_080759chr13:72012098</t>
  </si>
  <si>
    <t>NM_006778:1501605</t>
  </si>
  <si>
    <t>NM_001040658:7488</t>
  </si>
  <si>
    <t>NM_001012989:672792</t>
  </si>
  <si>
    <t>NR_001434:1369092</t>
  </si>
  <si>
    <t>NR_026800chr14:106383838</t>
  </si>
  <si>
    <t>NM_021088chr2:95831162</t>
  </si>
  <si>
    <t>NM_015584:28496</t>
  </si>
  <si>
    <t>NM_001324280chrX:148622519</t>
  </si>
  <si>
    <t>NM_001013742chrX:50108406</t>
  </si>
  <si>
    <t>NM_001303016:954315</t>
  </si>
  <si>
    <t>NM_203458chr1:145209113</t>
  </si>
  <si>
    <t>NM_206812:928077</t>
  </si>
  <si>
    <t>NR_051954chr20:62329995</t>
  </si>
  <si>
    <t>NR_111893chr9:65576955</t>
  </si>
  <si>
    <t>NM_001256299:40090</t>
  </si>
  <si>
    <t>NR_133907:3961832</t>
  </si>
  <si>
    <t>NM_013289:434303</t>
  </si>
  <si>
    <t>NM_001282333:165232</t>
  </si>
  <si>
    <t>NM_206809:927947</t>
  </si>
  <si>
    <t>NM_001324277chrX:148622519</t>
  </si>
  <si>
    <t>NR_036481chr3:13974553</t>
  </si>
  <si>
    <t>NM_001281471chr5:102455952</t>
  </si>
  <si>
    <t>NR_037169:3591246</t>
  </si>
  <si>
    <t>NM_001099850chr1:13328196</t>
  </si>
  <si>
    <t>NM_016391chr5:175810940</t>
  </si>
  <si>
    <t>NM_001304717chr10:89623195</t>
  </si>
  <si>
    <t>NR_136246:3693660</t>
  </si>
  <si>
    <t>NM_024318:191396</t>
  </si>
  <si>
    <t>NM_020648chr18:9334765</t>
  </si>
  <si>
    <t>NM_020137chrX:48830131</t>
  </si>
  <si>
    <t>NM_001470:873547</t>
  </si>
  <si>
    <t>NM_001040657:15815</t>
  </si>
  <si>
    <t>NM_001039651:3240359</t>
  </si>
  <si>
    <t>NM_001322469:2267156</t>
  </si>
  <si>
    <t>NM_001316325chr3:195241218</t>
  </si>
  <si>
    <t>NM_001184750:411511</t>
  </si>
  <si>
    <t>NM_206810:928077</t>
  </si>
  <si>
    <t>NM_030930chr11:67758571</t>
  </si>
  <si>
    <t>NR_144465:2922078</t>
  </si>
  <si>
    <t>NR_103496chr15:82763613</t>
  </si>
  <si>
    <t>NR_040584chr7:74298092</t>
  </si>
  <si>
    <t>NM_001330733chr10:97890037</t>
  </si>
  <si>
    <t>NM_001346335chr11:46638826</t>
  </si>
  <si>
    <t>NM_002441:3038543</t>
  </si>
  <si>
    <t>NM_138693chr7:130417382</t>
  </si>
  <si>
    <t>NR_134949:3633298</t>
  </si>
  <si>
    <t>NM_033210chr3:44754135</t>
  </si>
  <si>
    <t>NR_103542:1361742</t>
  </si>
  <si>
    <t>NM_020463chr2:55774428</t>
  </si>
  <si>
    <t>NM_001322191chr16:76311115</t>
  </si>
  <si>
    <t>NM_001291505chr3:195241218</t>
  </si>
  <si>
    <t>NM_001290043:4224129</t>
  </si>
  <si>
    <t>NM_001173531:2480458</t>
  </si>
  <si>
    <t>NM_130797chr7:153749503</t>
  </si>
  <si>
    <t>NR_103521:248816</t>
  </si>
  <si>
    <t>NM_002117:2617063</t>
  </si>
  <si>
    <t>NM_178014:1980909</t>
  </si>
  <si>
    <t>NM_001291504chr3:195241218</t>
  </si>
  <si>
    <t>NM_001346326chr11:46638826</t>
  </si>
  <si>
    <t>NM_016631:727</t>
  </si>
  <si>
    <t>NR_002139:33041</t>
  </si>
  <si>
    <t>NM_022148chrX:1314869</t>
  </si>
  <si>
    <t>NM_001346328chr11:46638826</t>
  </si>
  <si>
    <t>NM_033486chr1:1570603</t>
  </si>
  <si>
    <t>NM_001164796:28164</t>
  </si>
  <si>
    <t>NR_125915chr3:4938493</t>
  </si>
  <si>
    <t>NM_001303489chr10:51026433</t>
  </si>
  <si>
    <t>NM_001128854chr7:100472701</t>
  </si>
  <si>
    <t>NM_001199514chr20:35201876</t>
  </si>
  <si>
    <t>NR_136246:3502148</t>
  </si>
  <si>
    <t>NM_001280794chr7:142552776</t>
  </si>
  <si>
    <t>NR_136545chr21:17791523</t>
  </si>
  <si>
    <t>NM_001008229:928077</t>
  </si>
  <si>
    <t>NM_001173531:2427966</t>
  </si>
  <si>
    <t>NM_021250:288421</t>
  </si>
  <si>
    <t>NM_001318833:3180279</t>
  </si>
  <si>
    <t>NM_001277444chr1:144811743</t>
  </si>
  <si>
    <t>NM_007097chr5:175819456</t>
  </si>
  <si>
    <t>NM_001166698chr10:61005889</t>
  </si>
  <si>
    <t>NM_012314:819632</t>
  </si>
  <si>
    <t>NR_026751:1261702</t>
  </si>
  <si>
    <t>NM_017570:389911</t>
  </si>
  <si>
    <t>NR_026901:103102</t>
  </si>
  <si>
    <t>NM_005266chr1:147228332</t>
  </si>
  <si>
    <t>NR_103864:1322018</t>
  </si>
  <si>
    <t>NM_001291784chr7:2514772</t>
  </si>
  <si>
    <t>NM_001172703chr17:73232694</t>
  </si>
  <si>
    <t>NM_001291989:4618677</t>
  </si>
  <si>
    <t>NR_111948chr8:1244294</t>
  </si>
  <si>
    <t>NM_001171654chr4:39046451</t>
  </si>
  <si>
    <t>NM_001291281chr1:41827603</t>
  </si>
  <si>
    <t>NM_001199513chr20:35201876</t>
  </si>
  <si>
    <t>NM_178504:16574</t>
  </si>
  <si>
    <t>NM_022905:7488</t>
  </si>
  <si>
    <t>NR_001590:1019459</t>
  </si>
  <si>
    <t>NM_021250:288602</t>
  </si>
  <si>
    <t>NM_001048201chr19:4909442</t>
  </si>
  <si>
    <t>NM_002433:928077</t>
  </si>
  <si>
    <t>NM_001199237:2922643</t>
  </si>
  <si>
    <t>NR_125435chr15:78396948</t>
  </si>
  <si>
    <t>NR_104117:205231</t>
  </si>
  <si>
    <t>NM_006781:3604982</t>
  </si>
  <si>
    <t>NM_001130991chr11:118914896</t>
  </si>
  <si>
    <t>NR_046742chrX:47915699</t>
  </si>
  <si>
    <t>NM_002263:4591540</t>
  </si>
  <si>
    <t>NM_198215chr10:61005889</t>
  </si>
  <si>
    <t>NR_103521:248562</t>
  </si>
  <si>
    <t>NM_032450:6428</t>
  </si>
  <si>
    <t>NM_002119:4429151</t>
  </si>
  <si>
    <t>NM_001318908:2422152</t>
  </si>
  <si>
    <t>NM_001282199chr8:30601682</t>
  </si>
  <si>
    <t>NM_001288813:1461296</t>
  </si>
  <si>
    <t>NM_001164771chr8:17396286</t>
  </si>
  <si>
    <t>NM_172165:3038543</t>
  </si>
  <si>
    <t>NM_001331018chr21:38595721</t>
  </si>
  <si>
    <t>NR_001317:1187371</t>
  </si>
  <si>
    <t>NR_027791chr21:17566699</t>
  </si>
  <si>
    <t>NM_001322371:2245603</t>
  </si>
  <si>
    <t>NR_047531chr19:51670585</t>
  </si>
  <si>
    <t>NM_014212chr12:54366910</t>
  </si>
  <si>
    <t>NM_001289161:2845591</t>
  </si>
  <si>
    <t>NM_153443:450544</t>
  </si>
  <si>
    <t>NM_203289:2514037</t>
  </si>
  <si>
    <t>NM_177476chr8:143852615</t>
  </si>
  <si>
    <t>NR_111919chr7:100331249</t>
  </si>
  <si>
    <t>NM_001278405:248816</t>
  </si>
  <si>
    <t>NM_001220767chr7:50344378</t>
  </si>
  <si>
    <t>NM_002800:4266466</t>
  </si>
  <si>
    <t>NM_015584chr17:26673654</t>
  </si>
  <si>
    <t>NR_144423chr11:46638826</t>
  </si>
  <si>
    <t>NM_080870:2202893</t>
  </si>
  <si>
    <t>NM_001291274chr19:16244838</t>
  </si>
  <si>
    <t>NM_001297652:2168106</t>
  </si>
  <si>
    <t>NM_001285987:2646867</t>
  </si>
  <si>
    <t>NM_004335chr19:17513748</t>
  </si>
  <si>
    <t>NM_003587:1938870</t>
  </si>
  <si>
    <t>NR_051956chr20:62329995</t>
  </si>
  <si>
    <t>NM_001081639:338148</t>
  </si>
  <si>
    <t>NM_022551:4720054</t>
  </si>
  <si>
    <t>NR_110522chr22:49808173</t>
  </si>
  <si>
    <t>NM_001243127:11622</t>
  </si>
  <si>
    <t>NM_001317107chr14:22138125</t>
  </si>
  <si>
    <t>NR_001317:1223623</t>
  </si>
  <si>
    <t>NM_019119chr5:140566701</t>
  </si>
  <si>
    <t>NM_001346356chr11:46638826</t>
  </si>
  <si>
    <t>NR_038378chr7:65111924</t>
  </si>
  <si>
    <t>NM_181703chr1:147228332</t>
  </si>
  <si>
    <t>NM_001304457chr19:54754269</t>
  </si>
  <si>
    <t>NR_111005chr21:17443434</t>
  </si>
  <si>
    <t>NM_001346331chr11:46638826</t>
  </si>
  <si>
    <t>NM_001145303:134462</t>
  </si>
  <si>
    <t>NM_001128834chrX:103031434</t>
  </si>
  <si>
    <t>NM_181311chrX:153639854</t>
  </si>
  <si>
    <t>NR_103521:248805</t>
  </si>
  <si>
    <t>NM_001012965chr19:51461887</t>
  </si>
  <si>
    <t>NM_021250:281437</t>
  </si>
  <si>
    <t>NM_003121chr19:50922195</t>
  </si>
  <si>
    <t>NR_104581:16012</t>
  </si>
  <si>
    <t>NM_001110199:3731129</t>
  </si>
  <si>
    <t>NM_002122:3886910</t>
  </si>
  <si>
    <t>NM_153443:450512</t>
  </si>
  <si>
    <t>NM_005578chr3:187930721</t>
  </si>
  <si>
    <t>NR_044997:4691103</t>
  </si>
  <si>
    <t>NM_001173531:2514037</t>
  </si>
  <si>
    <t>NM_001145414chrX:85224099</t>
  </si>
  <si>
    <t>NR_111951chr1:149576161</t>
  </si>
  <si>
    <t>NM_001834chr5:175819456</t>
  </si>
  <si>
    <t>NM_001346358chr11:46638826</t>
  </si>
  <si>
    <t>NM_001346747chr17:29815019</t>
  </si>
  <si>
    <t>NM_016835:762280</t>
  </si>
  <si>
    <t>NM_001319955chr1:35544964</t>
  </si>
  <si>
    <t>NM_002356chr6:114178514</t>
  </si>
  <si>
    <t>NM_001278403:248805</t>
  </si>
  <si>
    <t>NM_022169chr11:119019750</t>
  </si>
  <si>
    <t>NM_006120:4347147</t>
  </si>
  <si>
    <t>NR_037846:3217334</t>
  </si>
  <si>
    <t>NR_002188:18853</t>
  </si>
  <si>
    <t>NM_032534chr7:149412102</t>
  </si>
  <si>
    <t>NM_021729:89382</t>
  </si>
  <si>
    <t>NM_170733chr11:27676440</t>
  </si>
  <si>
    <t>NM_005931:2845617</t>
  </si>
  <si>
    <t>NM_006990chr1:27730730</t>
  </si>
  <si>
    <t>NM_006864:190645</t>
  </si>
  <si>
    <t>NM_001037144chr17:7835442</t>
  </si>
  <si>
    <t>NM_001141970:4760078</t>
  </si>
  <si>
    <t>NR_138082:3012</t>
  </si>
  <si>
    <t>NM_170769:1331022</t>
  </si>
  <si>
    <t>NM_013993:2165044</t>
  </si>
  <si>
    <t>NM_144686chr19:54663833</t>
  </si>
  <si>
    <t>NM_002433:927947</t>
  </si>
  <si>
    <t>NM_001143814chr11:27676440</t>
  </si>
  <si>
    <t>NM_001278563chr7:101006101</t>
  </si>
  <si>
    <t>NM_001220769chr7:50344378</t>
  </si>
  <si>
    <t>NM_001353:1855</t>
  </si>
  <si>
    <t>NM_031421chr17:40086876</t>
  </si>
  <si>
    <t>NM_005828chr17:61627796</t>
  </si>
  <si>
    <t>NM_001040656:15815</t>
  </si>
  <si>
    <t>NM_001202523:2234714</t>
  </si>
  <si>
    <t>NM_001291661chr3:57327727</t>
  </si>
  <si>
    <t>NR_136244:3693660</t>
  </si>
  <si>
    <t>NM_004445:1065871</t>
  </si>
  <si>
    <t>NR_026716chr19:55043909</t>
  </si>
  <si>
    <t>NR_001317:1406088</t>
  </si>
  <si>
    <t>NM_152725:380630</t>
  </si>
  <si>
    <t>NM_004753chr1:12627939</t>
  </si>
  <si>
    <t>NM_023946chr8:143845752</t>
  </si>
  <si>
    <t>NM_001270616chr1:214161278</t>
  </si>
  <si>
    <t>NM_006561chr10:11059893</t>
  </si>
  <si>
    <t>NR_132323:1060485</t>
  </si>
  <si>
    <t>NR_136550chr21:17792615</t>
  </si>
  <si>
    <t>NM_001954:2165036</t>
  </si>
  <si>
    <t>NM_001297653:2234272</t>
  </si>
  <si>
    <t>NM_025109chr17:34851599</t>
  </si>
  <si>
    <t>NM_144686:134462</t>
  </si>
  <si>
    <t>NR_111004chr21:17443434</t>
  </si>
  <si>
    <t>NR_001543chrY:21212994</t>
  </si>
  <si>
    <t>NM_022132:1585773</t>
  </si>
  <si>
    <t>NM_001199697:3116416</t>
  </si>
  <si>
    <t>NM_001142673chr11:46638826</t>
  </si>
  <si>
    <t>NR_104121chrX:148678216</t>
  </si>
  <si>
    <t>NR_136245:3565774</t>
  </si>
  <si>
    <t>NM_001958chr20:62119365</t>
  </si>
  <si>
    <t>NR_001434:1186894</t>
  </si>
  <si>
    <t>NM_001077446:166178</t>
  </si>
  <si>
    <t>NR_028032:1272216</t>
  </si>
  <si>
    <t>NR_027002:600249</t>
  </si>
  <si>
    <t>NM_001291324chr17:79373521</t>
  </si>
  <si>
    <t>NR_111950chr1:149576161</t>
  </si>
  <si>
    <t>NM_002716:799</t>
  </si>
  <si>
    <t>NM_001008539chr8:17354597</t>
  </si>
  <si>
    <t>NM_001130991:65785</t>
  </si>
  <si>
    <t>NM_001008228:928111</t>
  </si>
  <si>
    <t>NM_001128852chr7:100472701</t>
  </si>
  <si>
    <t>NM_001277816chr8:64081112</t>
  </si>
  <si>
    <t>NM_001145073chrX:49644470</t>
  </si>
  <si>
    <t>NM_032631chr19:4472193</t>
  </si>
  <si>
    <t>NM_001291307chr5:175810940</t>
  </si>
  <si>
    <t>NM_001199456:4226965</t>
  </si>
  <si>
    <t>NM_170735chr11:27676440</t>
  </si>
  <si>
    <t>NR_001434:1150003</t>
  </si>
  <si>
    <t>NM_001286054chr4:53179</t>
  </si>
  <si>
    <t>NM_001199238:2959804</t>
  </si>
  <si>
    <t>NM_021809chr20:35202010</t>
  </si>
  <si>
    <t>NM_015430chr11:35453374</t>
  </si>
  <si>
    <t>NM_001289160:2793463</t>
  </si>
  <si>
    <t>NM_004445chr7:142560514</t>
  </si>
  <si>
    <t>NM_001304718chr10:89623195</t>
  </si>
  <si>
    <t>NM_001077511:2641060</t>
  </si>
  <si>
    <t>NM_001290051chr19:4910105</t>
  </si>
  <si>
    <t>NR_037925:29325</t>
  </si>
  <si>
    <t>NM_024075chr19:54694119</t>
  </si>
  <si>
    <t>NR_001434:1150036</t>
  </si>
  <si>
    <t>NM_206812:927947</t>
  </si>
  <si>
    <t>NM_032830:60802</t>
  </si>
  <si>
    <t>NM_001282332chr19:54694582</t>
  </si>
  <si>
    <t>NR_001434:1150076</t>
  </si>
  <si>
    <t>NR_027392chr7:65112767</t>
  </si>
  <si>
    <t>NM_001141970:4567658</t>
  </si>
  <si>
    <t>NM_001330650:44262</t>
  </si>
  <si>
    <t>NR_136246:3618628</t>
  </si>
  <si>
    <t>NR_024052:1566817</t>
  </si>
  <si>
    <t>NR_136549chr21:17960918</t>
  </si>
  <si>
    <t>NM_000260:129900</t>
  </si>
  <si>
    <t>NM_020675:57520</t>
  </si>
  <si>
    <t>NM_001008228:928284</t>
  </si>
  <si>
    <t>NM_001040655:7487</t>
  </si>
  <si>
    <t>NR_136245:3602827</t>
  </si>
  <si>
    <t>NM_001199697:2900437</t>
  </si>
  <si>
    <t>NM_006120:4203377</t>
  </si>
  <si>
    <t>NM_001007075chr4:39046451</t>
  </si>
  <si>
    <t>NM_001346311chr11:46638826</t>
  </si>
  <si>
    <t>NM_018646chr7:142568956</t>
  </si>
  <si>
    <t>NR_130168chr10:51026433</t>
  </si>
  <si>
    <t>NR_001317chr6:29892369</t>
  </si>
  <si>
    <t>NM_001322469:2305960</t>
  </si>
  <si>
    <t>NM_014069:2401158</t>
  </si>
  <si>
    <t>NM_001285987:2429238</t>
  </si>
  <si>
    <t>NM_018711chr12:109301905</t>
  </si>
  <si>
    <t>NR_136300chr9:67290451</t>
  </si>
  <si>
    <t>NM_001256299:954315</t>
  </si>
  <si>
    <t>NM_003190:4499711</t>
  </si>
  <si>
    <t>NM_001278404:248805</t>
  </si>
  <si>
    <t>NM_001143805chr11:27676440</t>
  </si>
  <si>
    <t>NR_104345chr19:7933605</t>
  </si>
  <si>
    <t>NM_032439chr10:60936348</t>
  </si>
  <si>
    <t>NR_103726chr11:94800041</t>
  </si>
  <si>
    <t>NM_001017396chr2:95831162</t>
  </si>
  <si>
    <t>NM_002586:3467251</t>
  </si>
  <si>
    <t>NM_001282734:380630</t>
  </si>
  <si>
    <t>NM_001145146:954315</t>
  </si>
  <si>
    <t>NM_005429chr4:177604685</t>
  </si>
  <si>
    <t>NM_001009615:500676</t>
  </si>
  <si>
    <t>NM_005175chr17:46970148</t>
  </si>
  <si>
    <t>NM_005874:248816</t>
  </si>
  <si>
    <t>NM_138277:3034010</t>
  </si>
  <si>
    <t>NM_024075:165065</t>
  </si>
  <si>
    <t>NM_001324278chrX:148622519</t>
  </si>
  <si>
    <t>NR_125850:19469</t>
  </si>
  <si>
    <t>NM_206810:1143559</t>
  </si>
  <si>
    <t>NR_130726:2073563</t>
  </si>
  <si>
    <t>NM_012327chr18:59711457</t>
  </si>
  <si>
    <t>NM_021959:1333524</t>
  </si>
  <si>
    <t>NR_111962chr15:82804003</t>
  </si>
  <si>
    <t>NR_104117:387335</t>
  </si>
  <si>
    <t>NM_005346:3089163</t>
  </si>
  <si>
    <t>NM_007213chrX:48928813</t>
  </si>
  <si>
    <t>NR_103542:1272781</t>
  </si>
  <si>
    <t>NR_110830chrY:1264869</t>
  </si>
  <si>
    <t>NM_001322371:2463392</t>
  </si>
  <si>
    <t>NM_001090:2051221</t>
  </si>
  <si>
    <t>NM_001127178:489200</t>
  </si>
  <si>
    <t>NM_001289973chr8:6666038</t>
  </si>
  <si>
    <t>NR_132315:14739</t>
  </si>
  <si>
    <t>NR_110997chr5:131646969</t>
  </si>
  <si>
    <t>NR_026901:102582</t>
  </si>
  <si>
    <t>NR_001434:123522</t>
  </si>
  <si>
    <t>NR_111929chr2:24299744</t>
  </si>
  <si>
    <t>NM_003909chr8:87526656</t>
  </si>
  <si>
    <t>NM_001330124chr17:7835442</t>
  </si>
  <si>
    <t>NM_001324276chrX:148622519</t>
  </si>
  <si>
    <t>NM_001346337chr11:46638826</t>
  </si>
  <si>
    <t>NR_109852:623391</t>
  </si>
  <si>
    <t>NR_037169:3381593</t>
  </si>
  <si>
    <t>NM_001291604chr2:95831162</t>
  </si>
  <si>
    <t>NM_007028:1318409</t>
  </si>
  <si>
    <t>NR_002139:1059612</t>
  </si>
  <si>
    <t>NR_125968chr1:145376206</t>
  </si>
  <si>
    <t>NM_001794chr20:59827482</t>
  </si>
  <si>
    <t>NM_001350:4518583</t>
  </si>
  <si>
    <t>NM_001271893chr2:239756673</t>
  </si>
  <si>
    <t>NM_001098534:2900437</t>
  </si>
  <si>
    <t>NR_001434:1369125</t>
  </si>
  <si>
    <t>NM_001290135chr11:125439283</t>
  </si>
  <si>
    <t>NM_001002027chr17:46970148</t>
  </si>
  <si>
    <t>NM_012314:812597</t>
  </si>
  <si>
    <t>NM_001127345chrX:49197598</t>
  </si>
  <si>
    <t>NM_003043chr3:14444076</t>
  </si>
  <si>
    <t>NM_007231chrX:115567747</t>
  </si>
  <si>
    <t>NR_103797chr21:34915344</t>
  </si>
  <si>
    <t>NR_136552chr21:17553718</t>
  </si>
  <si>
    <t>NM_006505chr19:45147098</t>
  </si>
  <si>
    <t>NM_024644chr14:73957639</t>
  </si>
  <si>
    <t>NM_001136478chr1:150190717</t>
  </si>
  <si>
    <t>NM_173471chr3:66271149</t>
  </si>
  <si>
    <t>NM_001270401:4393584</t>
  </si>
  <si>
    <t>NM_012314:812554</t>
  </si>
  <si>
    <t>NM_004382:954315</t>
  </si>
  <si>
    <t>NM_001297673:7179524</t>
  </si>
  <si>
    <t>NR_052012:1442004</t>
  </si>
  <si>
    <t>NM_001220770chr7:50344378</t>
  </si>
  <si>
    <t>NM_001145147:954315</t>
  </si>
  <si>
    <t>NR_110866chr17:79609331</t>
  </si>
  <si>
    <t>NM_001300832chr11:65154041</t>
  </si>
  <si>
    <t>NM_001291283:36938</t>
  </si>
  <si>
    <t>NM_001290185chr11:118938463</t>
  </si>
  <si>
    <t>NM_033177:2922643</t>
  </si>
  <si>
    <t>NM_001077446:166050</t>
  </si>
  <si>
    <t>NM_001243962:3961416</t>
  </si>
  <si>
    <t>NR_134268:1350362</t>
  </si>
  <si>
    <t>NM_005407chr14:21989231</t>
  </si>
  <si>
    <t>NM_001178063:3244191</t>
  </si>
  <si>
    <t>NM_001008228:1143559</t>
  </si>
  <si>
    <t>NM_001291661:16574</t>
  </si>
  <si>
    <t>NM_001322187chr16:76311115</t>
  </si>
  <si>
    <t>NR_003948:2356208</t>
  </si>
  <si>
    <t>NR_036483:410252</t>
  </si>
  <si>
    <t>NM_001199455:4195782</t>
  </si>
  <si>
    <t>NM_014219:644162</t>
  </si>
  <si>
    <t>NM_001282916:16012</t>
  </si>
  <si>
    <t>NM_001145303chr19:54663833</t>
  </si>
  <si>
    <t>NM_001291932chr22:30792930</t>
  </si>
  <si>
    <t>NM_001290059chr11:67777775</t>
  </si>
  <si>
    <t>NM_021904:873547</t>
  </si>
  <si>
    <t>NM_001193466:596172</t>
  </si>
  <si>
    <t>NM_173600chr12:40787196</t>
  </si>
  <si>
    <t>NM_006389chr11:118914896</t>
  </si>
  <si>
    <t>NM_001008229:928111</t>
  </si>
  <si>
    <t>NM_001134870:1976470</t>
  </si>
  <si>
    <t>NR_125914chr3:4938493</t>
  </si>
  <si>
    <t>NM_178126chr17:40731526</t>
  </si>
  <si>
    <t>NM_002117:2529777</t>
  </si>
  <si>
    <t>NM_198283chr6:66044806</t>
  </si>
  <si>
    <t>NM_001164465chr15:82632347</t>
  </si>
  <si>
    <t>NM_001314000chr17:40962150</t>
  </si>
  <si>
    <t>NM_001318908:2474679</t>
  </si>
  <si>
    <t>NM_014001chr17:73232694</t>
  </si>
  <si>
    <t>NM_001282900chr2:173724766</t>
  </si>
  <si>
    <t>NR_144465:2755326</t>
  </si>
  <si>
    <t>NM_001291446chr14:21989231</t>
  </si>
  <si>
    <t>NR_134949:3505441</t>
  </si>
  <si>
    <t>NM_001282535chrX:152224766</t>
  </si>
  <si>
    <t>NM_001257191:373201</t>
  </si>
  <si>
    <t>NM_001346360chr11:46638826</t>
  </si>
  <si>
    <t>NR_136544chr21:17791523</t>
  </si>
  <si>
    <t>NR_138084:4554915</t>
  </si>
  <si>
    <t>NM_001164615chr8:104310661</t>
  </si>
  <si>
    <t>NM_001136178chr10:64571756</t>
  </si>
  <si>
    <t>NM_001346354chr11:46638826</t>
  </si>
  <si>
    <t>NR_044996:3705729</t>
  </si>
  <si>
    <t>NM_001083585chr17:5185558</t>
  </si>
  <si>
    <t>NM_181491chr9:136207751</t>
  </si>
  <si>
    <t>NM_001039127chr4:124358</t>
  </si>
  <si>
    <t>NM_052828:1450168</t>
  </si>
  <si>
    <t>NR_125425:497190</t>
  </si>
  <si>
    <t>NM_016346chr15:72102888</t>
  </si>
  <si>
    <t>NR_126452chr12:128368534</t>
  </si>
  <si>
    <t>NM_138927chr21:34915344</t>
  </si>
  <si>
    <t>NR_033320chr22:27053446</t>
  </si>
  <si>
    <t>NM_001143809chr11:27676440</t>
  </si>
  <si>
    <t>NM_001346329chr11:46638826</t>
  </si>
  <si>
    <t>NM_080702:2937602</t>
  </si>
  <si>
    <t>NR_024052:1603265</t>
  </si>
  <si>
    <t>NM_001322371:2333438</t>
  </si>
  <si>
    <t>NM_001278398:340900</t>
  </si>
  <si>
    <t>NM_006778:1450168</t>
  </si>
  <si>
    <t>NM_001290050chr19:4903092</t>
  </si>
  <si>
    <t>NR_073585chr17:61627796</t>
  </si>
  <si>
    <t>NR_104098:213800</t>
  </si>
  <si>
    <t>NM_001161473chr11:67776017</t>
  </si>
  <si>
    <t>NM_001346334chr11:46638826</t>
  </si>
  <si>
    <t>NM_001318045chr11:71846756</t>
  </si>
  <si>
    <t>NM_001143807chr11:27676440</t>
  </si>
  <si>
    <t>NM_001291581chr17:5185558</t>
  </si>
  <si>
    <t>NR_111903chr19:16244838</t>
  </si>
  <si>
    <t>NM_001136177chr10:64571756</t>
  </si>
  <si>
    <t>NM_001199240:2922643</t>
  </si>
  <si>
    <t>NM_001346314chr11:46638826</t>
  </si>
  <si>
    <t>NM_032102chr11:94800041</t>
  </si>
  <si>
    <t>NM_001134442chr3:44754135</t>
  </si>
  <si>
    <t>NM_001322190chr16:76311115</t>
  </si>
  <si>
    <t>NR_026800:581146</t>
  </si>
  <si>
    <t>NM_001291815chr9:133223427</t>
  </si>
  <si>
    <t>NR_027455chrX:148609130</t>
  </si>
  <si>
    <t>NM_001145195:380630</t>
  </si>
  <si>
    <t>NM_001098534:2986492</t>
  </si>
  <si>
    <t>NM_001318908:2508258</t>
  </si>
  <si>
    <t>NM_031308chr8:144939492</t>
  </si>
  <si>
    <t>NR_144329:489200</t>
  </si>
  <si>
    <t>NM_001282658chr10:12938625</t>
  </si>
  <si>
    <t>NR_046135:6422526</t>
  </si>
  <si>
    <t>NM_001202466:124484</t>
  </si>
  <si>
    <t>NM_001290264chr1:1592939</t>
  </si>
  <si>
    <t>NM_001025091:2051221</t>
  </si>
  <si>
    <t>NM_178124:5065372</t>
  </si>
  <si>
    <t>NM_001145064chr7:74422144</t>
  </si>
  <si>
    <t>NM_001297696:63867</t>
  </si>
  <si>
    <t>NM_001346319chr11:46638826</t>
  </si>
  <si>
    <t>NM_133471:1976470</t>
  </si>
  <si>
    <t>NM_001160328chr19:51125234</t>
  </si>
  <si>
    <t>NM_001319053:873547</t>
  </si>
  <si>
    <t>NR_103756chr5:101944196</t>
  </si>
  <si>
    <t>NM_001134441chr3:44754135</t>
  </si>
  <si>
    <t>NM_003190:4711285</t>
  </si>
  <si>
    <t>NM_002119:4452675</t>
  </si>
  <si>
    <t>NM_001199121:1660981</t>
  </si>
  <si>
    <t>NM_001110781chr1:1592939</t>
  </si>
  <si>
    <t>NM_001286476chr21:47721044</t>
  </si>
  <si>
    <t>NM_001177563:799</t>
  </si>
  <si>
    <t>NM_016834:762280</t>
  </si>
  <si>
    <t>NM_014504chr7:66205643</t>
  </si>
  <si>
    <t>NM_000116:1845520</t>
  </si>
  <si>
    <t>NM_001278526chr10:97889472</t>
  </si>
  <si>
    <t>NM_001345872chr5:102455952</t>
  </si>
  <si>
    <t>NM_001202521:2168107</t>
  </si>
  <si>
    <t>NR_003948:2318406</t>
  </si>
  <si>
    <t>NR_024089chr21:46419122</t>
  </si>
  <si>
    <t>NR_028475:28164</t>
  </si>
  <si>
    <t>NR_104117:167871</t>
  </si>
  <si>
    <t>NM_032298chr19:51125234</t>
  </si>
  <si>
    <t>NR_001317:1134224</t>
  </si>
  <si>
    <t>NM_138352chr19:14198652</t>
  </si>
  <si>
    <t>NM_001264:2597569</t>
  </si>
  <si>
    <t>NM_001320:2919236</t>
  </si>
  <si>
    <t>NM_001170418:928284</t>
  </si>
  <si>
    <t>NM_001330732chr10:97889813</t>
  </si>
  <si>
    <t>NM_001346321chr11:46638826</t>
  </si>
  <si>
    <t>NM_030975:40474</t>
  </si>
  <si>
    <t>NM_206809:928284</t>
  </si>
  <si>
    <t>NM_033401chr16:76311115</t>
  </si>
  <si>
    <t>NM_004703chr17:5185558</t>
  </si>
  <si>
    <t>NR_136245:3693660</t>
  </si>
  <si>
    <t>NM_001346332chr11:46638826</t>
  </si>
  <si>
    <t>NM_001039350chr7:153584182</t>
  </si>
  <si>
    <t>NM_001346315chr11:46638826</t>
  </si>
  <si>
    <t>NR_136551chr21:17553718</t>
  </si>
  <si>
    <t>NM_001290187chr7:149412102</t>
  </si>
  <si>
    <t>NM_001282398chr2:95831162</t>
  </si>
  <si>
    <t>NM_001317056chr7:150712239</t>
  </si>
  <si>
    <t>NR_130643chr22:22838767</t>
  </si>
  <si>
    <t>NM_020979chr7:101928353</t>
  </si>
  <si>
    <t>NR_001317:1186623</t>
  </si>
  <si>
    <t>NR_135765chr1:16860337</t>
  </si>
  <si>
    <t>NM_001346323chr11:46638826</t>
  </si>
  <si>
    <t>NM_001085474:36938</t>
  </si>
  <si>
    <t>NM_001280560:7033830</t>
  </si>
  <si>
    <t>NM_005931:2796671</t>
  </si>
  <si>
    <t>NM_001141969:4730149</t>
  </si>
  <si>
    <t>NR_110527chr4:124358</t>
  </si>
  <si>
    <t>NM_002121:4487883</t>
  </si>
  <si>
    <t>NM_001098534:3116416</t>
  </si>
  <si>
    <t>NM_003988chr10:102505468</t>
  </si>
  <si>
    <t>NM_006669:340900</t>
  </si>
  <si>
    <t>NR_036647chr17:18441114</t>
  </si>
  <si>
    <t>NM_001293212:1982257</t>
  </si>
  <si>
    <t>NR_110382:808951</t>
  </si>
  <si>
    <t>NR_047573chr3:194304997</t>
  </si>
  <si>
    <t>NM_001291345chr1:1570603</t>
  </si>
  <si>
    <t>NM_001276389chr20:21106624</t>
  </si>
  <si>
    <t>NM_025184chrX:44007128</t>
  </si>
  <si>
    <t>NM_013994:2168107</t>
  </si>
  <si>
    <t>NR_027916chr10:5196655</t>
  </si>
  <si>
    <t>NM_144686:134945</t>
  </si>
  <si>
    <t>NM_182524:43333</t>
  </si>
  <si>
    <t>NM_001184750chrX:142710595</t>
  </si>
  <si>
    <t>NM_001318908:2641058</t>
  </si>
  <si>
    <t>NM_033518chrX:48316920</t>
  </si>
  <si>
    <t>NM_006060chr7:50344265</t>
  </si>
  <si>
    <t>NM_001040659:15815</t>
  </si>
  <si>
    <t>NM_001081637:338148</t>
  </si>
  <si>
    <t>NM_012314:807044</t>
  </si>
  <si>
    <t>NM_014607chr2:136499189</t>
  </si>
  <si>
    <t>NM_001282899chr2:173724766</t>
  </si>
  <si>
    <t>NR_144424chr11:46638826</t>
  </si>
  <si>
    <t>NM_001288811:1461296</t>
  </si>
  <si>
    <t>NR_033957chr10:47096454</t>
  </si>
  <si>
    <t>NR_134950:3633298</t>
  </si>
  <si>
    <t>NM_001287060chr7:66147078</t>
  </si>
  <si>
    <t>NM_002800:4108942</t>
  </si>
  <si>
    <t>NM_001285987:2467051</t>
  </si>
  <si>
    <t>NR_027295:66095</t>
  </si>
  <si>
    <t>NM_005429chr4:177604689</t>
  </si>
  <si>
    <t>NM_001122636:12716</t>
  </si>
  <si>
    <t>NM_015197:11640</t>
  </si>
  <si>
    <t>NM_001282880chr3:44754135</t>
  </si>
  <si>
    <t>NR_136216chr16:76311115</t>
  </si>
  <si>
    <t>NM_001190965chr13:20532974</t>
  </si>
  <si>
    <t>NM_033177:2959804</t>
  </si>
  <si>
    <t>NM_006510:174342</t>
  </si>
  <si>
    <t>NM_176816:63867</t>
  </si>
  <si>
    <t>NR_136548chr21:17960918</t>
  </si>
  <si>
    <t>NR_109947:7488</t>
  </si>
  <si>
    <t>NR_033319chr22:27053446</t>
  </si>
  <si>
    <t>NR_033345chr17:73232694</t>
  </si>
  <si>
    <t>NM_206810:927947</t>
  </si>
  <si>
    <t>NR_051955chr20:62329995</t>
  </si>
  <si>
    <t>NR_134318chr5:175810940</t>
  </si>
  <si>
    <t>NM_001145103chr15:67430359</t>
  </si>
  <si>
    <t>NR_130726:2092532</t>
  </si>
  <si>
    <t>NM_005960chr7:100547052</t>
  </si>
  <si>
    <t>NM_001350:4760078</t>
  </si>
  <si>
    <t>NM_032258:313364</t>
  </si>
  <si>
    <t>NM_001291277chrX:104463611</t>
  </si>
  <si>
    <t>NM_181985:288602</t>
  </si>
  <si>
    <t>NM_014262chr12:6937538</t>
  </si>
  <si>
    <t>NR_003491chr22:27053446</t>
  </si>
  <si>
    <t>NR_135562chr2:103489798</t>
  </si>
  <si>
    <t>NM_080870:2420690</t>
  </si>
  <si>
    <t>NM_170783:1322018</t>
  </si>
  <si>
    <t>NR_037625:4226965</t>
  </si>
  <si>
    <t>NR_119376chr20:34146507</t>
  </si>
  <si>
    <t>NM_171999:45390</t>
  </si>
  <si>
    <t>NM_001290058chr11:67777775</t>
  </si>
  <si>
    <t>NM_206812:1143559</t>
  </si>
  <si>
    <t>NM_005105chr1:145507557</t>
  </si>
  <si>
    <t>NM_003766chr17:40962150</t>
  </si>
  <si>
    <t>NM_178517chr17:34890589</t>
  </si>
  <si>
    <t>NM_001267545chr20:62329995</t>
  </si>
  <si>
    <t>NM_001127200:1580621</t>
  </si>
  <si>
    <t>NM_001272093chr18:74207477</t>
  </si>
  <si>
    <t>NR_136546chr21:17791523</t>
  </si>
  <si>
    <t>NR_037860:3475209</t>
  </si>
  <si>
    <t>NM_002117:2583421</t>
  </si>
  <si>
    <t>NM_001141969:4760078</t>
  </si>
  <si>
    <t>NM_001330650chr19:54573149</t>
  </si>
  <si>
    <t>NM_001293216:1982257</t>
  </si>
  <si>
    <t>NM_000399chr10:64571756</t>
  </si>
  <si>
    <t>NM_001002836chr19:56598729</t>
  </si>
  <si>
    <t>NM_001134367chr3:14444076</t>
  </si>
  <si>
    <t>NM_177477chr8:143852615</t>
  </si>
  <si>
    <t>NM_001329984chr1:120802589</t>
  </si>
  <si>
    <t>NM_176787chr18:59711457</t>
  </si>
  <si>
    <t>NM_001322189chr16:76311115</t>
  </si>
  <si>
    <t>NM_001282850chr2:55774428</t>
  </si>
  <si>
    <t>NM_001330735chr10:97890037</t>
  </si>
  <si>
    <t>NR_144465:2743184</t>
  </si>
  <si>
    <t>NM_001280795chr7:142560514</t>
  </si>
  <si>
    <t>NM_006120:4373602</t>
  </si>
  <si>
    <t>NR_045724chr5:175819456</t>
  </si>
  <si>
    <t>NM_001297674:7179524</t>
  </si>
  <si>
    <t>NR_038400:6963</t>
  </si>
  <si>
    <t>NM_001177562:799</t>
  </si>
  <si>
    <t>NM_001278405:248562</t>
  </si>
  <si>
    <t>NM_001346049chr5:180682147</t>
  </si>
  <si>
    <t>NM_001300833chr11:65154041</t>
  </si>
  <si>
    <t>NM_016324chr19:58694356</t>
  </si>
  <si>
    <t>NM_001330734chr10:97890379</t>
  </si>
  <si>
    <t>NM_002455:7274</t>
  </si>
  <si>
    <t>NM_001243962:4055993</t>
  </si>
  <si>
    <t>NM_001290043:4080359</t>
  </si>
  <si>
    <t>NM_002433:928284</t>
  </si>
  <si>
    <t>NM_001170418:1143559</t>
  </si>
  <si>
    <t>NM_001285986:2514037</t>
  </si>
  <si>
    <t>NM_001267812chr7:100450341</t>
  </si>
  <si>
    <t>NM_015443:596066</t>
  </si>
  <si>
    <t>NM_006750:16258</t>
  </si>
  <si>
    <t>NR_001434:1149832</t>
  </si>
  <si>
    <t>NR_134316chr5:175810940</t>
  </si>
  <si>
    <t>NM_002255:777980</t>
  </si>
  <si>
    <t>NR_136547chr21:17907892</t>
  </si>
  <si>
    <t>NM_001289951chr19:53935227</t>
  </si>
  <si>
    <t>NM_002774chr19:51461887</t>
  </si>
  <si>
    <t>NM_203289:2427966</t>
  </si>
  <si>
    <t>NM_001290033chr7:130295818</t>
  </si>
  <si>
    <t>NM_021965:136347</t>
  </si>
  <si>
    <t>NM_021184:3135693</t>
  </si>
  <si>
    <t>NM_207355chr15:22051853</t>
  </si>
  <si>
    <t>NM_000544:4224129</t>
  </si>
  <si>
    <t>NM_006178:1524848</t>
  </si>
  <si>
    <t>NR_117086chr19:21264953</t>
  </si>
  <si>
    <t>NM_206809:928111</t>
  </si>
  <si>
    <t>NM_032591:5099</t>
  </si>
  <si>
    <t>NM_001122964chr2:55774428</t>
  </si>
  <si>
    <t>NM_001289152:2713997</t>
  </si>
  <si>
    <t>NM_001164239:1938870</t>
  </si>
  <si>
    <t>NR_110770chr11:125439283</t>
  </si>
  <si>
    <t>NM_001289160:2816268</t>
  </si>
  <si>
    <t>NR_125916chr3:4938493</t>
  </si>
  <si>
    <t>NR_136268:438900</t>
  </si>
  <si>
    <t>NM_031960:246639</t>
  </si>
  <si>
    <t>NM_001290211chr17:8706041</t>
  </si>
  <si>
    <t>NR_130768chrX:153146127</t>
  </si>
  <si>
    <t>NM_001346346chr11:46638826</t>
  </si>
  <si>
    <t>NM_005910:762280</t>
  </si>
  <si>
    <t>NM_001303456chr1:145590666</t>
  </si>
  <si>
    <t>NM_001143774chr10:60937227</t>
  </si>
  <si>
    <t>NR_027392:100695</t>
  </si>
  <si>
    <t>NM_001290046chr22:17840839</t>
  </si>
  <si>
    <t>NM_001025076chr10:11206993</t>
  </si>
  <si>
    <t>NM_001080826chr8:8175258</t>
  </si>
  <si>
    <t>NM_017419:1271</t>
  </si>
  <si>
    <t>NM_001346749chr17:29815019</t>
  </si>
  <si>
    <t>NM_001346333chr11:46638826</t>
  </si>
  <si>
    <t>NR_132323:1063331</t>
  </si>
  <si>
    <t>NM_001080394:16012</t>
  </si>
  <si>
    <t>NM_001271835:1298395</t>
  </si>
  <si>
    <t>NM_001346357chr11:46638826</t>
  </si>
  <si>
    <t>NM_001142505chr11:119020299</t>
  </si>
  <si>
    <t>NM_001281972:450915</t>
  </si>
  <si>
    <t>NR_046136:6422526</t>
  </si>
  <si>
    <t>NM_002127:1132308</t>
  </si>
  <si>
    <t>NR_003246chr15:85049399</t>
  </si>
  <si>
    <t>NR_024260chr12:8234807</t>
  </si>
  <si>
    <t>NM_001199698:3116416</t>
  </si>
  <si>
    <t>NM_001330619chr3:12938836</t>
  </si>
  <si>
    <t>NR_103551chr19:44930423</t>
  </si>
  <si>
    <t>NR_040116:1524848</t>
  </si>
  <si>
    <t>NM_014218:369240</t>
  </si>
  <si>
    <t>NM_001290052chr19:4910379</t>
  </si>
  <si>
    <t>NM_001081638:338148</t>
  </si>
  <si>
    <t>NR_138259:57867</t>
  </si>
  <si>
    <t>NM_015077:53525</t>
  </si>
  <si>
    <t>NM_172166:3001363</t>
  </si>
  <si>
    <t>NM_001277818chr8:64081562</t>
  </si>
  <si>
    <t>NM_001280795:1065871</t>
  </si>
  <si>
    <t>NM_173471:2820</t>
  </si>
  <si>
    <t>NR_130726:2074738</t>
  </si>
  <si>
    <t>NM_138619chr17:73232687</t>
  </si>
  <si>
    <t>NM_006052chr21:38595726</t>
  </si>
  <si>
    <t>NR_037926chr17:7465309</t>
  </si>
  <si>
    <t>NM_153267:19469</t>
  </si>
  <si>
    <t>NM_001128833chr17:7362685</t>
  </si>
  <si>
    <t>NM_002538:275189</t>
  </si>
  <si>
    <t>NM_005874:248562</t>
  </si>
  <si>
    <t>NM_001331021chr21:38595721</t>
  </si>
  <si>
    <t>NR_027921chr17:34310692</t>
  </si>
  <si>
    <t>NR_104095chr19:55043909</t>
  </si>
  <si>
    <t>NM_001285987:2514037</t>
  </si>
  <si>
    <t>NM_001271872chr1:120802589</t>
  </si>
  <si>
    <t>NM_001303020:954315</t>
  </si>
  <si>
    <t>NR_038269:165751</t>
  </si>
  <si>
    <t>NR_135513chr4:190598964</t>
  </si>
  <si>
    <t>NM_001077445chrX:46771711</t>
  </si>
  <si>
    <t>NM_001322179chr16:76311115</t>
  </si>
  <si>
    <t>NM_001278081chr16:57844549</t>
  </si>
  <si>
    <t>NM_003631chr10:51026321</t>
  </si>
  <si>
    <t>NM_001163322:1298395</t>
  </si>
  <si>
    <t>NM_001025091:1832076</t>
  </si>
  <si>
    <t>NM_001172703chr17:73232687</t>
  </si>
  <si>
    <t>NM_002441:3001363</t>
  </si>
  <si>
    <t>NR_027822:1575419</t>
  </si>
  <si>
    <t>NR_001434:1149645</t>
  </si>
  <si>
    <t>NM_001090:1832076</t>
  </si>
  <si>
    <t>NR_103727chr10:118380465</t>
  </si>
  <si>
    <t>NR_104001:1065132</t>
  </si>
  <si>
    <t>NM_005346:3110276</t>
  </si>
  <si>
    <t>NM_001114093:20188</t>
  </si>
  <si>
    <t>NM_001322370:2333455</t>
  </si>
  <si>
    <t>NM_001081638:340900</t>
  </si>
  <si>
    <t>NM_080703:2937602</t>
  </si>
  <si>
    <t>NM_172165:3001363</t>
  </si>
  <si>
    <t>NM_001290229chr5:77656327</t>
  </si>
  <si>
    <t>NM_001329963chr2:39024871</t>
  </si>
  <si>
    <t>NR_104165:3577255</t>
  </si>
  <si>
    <t>NR_036750:1187</t>
  </si>
  <si>
    <t>NM_001285986:2427966</t>
  </si>
  <si>
    <t>NM_002122:3842030</t>
  </si>
  <si>
    <t>NM_001287061chr7:66220869</t>
  </si>
  <si>
    <t>NM_001271889chr15:78396948</t>
  </si>
  <si>
    <t>NM_001141970:4730149</t>
  </si>
  <si>
    <t>NM_130444chr21:46875424</t>
  </si>
  <si>
    <t>NM_001199237:2914585</t>
  </si>
  <si>
    <t>NM_022450chr16:108058</t>
  </si>
  <si>
    <t>NM_001205120chr11:46638826</t>
  </si>
  <si>
    <t>NR_073415chr15:58982650</t>
  </si>
  <si>
    <t>NR_135824chr1:17083556</t>
  </si>
  <si>
    <t>NM_001099773chr15:74630103</t>
  </si>
  <si>
    <t>NM_007109:2641060</t>
  </si>
  <si>
    <t>NR_111966chr14:21989231</t>
  </si>
  <si>
    <t>NM_001012755:235630</t>
  </si>
  <si>
    <t>NM_001080978:248816</t>
  </si>
  <si>
    <t>NM_001184749:411511</t>
  </si>
  <si>
    <t>NM_020056:4046345</t>
  </si>
  <si>
    <t>NM_001278398:338148</t>
  </si>
  <si>
    <t>NR_104001chr7:142559775</t>
  </si>
  <si>
    <t>NM_198963chr2:39024871</t>
  </si>
  <si>
    <t>NR_136753chr10:51026321</t>
  </si>
  <si>
    <t>NM_001267547chr20:62329995</t>
  </si>
  <si>
    <t>NM_001278687chr22:37600277</t>
  </si>
  <si>
    <t>NR_136210chr16:76311115</t>
  </si>
  <si>
    <t>NM_001281972:737045</t>
  </si>
  <si>
    <t>NM_001277814chr8:64081562</t>
  </si>
  <si>
    <t>NM_001324279chrX:148622519</t>
  </si>
  <si>
    <t>NR_103798chr21:34915344</t>
  </si>
  <si>
    <t>NM_001267544chr20:62329995</t>
  </si>
  <si>
    <t>NR_026901:1188959</t>
  </si>
  <si>
    <t>NM_005903chr5:135468534</t>
  </si>
  <si>
    <t>NM_001293215:1982257</t>
  </si>
  <si>
    <t>NM_006014:1910880</t>
  </si>
  <si>
    <t>NM_001207043:1060485</t>
  </si>
  <si>
    <t>NM_152758chr8:64081112</t>
  </si>
  <si>
    <t>NM_001171908:5065372</t>
  </si>
  <si>
    <t>NM_001012964chr19:51461888</t>
  </si>
  <si>
    <t>NM_206814:927947</t>
  </si>
  <si>
    <t>NM_001040660:15815</t>
  </si>
  <si>
    <t>NM_004866chr5:77656327</t>
  </si>
  <si>
    <t>NM_001205122chr11:46638826</t>
  </si>
  <si>
    <t>NR_136213chr16:76311115</t>
  </si>
  <si>
    <t>NM_001320049chr12:7079944</t>
  </si>
  <si>
    <t>NR_026791:2461380</t>
  </si>
  <si>
    <t>NM_001167672chr3:187871661</t>
  </si>
  <si>
    <t>NR_123721chr16:15198159</t>
  </si>
  <si>
    <t>NM_016339chr17:38334242</t>
  </si>
  <si>
    <t>NM_181312:1845520</t>
  </si>
  <si>
    <t>NR_036523chr6:31367561</t>
  </si>
  <si>
    <t>NM_153713chr1:145477067</t>
  </si>
  <si>
    <t>NM_001278701chrX:52780281</t>
  </si>
  <si>
    <t>NR_125967chr1:145376206</t>
  </si>
  <si>
    <t>NR_111952chr1:149576161</t>
  </si>
  <si>
    <t>NR_026680:66095</t>
  </si>
  <si>
    <t>NM_004639:3116416</t>
  </si>
  <si>
    <t>NM_001297652:2232347</t>
  </si>
  <si>
    <t>NM_001330065chr21:35818988</t>
  </si>
  <si>
    <t>NM_001136479chr1:150190717</t>
  </si>
  <si>
    <t>NM_001280794:1058141</t>
  </si>
  <si>
    <t>NR_001434:1150366</t>
  </si>
  <si>
    <t>NM_001039888chr1:145470508</t>
  </si>
  <si>
    <t>NM_001204204chr22:30792930</t>
  </si>
  <si>
    <t>NM_001254717:4730149</t>
  </si>
  <si>
    <t>NM_001289161:2759546</t>
  </si>
  <si>
    <t>NM_001163735chr17:34851599</t>
  </si>
  <si>
    <t>NR_037183:598652</t>
  </si>
  <si>
    <t>NM_206810:928111</t>
  </si>
  <si>
    <t>NM_001077511:2474681</t>
  </si>
  <si>
    <t>NM_130784chr10:135367404</t>
  </si>
  <si>
    <t>NM_001293214:1980909</t>
  </si>
  <si>
    <t>NM_001267549chr20:62329995</t>
  </si>
  <si>
    <t>NM_021976:4393584</t>
  </si>
  <si>
    <t>NM_016647:97336</t>
  </si>
  <si>
    <t>NM_001321037chr10:64571756</t>
  </si>
  <si>
    <t>NM_001145148:954315</t>
  </si>
  <si>
    <t>NM_001289051:489200</t>
  </si>
  <si>
    <t>NM_002433:1143559</t>
  </si>
  <si>
    <t>NM_001134440chr3:44754135</t>
  </si>
  <si>
    <t>NM_001077446chr19:54695065</t>
  </si>
  <si>
    <t>NM_001346342chr11:46638826</t>
  </si>
  <si>
    <t>NM_153046chr14:104394817</t>
  </si>
  <si>
    <t>NM_001291822chr12:9980077</t>
  </si>
  <si>
    <t>NM_003453chr13:20532810</t>
  </si>
  <si>
    <t>NR_046138:6422526</t>
  </si>
  <si>
    <t>NM_001954:2233818</t>
  </si>
  <si>
    <t>NM_001297654:2234272</t>
  </si>
  <si>
    <t>NM_000694chr11:67777775</t>
  </si>
  <si>
    <t>NR_134949:3477358</t>
  </si>
  <si>
    <t>NM_015908chr7:100472701</t>
  </si>
  <si>
    <t>NM_013364:490392</t>
  </si>
  <si>
    <t>NR_046115chr1:156338980</t>
  </si>
  <si>
    <t>NM_212479:124484</t>
  </si>
  <si>
    <t>NR_110899chr18:43018148</t>
  </si>
  <si>
    <t>NM_080764chr22:22838767</t>
  </si>
  <si>
    <t>NM_001001991chr11:35453374</t>
  </si>
  <si>
    <t>NM_002800:4158815</t>
  </si>
  <si>
    <t>NR_136246:3565774</t>
  </si>
  <si>
    <t>NM_007109:2423431</t>
  </si>
  <si>
    <t>NM_001199697:2937602</t>
  </si>
  <si>
    <t>NR_125933chr4:185286714</t>
  </si>
  <si>
    <t>NM_001291588chr17:41363846</t>
  </si>
  <si>
    <t>NM_182524chr4:53179</t>
  </si>
  <si>
    <t>NM_001100913:11640</t>
  </si>
  <si>
    <t>NM_001199239:2959804</t>
  </si>
  <si>
    <t>NM_000294chr16:30759620</t>
  </si>
  <si>
    <t>NM_001128590:3338804</t>
  </si>
  <si>
    <t>NM_001141969:4567658</t>
  </si>
  <si>
    <t>NM_001205119chr11:46638826</t>
  </si>
  <si>
    <t>NM_030920chr1:150190717</t>
  </si>
  <si>
    <t>NM_206814:928111</t>
  </si>
  <si>
    <t>NM_145041chr17:41363846</t>
  </si>
  <si>
    <t>NM_133502chr19:58694356</t>
  </si>
  <si>
    <t>NM_203289:2646867</t>
  </si>
  <si>
    <t>NM_000314chr10:89623195</t>
  </si>
  <si>
    <t>NM_173078chrX:142710595</t>
  </si>
  <si>
    <t>NR_136244:3602827</t>
  </si>
  <si>
    <t>NM_001293320chr8:86126288</t>
  </si>
  <si>
    <t>NM_022148chrY:1264869</t>
  </si>
  <si>
    <t>NM_001264:2431222</t>
  </si>
  <si>
    <t>NR_027873:727</t>
  </si>
  <si>
    <t>NM_001286463chr21:47721044</t>
  </si>
  <si>
    <t>NR_144514:1379</t>
  </si>
  <si>
    <t>NM_001014431chr14:105235686</t>
  </si>
  <si>
    <t>NM_001077511:2422154</t>
  </si>
  <si>
    <t>NR_104097chr19:55043909</t>
  </si>
  <si>
    <t>NM_001330738chr10:97890037</t>
  </si>
  <si>
    <t>NM_001281971:737045</t>
  </si>
  <si>
    <t>NR_103850chr8:76135352</t>
  </si>
  <si>
    <t>NM_001290205chr3:53317443</t>
  </si>
  <si>
    <t>NR_033379:350248</t>
  </si>
  <si>
    <t>NM_002586:3495334</t>
  </si>
  <si>
    <t>NM_021729:89352</t>
  </si>
  <si>
    <t>NM_001025091:1871448</t>
  </si>
  <si>
    <t>NM_001291305chr5:175810940</t>
  </si>
  <si>
    <t>NR_046137:6422526</t>
  </si>
  <si>
    <t>NR_027457:1145616</t>
  </si>
  <si>
    <t>NM_012133:161656</t>
  </si>
  <si>
    <t>NR_002206chr7:74601104</t>
  </si>
  <si>
    <t>NM_005803:2043580</t>
  </si>
  <si>
    <t>NM_001134368chr3:14444076</t>
  </si>
  <si>
    <t>NM_021250chr19:54818353</t>
  </si>
  <si>
    <t>NM_001278525chr10:97889813</t>
  </si>
  <si>
    <t>NM_001285987:2480458</t>
  </si>
  <si>
    <t>NR_051957chr20:62329995</t>
  </si>
  <si>
    <t>NR_027295:1151952</t>
  </si>
  <si>
    <t>NM_206811:927947</t>
  </si>
  <si>
    <t>NR_126347chr1:187259188</t>
  </si>
  <si>
    <t>NR_104165chr7:75677337</t>
  </si>
  <si>
    <t>NM_002586:3532337</t>
  </si>
  <si>
    <t>NM_001282676chr11:35453374</t>
  </si>
  <si>
    <t>NM_001291831chr7:75831211</t>
  </si>
  <si>
    <t>NM_018156chr1:12290096</t>
  </si>
  <si>
    <t>NM_001346336chr11:46638826</t>
  </si>
  <si>
    <t>NM_153498chr10:12391542</t>
  </si>
  <si>
    <t>NM_001346318chr11:46638826</t>
  </si>
  <si>
    <t>NM_080870:2201750</t>
  </si>
  <si>
    <t>NM_001270401:4618677</t>
  </si>
  <si>
    <t>NM_001290212chr17:79604197</t>
  </si>
  <si>
    <t>NM_001145026chr12:80849275</t>
  </si>
  <si>
    <t>NR_122073chr18:74401986</t>
  </si>
  <si>
    <t>NM_172209:4711285</t>
  </si>
  <si>
    <t>NR_103542:1219726</t>
  </si>
  <si>
    <t>NM_001281471chr5:102455958</t>
  </si>
  <si>
    <t>NM_001110199chr7:75831211</t>
  </si>
  <si>
    <t>NM_206810:928284</t>
  </si>
  <si>
    <t>NM_080703:3116416</t>
  </si>
  <si>
    <t>NM_006201:468238</t>
  </si>
  <si>
    <t>NM_002426chr11:102733460</t>
  </si>
  <si>
    <t>NM_001286477chr21:47721044</t>
  </si>
  <si>
    <t>NM_024772chr1:35544964</t>
  </si>
  <si>
    <t>NM_206814:928077</t>
  </si>
  <si>
    <t>NM_001297697:63867</t>
  </si>
  <si>
    <t>NM_001290043:4074733</t>
  </si>
  <si>
    <t>NM_001291447chr14:21989231</t>
  </si>
  <si>
    <t>NM_001136478:7033830</t>
  </si>
  <si>
    <t>NR_003948:2535933</t>
  </si>
  <si>
    <t>NM_014068:2378426</t>
  </si>
  <si>
    <t>NM_001204314chr5:35055802</t>
  </si>
  <si>
    <t>NR_120505chr7:57472473</t>
  </si>
  <si>
    <t>NM_003190:4548797</t>
  </si>
  <si>
    <t>NM_001173531:2429238</t>
  </si>
  <si>
    <t>NM_001709chr11:27676440</t>
  </si>
  <si>
    <t>NM_004397:373201</t>
  </si>
  <si>
    <t>NR_024086:222680</t>
  </si>
  <si>
    <t>NM_001178063:3234092</t>
  </si>
  <si>
    <t>NM_001346344chr11:46638826</t>
  </si>
  <si>
    <t>NM_001080978:248562</t>
  </si>
  <si>
    <t>NR_037903chr3:4938493</t>
  </si>
  <si>
    <t>NM_032182chr10:126490354</t>
  </si>
  <si>
    <t>NM_000277chr12:103232104</t>
  </si>
  <si>
    <t>NR_044996:3737844</t>
  </si>
  <si>
    <t>NR_144422chr11:46638826</t>
  </si>
  <si>
    <t>NM_001242366:76503</t>
  </si>
  <si>
    <t>NM_203289:2480458</t>
  </si>
  <si>
    <t>NR_111967chr14:21989231</t>
  </si>
  <si>
    <t>NM_002433:928111</t>
  </si>
  <si>
    <t>NM_001170418:928077</t>
  </si>
  <si>
    <t>NM_006478chr22:29702985</t>
  </si>
  <si>
    <t>NR_133907:3906294</t>
  </si>
  <si>
    <t>NM_005902chr15:67358195</t>
  </si>
  <si>
    <t>NM_001291283chr1:248902716</t>
  </si>
  <si>
    <t>NM_001277815chr8:64081112</t>
  </si>
  <si>
    <t>NM_001301065chr11:118528942</t>
  </si>
  <si>
    <t>NM_181313:1845520</t>
  </si>
  <si>
    <t>NR_133014chr3:195241218</t>
  </si>
  <si>
    <t>NM_001289953chr19:53949480</t>
  </si>
  <si>
    <t>NM_001243998chr19:50922195</t>
  </si>
  <si>
    <t>NM_001081639:340900</t>
  </si>
  <si>
    <t>NR_001590:1234756</t>
  </si>
  <si>
    <t>NM_001280559chr1:150190717</t>
  </si>
  <si>
    <t>NM_001279352chr8:143738874</t>
  </si>
  <si>
    <t>NM_001289153:2713997</t>
  </si>
  <si>
    <t>NM_000500:3385938</t>
  </si>
  <si>
    <t>NR_040097chr2:98081676</t>
  </si>
  <si>
    <t>NM_001271466chr2:232070913</t>
  </si>
  <si>
    <t>NM_001257291:5099</t>
  </si>
  <si>
    <t>NR_038423chr1:146853914</t>
  </si>
  <si>
    <t>NR_134305chr8:143719949</t>
  </si>
  <si>
    <t>NR_001434:1186740</t>
  </si>
  <si>
    <t>NM_152236chr22:29702985</t>
  </si>
  <si>
    <t>NM_001164616chr8:104311059</t>
  </si>
  <si>
    <t>NR_001434:1149678</t>
  </si>
  <si>
    <t>NM_006120:4148517</t>
  </si>
  <si>
    <t>NR_001434chr6:29855537</t>
  </si>
  <si>
    <t>NR_073601chr2:209224569</t>
  </si>
  <si>
    <t>NM_001350:4730149</t>
  </si>
  <si>
    <t>NM_001184749chrX:142710595</t>
  </si>
  <si>
    <t>NM_001197320chr1:150547027</t>
  </si>
  <si>
    <t>NM_014262:29992</t>
  </si>
  <si>
    <t>NM_001285986:2480458</t>
  </si>
  <si>
    <t>NM_001098534:2937602</t>
  </si>
  <si>
    <t>NM_006781:3670160</t>
  </si>
  <si>
    <t>NM_001282189chr8:30601682</t>
  </si>
  <si>
    <t>NM_001008229:928284</t>
  </si>
  <si>
    <t>NM_001080978:248805</t>
  </si>
  <si>
    <t>NR_027922chr17:34310692</t>
  </si>
  <si>
    <t>NM_001008228:927947</t>
  </si>
  <si>
    <t>NM_001014432chr14:105235686</t>
  </si>
  <si>
    <t>NM_001309242chr17:73584139</t>
  </si>
  <si>
    <t>NM_001017417:644596</t>
  </si>
  <si>
    <t>NM_017940chr1:16888922</t>
  </si>
  <si>
    <t>NM_033490chr1:1570603</t>
  </si>
  <si>
    <t>NM_013993:2234284</t>
  </si>
  <si>
    <t>NM_001345991:489200</t>
  </si>
  <si>
    <t>NM_181985chr19:54818353</t>
  </si>
  <si>
    <t>NM_001285986:2646867</t>
  </si>
  <si>
    <t>NR_037171:3381593</t>
  </si>
  <si>
    <t>NM_181842:3161186</t>
  </si>
  <si>
    <t>NM_001190964chr13:20532848</t>
  </si>
  <si>
    <t>NR_003948:2317378</t>
  </si>
  <si>
    <t>NM_001256539chr5:175810940</t>
  </si>
  <si>
    <t>NM_001285986:2429238</t>
  </si>
  <si>
    <t>NM_001346348chr11:46638826</t>
  </si>
  <si>
    <t>NM_001288814:6428</t>
  </si>
  <si>
    <t>NM_018043chr11:69924408</t>
  </si>
  <si>
    <t>NR_003614chr7:74973159</t>
  </si>
  <si>
    <t>NM_001202522:2168107</t>
  </si>
  <si>
    <t>NM_001346320chr11:46638826</t>
  </si>
  <si>
    <t>NM_001278404:248816</t>
  </si>
  <si>
    <t>NM_175859chrX:16606122</t>
  </si>
  <si>
    <t>NR_024384chr5:87960263</t>
  </si>
  <si>
    <t>NM_001278524chr10:97889472</t>
  </si>
  <si>
    <t>NM_002117:2532134</t>
  </si>
  <si>
    <t>NM_001787chr1:1570603</t>
  </si>
  <si>
    <t>NM_178014:1981088</t>
  </si>
  <si>
    <t>NR_136245:3502148</t>
  </si>
  <si>
    <t>NM_001146344chr1:12884618</t>
  </si>
  <si>
    <t>NM_014262:29958</t>
  </si>
  <si>
    <t>NR_125934chr4:185286714</t>
  </si>
  <si>
    <t>NR_130768:1314655</t>
  </si>
  <si>
    <t>NM_173078:411511</t>
  </si>
  <si>
    <t>NM_172209:4548797</t>
  </si>
  <si>
    <t>NR_037172:3591246</t>
  </si>
  <si>
    <t>NM_005346:3305094</t>
  </si>
  <si>
    <t>NM_001207043:33914</t>
  </si>
  <si>
    <t>NR_133921chr8:104311059</t>
  </si>
  <si>
    <t>NR_037846:3038543</t>
  </si>
  <si>
    <t>NM_198834chr17:35441927</t>
  </si>
  <si>
    <t>NM_001322469:2355676</t>
  </si>
  <si>
    <t>NM_001346325chr11:46638826</t>
  </si>
  <si>
    <t>NR_134950:3505441</t>
  </si>
  <si>
    <t>NM_001128590:3385938</t>
  </si>
  <si>
    <t>NR_001434:1097261</t>
  </si>
  <si>
    <t>NM_001242673chr1:110527387</t>
  </si>
  <si>
    <t>NM_001289930chr4:124358</t>
  </si>
  <si>
    <t>NM_002119:4253308</t>
  </si>
  <si>
    <t>NR_138257:61783</t>
  </si>
  <si>
    <t>NM_001346350chr11:46638826</t>
  </si>
  <si>
    <t>NR_037183chrX:140590843</t>
  </si>
  <si>
    <t>NR_033880chr2:779837</t>
  </si>
  <si>
    <t>NR_037861:3464620</t>
  </si>
  <si>
    <t>NM_001145063chr7:74422144</t>
  </si>
  <si>
    <t>NM_198988:436163</t>
  </si>
  <si>
    <t>NM_001090:1871448</t>
  </si>
  <si>
    <t>NM_058180chr21:47721044</t>
  </si>
  <si>
    <t>NR_136542chr21:17442808</t>
  </si>
  <si>
    <t>NM_001076:224914</t>
  </si>
  <si>
    <t>NM_001143812chr11:27676440</t>
  </si>
  <si>
    <t>NM_001289090chr1:35544964</t>
  </si>
  <si>
    <t>NM_005568chr17:35294772</t>
  </si>
  <si>
    <t>NM_001143811chr11:27676440</t>
  </si>
  <si>
    <t>NM_001143808chr11:27676440</t>
  </si>
  <si>
    <t>NR_136244:3618628</t>
  </si>
  <si>
    <t>NM_005931:2975498</t>
  </si>
  <si>
    <t>NM_021976:4618677</t>
  </si>
  <si>
    <t>NR_047574chr3:194304997</t>
  </si>
  <si>
    <t>NM_005931:2975524</t>
  </si>
  <si>
    <t>NR_110662chr17:40086876</t>
  </si>
  <si>
    <t>NR_121210chrX:142967173</t>
  </si>
  <si>
    <t>NM_001318484:2307538</t>
  </si>
  <si>
    <t>NM_001177519:2717778</t>
  </si>
  <si>
    <t>NM_001030010chr11:67777775</t>
  </si>
  <si>
    <t>NR_037171:3591246</t>
  </si>
  <si>
    <t>NR_135178chr16:32163433</t>
  </si>
  <si>
    <t>NM_001099415chr7:75046060</t>
  </si>
  <si>
    <t>NM_013994:2238422</t>
  </si>
  <si>
    <t>NM_001267814chr7:100450341</t>
  </si>
  <si>
    <t>NM_001199238:2922643</t>
  </si>
  <si>
    <t>NM_012196:1580621</t>
  </si>
  <si>
    <t>NM_001291986:4226965</t>
  </si>
  <si>
    <t>NR_111918chr7:100331249</t>
  </si>
  <si>
    <t>NR_001590:1019444</t>
  </si>
  <si>
    <t>NM_001291398:247063</t>
  </si>
  <si>
    <t>NM_001135768chr19:45147098</t>
  </si>
  <si>
    <t>NM_005931:2759574</t>
  </si>
  <si>
    <t>NM_033626:1298395</t>
  </si>
  <si>
    <t>NM_025259:3038543</t>
  </si>
  <si>
    <t>NM_001350:4567658</t>
  </si>
  <si>
    <t>NM_001257191chr11:118618472</t>
  </si>
  <si>
    <t>NM_003046chr8:17396286</t>
  </si>
  <si>
    <t>NM_001110199:3731134</t>
  </si>
  <si>
    <t>NM_001322178chr16:76311115</t>
  </si>
  <si>
    <t>NM_014735:161994</t>
  </si>
  <si>
    <t>NM_001346048chr5:180682147</t>
  </si>
  <si>
    <t>NM_173824chr3:88198893</t>
  </si>
  <si>
    <t>NM_001301224chr15:78396948</t>
  </si>
  <si>
    <t>NR_037170:3591246</t>
  </si>
  <si>
    <t>NM_001278735chr19:58694356</t>
  </si>
  <si>
    <t>NM_015653chr22:45809572</t>
  </si>
  <si>
    <t>NM_012429chr22:30792930</t>
  </si>
  <si>
    <t>NM_001346748chr17:29815019</t>
  </si>
  <si>
    <t>NM_001289160:2756365</t>
  </si>
  <si>
    <t>NR_136574chr22:18660804</t>
  </si>
  <si>
    <t>NM_001077511:2508260</t>
  </si>
  <si>
    <t>NM_001318875:2043580</t>
  </si>
  <si>
    <t>NM_001282619:3989</t>
  </si>
  <si>
    <t>NM_001136557:1502</t>
  </si>
  <si>
    <t>NM_020246chr7:100450341</t>
  </si>
  <si>
    <t>NM_015509chr12:8234807</t>
  </si>
  <si>
    <t>NR_028032:1241473</t>
  </si>
  <si>
    <t>NM_024772chr1:35544972</t>
  </si>
  <si>
    <t>NM_001202522:2238422</t>
  </si>
  <si>
    <t>NR_103542:1491592</t>
  </si>
  <si>
    <t>NR_046139:6422526</t>
  </si>
  <si>
    <t>NM_001199698:2900437</t>
  </si>
  <si>
    <t>NM_001278510chr19:44930423</t>
  </si>
  <si>
    <t>NM_013364chrX:152224766</t>
  </si>
  <si>
    <t>NM_178128chr17:72873431</t>
  </si>
  <si>
    <t>NR_075083chr16:3589033</t>
  </si>
  <si>
    <t>NM_001277813chr8:64081112</t>
  </si>
  <si>
    <t>NM_001291641chr17:73232687</t>
  </si>
  <si>
    <t>NM_181985:288421</t>
  </si>
  <si>
    <t>NR_130642chr22:22838767</t>
  </si>
  <si>
    <t>NR_002139:1062458</t>
  </si>
  <si>
    <t>NM_001289161:2975498</t>
  </si>
  <si>
    <t>NR_024048chrX:153639854</t>
  </si>
  <si>
    <t>NM_177457chr8:143852615</t>
  </si>
  <si>
    <t>NM_001173531:2467051</t>
  </si>
  <si>
    <t>NR_138257:1147640</t>
  </si>
  <si>
    <t>NR_136246:3602827</t>
  </si>
  <si>
    <t>NM_178167chr16:2047653</t>
  </si>
  <si>
    <t>NR_033191chr10:133747957</t>
  </si>
  <si>
    <t>NR_110551chr19:53935227</t>
  </si>
  <si>
    <t>NM_181985:281437</t>
  </si>
  <si>
    <t>NM_007109:2474681</t>
  </si>
  <si>
    <t>NR_133652chr7:150709297</t>
  </si>
  <si>
    <t>NM_001267546chr20:62329995</t>
  </si>
  <si>
    <t>NR_003948:2335936</t>
  </si>
  <si>
    <t>NM_206814:1143559</t>
  </si>
  <si>
    <t>NM_001163321:1298395</t>
  </si>
  <si>
    <t>NM_015578:20188</t>
  </si>
  <si>
    <t>NM_012314chr19:55344131</t>
  </si>
  <si>
    <t>NM_198988:368310</t>
  </si>
  <si>
    <t>NM_006468chr1:145590666</t>
  </si>
  <si>
    <t>NM_004636chr3:50304990</t>
  </si>
  <si>
    <t>NR_111953chr1:149576161</t>
  </si>
  <si>
    <t>NM_001143806chr11:27676440</t>
  </si>
  <si>
    <t>NM_207421chr1:17698691</t>
  </si>
  <si>
    <t>NM_001164417chrX:52780281</t>
  </si>
  <si>
    <t>NM_032932chr17:29718698</t>
  </si>
  <si>
    <t>NM_001145102chr15:67418054</t>
  </si>
  <si>
    <t>NM_007213:1310590</t>
  </si>
  <si>
    <t>NM_001291831:3731129</t>
  </si>
  <si>
    <t>NM_001207043:1275793</t>
  </si>
  <si>
    <t>NM_001008229:1143559</t>
  </si>
  <si>
    <t>NM_000257chr14:23881947</t>
  </si>
  <si>
    <t>NM_001322188chr16:76311115</t>
  </si>
  <si>
    <t>NM_001303542chr17:29815019</t>
  </si>
  <si>
    <t>NR_001434:123489</t>
  </si>
  <si>
    <t>NM_198883:7274</t>
  </si>
  <si>
    <t>NM_182700chr7:20821894</t>
  </si>
  <si>
    <t>NM_001322469:2307538</t>
  </si>
  <si>
    <t>NM_001276282chr10:116853124</t>
  </si>
  <si>
    <t>NR_001434:1097228</t>
  </si>
  <si>
    <t>NM_181985:288498</t>
  </si>
  <si>
    <t>NR_134669chr4:37003401</t>
  </si>
  <si>
    <t>NR_003587chr17:73584139</t>
  </si>
  <si>
    <t>NR_026901:1188439</t>
  </si>
  <si>
    <t>NM_001303487chr10:51026321</t>
  </si>
  <si>
    <t>NR_033383chr5:12798873</t>
  </si>
  <si>
    <t>NM_001322370:2263148</t>
  </si>
  <si>
    <t>NR_037903chr3:4939910</t>
  </si>
  <si>
    <t>NM_001281971:450915</t>
  </si>
  <si>
    <t>NM_021732chr10:99437181</t>
  </si>
  <si>
    <t>NR_003922:1374288</t>
  </si>
  <si>
    <t>NM_006120:4360917</t>
  </si>
  <si>
    <t>NM_001254717:4518583</t>
  </si>
  <si>
    <t>NM_006383chr15:78396948</t>
  </si>
  <si>
    <t>NM_001289160:2972328</t>
  </si>
  <si>
    <t>NM_001346330chr11:46638826</t>
  </si>
  <si>
    <t>NM_001203251:762280</t>
  </si>
  <si>
    <t>NM_003224chr20:62329995</t>
  </si>
  <si>
    <t>NM_170732chr11:27676440</t>
  </si>
  <si>
    <t>NM_001001971chr10:61005889</t>
  </si>
  <si>
    <t>NM_001301782chr19:54972976</t>
  </si>
  <si>
    <t>NM_182763chr1:150547027</t>
  </si>
  <si>
    <t>NR_136268:437417</t>
  </si>
  <si>
    <t>NM_182703chr15:65204101</t>
  </si>
  <si>
    <t>NR_110723chr19:37988061</t>
  </si>
  <si>
    <t>NR_136244:3565774</t>
  </si>
  <si>
    <t>NR_026697chr17:40731526</t>
  </si>
  <si>
    <t>NM_001207043:1063331</t>
  </si>
  <si>
    <t>NM_007109:2461239</t>
  </si>
  <si>
    <t>NR_047529chr19:51670585</t>
  </si>
  <si>
    <t>NR_132323:1275793</t>
  </si>
  <si>
    <t>NM_001001420chr5:135468534</t>
  </si>
  <si>
    <t>NM_173477chr17:72912176</t>
  </si>
  <si>
    <t>NM_014735chrX:46771868</t>
  </si>
  <si>
    <t>NM_001277817chr8:64081186</t>
  </si>
  <si>
    <t>NM_206812:928111</t>
  </si>
  <si>
    <t>NM_001301782:366484</t>
  </si>
  <si>
    <t>NM_001290204chr3:53317443</t>
  </si>
  <si>
    <t>NM_014448chr1:3371147</t>
  </si>
  <si>
    <t>NM_001324275chrX:148622175</t>
  </si>
  <si>
    <t>NM_001145104chr15:67458493</t>
  </si>
  <si>
    <t>NM_001346340chr11:46638826</t>
  </si>
  <si>
    <t>NM_000544:4074733</t>
  </si>
  <si>
    <t>NM_000922:147803</t>
  </si>
  <si>
    <t>NR_111917chr7:100331249</t>
  </si>
  <si>
    <t>NM_001346353chr11:46638826</t>
  </si>
  <si>
    <t>NM_001291838chr7:50348276</t>
  </si>
  <si>
    <t>NM_001136479:7033830</t>
  </si>
  <si>
    <t>NR_134630:546441</t>
  </si>
  <si>
    <t>NM_001008229:927947</t>
  </si>
  <si>
    <t>NM_019857chrX:16606122</t>
  </si>
  <si>
    <t>NR_002328:2734426</t>
  </si>
  <si>
    <t>NM_181312chrX:153639854</t>
  </si>
  <si>
    <t>NM_005931:2796643</t>
  </si>
  <si>
    <t>NR_103518:340900</t>
  </si>
  <si>
    <t>NM_001081637:340900</t>
  </si>
  <si>
    <t>NM_014596:1322018</t>
  </si>
  <si>
    <t>NM_181313chrX:153639854</t>
  </si>
  <si>
    <t>NR_026973:1013144</t>
  </si>
  <si>
    <t>NM_001143816chr11:27676440</t>
  </si>
  <si>
    <t>NM_001278734chr19:58694356</t>
  </si>
  <si>
    <t>NM_005931:2759546</t>
  </si>
  <si>
    <t>NM_001346316chr11:46638826</t>
  </si>
  <si>
    <t>NM_001243962:3905878</t>
  </si>
  <si>
    <t>NR_034118:13278</t>
  </si>
  <si>
    <t>NM_032595chr17:48211099</t>
  </si>
  <si>
    <t>NM_001346870chr5:68900156</t>
  </si>
  <si>
    <t>NM_001282675chr11:35453374</t>
  </si>
  <si>
    <t>NM_006389:65785</t>
  </si>
  <si>
    <t>NR_074088chr10:116853124</t>
  </si>
  <si>
    <t>NM_001346349chr11:46638826</t>
  </si>
  <si>
    <t>NR_024240:1266664</t>
  </si>
  <si>
    <t>NM_138706chr11:76745385</t>
  </si>
  <si>
    <t>NM_002586:3500238</t>
  </si>
  <si>
    <t>NR_001434:1186707</t>
  </si>
  <si>
    <t>NM_007109:2508260</t>
  </si>
  <si>
    <t>NM_001330164:82188</t>
  </si>
  <si>
    <t>NR_117087chr19:21264953</t>
  </si>
  <si>
    <t>NM_001278702chrX:52780281</t>
  </si>
  <si>
    <t>NM_206811:928111</t>
  </si>
  <si>
    <t>NM_001198815:2307538</t>
  </si>
  <si>
    <t>NM_001282597chr2:79740060</t>
  </si>
  <si>
    <t>NM_001290145chr17:26673654</t>
  </si>
  <si>
    <t>NM_198563chr3:52870772</t>
  </si>
  <si>
    <t>NM_020945chr10:49893518</t>
  </si>
  <si>
    <t>NM_003506chr8:104311059</t>
  </si>
  <si>
    <t>NR_003242:5899965</t>
  </si>
  <si>
    <t>NM_015888chr1:60280533</t>
  </si>
  <si>
    <t>NM_001286053chr4:53179</t>
  </si>
  <si>
    <t>NM_001012755chrX:103343898</t>
  </si>
  <si>
    <t>NR_110523chr22:49808173</t>
  </si>
  <si>
    <t>NM_001291587chr17:41363846</t>
  </si>
  <si>
    <t>NM_003441:327807</t>
  </si>
  <si>
    <t>NM_001289154:2713997</t>
  </si>
  <si>
    <t>NM_181311:1845520</t>
  </si>
  <si>
    <t>NM_021960chr1:150547027</t>
  </si>
  <si>
    <t>NM_001113182:4226965</t>
  </si>
  <si>
    <t>NR_026595chrX:72161568</t>
  </si>
  <si>
    <t>NM_014518chr19:44930423</t>
  </si>
  <si>
    <t>NM_001008228:928077</t>
  </si>
  <si>
    <t>NR_110885chr5:77656327</t>
  </si>
  <si>
    <t>NM_001177507chr7:36552549</t>
  </si>
  <si>
    <t>NR_136755chr10:51026321</t>
  </si>
  <si>
    <t>NM_001318908:2461237</t>
  </si>
  <si>
    <t>NM_001319chr19:1941161</t>
  </si>
  <si>
    <t>NM_206811:1143559</t>
  </si>
  <si>
    <t>NM_053051chr17:7835442</t>
  </si>
  <si>
    <t>NM_001282919:16012</t>
  </si>
  <si>
    <t>NM_198956chr7:20821894</t>
  </si>
  <si>
    <t>NM_001254717:4567658</t>
  </si>
  <si>
    <t>NR_027116chr6:961241</t>
  </si>
  <si>
    <t>NR_136245:3570720</t>
  </si>
  <si>
    <t>NR_033321chr22:27053446</t>
  </si>
  <si>
    <t>NR_026901chr17:43677483</t>
  </si>
  <si>
    <t>NM_001289161:2796643</t>
  </si>
  <si>
    <t>NM_206809:928077</t>
  </si>
  <si>
    <t>NM_001288813:429323</t>
  </si>
  <si>
    <t>NR_104014chr1:147905097</t>
  </si>
  <si>
    <t>NM_002117:2570005</t>
  </si>
  <si>
    <t>NR_103542:1273221</t>
  </si>
  <si>
    <t>NM_001288615:7487</t>
  </si>
  <si>
    <t>NM_001290145:28496</t>
  </si>
  <si>
    <t>NM_000949chr5:35055802</t>
  </si>
  <si>
    <t>NR_132323:33914</t>
  </si>
  <si>
    <t>NR_001434:1150043</t>
  </si>
  <si>
    <t>NM_001289160:2842421</t>
  </si>
  <si>
    <t>NM_001282489chr17:72912176</t>
  </si>
  <si>
    <t>NM_003441chr4:331596</t>
  </si>
  <si>
    <t>NM_001010855chr17:8706041</t>
  </si>
  <si>
    <t>NM_001051chr22:37600277</t>
  </si>
  <si>
    <t>NM_001171907:5065372</t>
  </si>
  <si>
    <t>NM_001317796chr8:104311059</t>
  </si>
  <si>
    <t>NR_026811chr15:82763613</t>
  </si>
  <si>
    <t>NM_001077446:166217</t>
  </si>
  <si>
    <t>NR_136756chr10:51026321</t>
  </si>
  <si>
    <t>NM_138619chr17:73232694</t>
  </si>
  <si>
    <t>NM_001252339chr20:60174817</t>
  </si>
  <si>
    <t>NM_001322181chr16:76311115</t>
  </si>
  <si>
    <t>NM_006621chr1:110527387</t>
  </si>
  <si>
    <t>NR_136752chr10:51026321</t>
  </si>
  <si>
    <t>NM_001202523:2164481</t>
  </si>
  <si>
    <t>NM_031309chr8:145554228</t>
  </si>
  <si>
    <t>NM_178172chr8:144295068</t>
  </si>
  <si>
    <t>NR_136543chr21:17566699</t>
  </si>
  <si>
    <t>NM_007178chr12:16035288</t>
  </si>
  <si>
    <t>NR_001434:1150399</t>
  </si>
  <si>
    <t>NM_007109:2422154</t>
  </si>
  <si>
    <t>NM_001346317chr11:46638826</t>
  </si>
  <si>
    <t>NR_103542:1278452</t>
  </si>
  <si>
    <t>NM_001330737chr10:97890037</t>
  </si>
  <si>
    <t>NM_001170418:927947</t>
  </si>
  <si>
    <t>NM_002586:3413530</t>
  </si>
  <si>
    <t>NM_001199698:2937602</t>
  </si>
  <si>
    <t>NM_024075:164635</t>
  </si>
  <si>
    <t>NM_001346322chr11:46638826</t>
  </si>
  <si>
    <t>NM_015378chr1:12290096</t>
  </si>
  <si>
    <t>NR_027468chr1:147905097</t>
  </si>
  <si>
    <t>NR_135482:102503</t>
  </si>
  <si>
    <t>NM_001264:2380037</t>
  </si>
  <si>
    <t>NM_001291328chr2:24299744</t>
  </si>
  <si>
    <t>NM_001202521:2238422</t>
  </si>
  <si>
    <t>NM_001346351chr11:46638826</t>
  </si>
  <si>
    <t>NM_080669:76503</t>
  </si>
  <si>
    <t>NM_032950chr17:34092876</t>
  </si>
  <si>
    <t>NM_001135769chr19:45147098</t>
  </si>
  <si>
    <t>NM_020899chr17:7362685</t>
  </si>
  <si>
    <t>NM_001286052chr4:53179</t>
  </si>
  <si>
    <t>NR_103518:338148</t>
  </si>
  <si>
    <t>NM_024318:211369</t>
  </si>
  <si>
    <t>NM_001288616:15815</t>
  </si>
  <si>
    <t>NM_014219:721354</t>
  </si>
  <si>
    <t>NR_109948:28732</t>
  </si>
  <si>
    <t>NM_001303018:954315</t>
  </si>
  <si>
    <t>NM_000544:4080359</t>
  </si>
  <si>
    <t>NM_014741chr11:46638826</t>
  </si>
  <si>
    <t>NM_004639:2900437</t>
  </si>
  <si>
    <t>NM_030920:7033830</t>
  </si>
  <si>
    <t>NM_172209:4499711</t>
  </si>
  <si>
    <t>NM_130445chr21:46825052</t>
  </si>
  <si>
    <t>NM_014001chr17:73232687</t>
  </si>
  <si>
    <t>NM_001297653:2168105</t>
  </si>
  <si>
    <t>NM_001289089chr1:35544964</t>
  </si>
  <si>
    <t>NR_111988chr17:34083268</t>
  </si>
  <si>
    <t>NM_031901chr1:150266262</t>
  </si>
  <si>
    <t>NM_001290061chr3:50306593</t>
  </si>
  <si>
    <t>NM_001199120:1660981</t>
  </si>
  <si>
    <t>NM_001193465:563498</t>
  </si>
  <si>
    <t>NM_206811:928284</t>
  </si>
  <si>
    <t>NM_001291586chr17:41363846</t>
  </si>
  <si>
    <t>NM_033489chr1:1570603</t>
  </si>
  <si>
    <t>NM_002122:4061343</t>
  </si>
  <si>
    <t>NM_020137:1213152</t>
  </si>
  <si>
    <t>NM_001289161:2816315</t>
  </si>
  <si>
    <t>NM_016841:762280</t>
  </si>
  <si>
    <t>NM_001322370:2463409</t>
  </si>
  <si>
    <t>NM_001282620:3989</t>
  </si>
  <si>
    <t>NM_006472chr1:145438438</t>
  </si>
  <si>
    <t>NM_001303523chr14:21945335</t>
  </si>
  <si>
    <t>NM_001077445:161862</t>
  </si>
  <si>
    <t>NM_001127180:129906</t>
  </si>
  <si>
    <t>NM_001077511:2423431</t>
  </si>
  <si>
    <t>NM_001077446:165620</t>
  </si>
  <si>
    <t>NM_001290185:89352</t>
  </si>
  <si>
    <t>NM_001345989:489200</t>
  </si>
  <si>
    <t>NR_110752chr15:22067874</t>
  </si>
  <si>
    <t>NM_001282333chr19:54694119</t>
  </si>
  <si>
    <t>NM_000116chrX:153639854</t>
  </si>
  <si>
    <t>NM_001170418:928111</t>
  </si>
  <si>
    <t>NR_136754chr10:51026321</t>
  </si>
  <si>
    <t>NM_001304457:225408</t>
  </si>
  <si>
    <t>NM_001145073:2069296</t>
  </si>
  <si>
    <t>NM_006120:4197729</t>
  </si>
  <si>
    <t>NR_037172:3381593</t>
  </si>
  <si>
    <t>NM_001134758chr20:62329995</t>
  </si>
  <si>
    <t>NM_001012964chr19:51461887</t>
  </si>
  <si>
    <t>NM_001313972chr1:145439347</t>
  </si>
  <si>
    <t>NM_001291605chr2:95831162</t>
  </si>
  <si>
    <t>NM_001290207chr3:53317443</t>
  </si>
  <si>
    <t>NM_001309516chr2:209224569</t>
  </si>
  <si>
    <t>NM_001001520chr19:4472193</t>
  </si>
  <si>
    <t>NM_001313998chr17:40962150</t>
  </si>
  <si>
    <t>NM_015203:7179927</t>
  </si>
  <si>
    <t>NM_001025077chr10:11047259</t>
  </si>
  <si>
    <t>NM_013282chr19:4910379</t>
  </si>
  <si>
    <t>NM_032102:188197</t>
  </si>
  <si>
    <t>NR_033936chr15:82763613</t>
  </si>
  <si>
    <t>NM_001205121chr11:46638826</t>
  </si>
  <si>
    <t>NM_004447chr12:15773075</t>
  </si>
  <si>
    <t>NM_001264:2464790</t>
  </si>
  <si>
    <t>NM_001145303:134945</t>
  </si>
  <si>
    <t>NM_001039703chr1:145293371</t>
  </si>
  <si>
    <t>NM_001280560chr1:150190717</t>
  </si>
  <si>
    <t>NR_138259:1143724</t>
  </si>
  <si>
    <t>NM_001346352chr11:46638826</t>
  </si>
  <si>
    <t>NR_110769chr11:125439283</t>
  </si>
  <si>
    <t>NM_001330419chr11:125439283</t>
  </si>
  <si>
    <t>NM_080760chr13:72012098</t>
  </si>
  <si>
    <t>NR_111945chr1:13194518</t>
  </si>
  <si>
    <t>NM_025010chr3:47324330</t>
  </si>
  <si>
    <t>NR_024383chr5:87960263</t>
  </si>
  <si>
    <t>NM_006120:4253244</t>
  </si>
  <si>
    <t>NM_032790:302553</t>
  </si>
  <si>
    <t>NM_001346327chr11:46638826</t>
  </si>
  <si>
    <t>NM_018646:1074316</t>
  </si>
  <si>
    <t>NM_206814:928284</t>
  </si>
  <si>
    <t>NM_199478chrX:103031721</t>
  </si>
  <si>
    <t>NM_004397chr11:118618472</t>
  </si>
  <si>
    <t>NM_001297652:2144493</t>
  </si>
  <si>
    <t>NM_030652:3475209</t>
  </si>
  <si>
    <t>NM_001285987:2427966</t>
  </si>
  <si>
    <t>NM_001280559:7033830</t>
  </si>
  <si>
    <t>NM_001858chr6:70576448</t>
  </si>
  <si>
    <t>NM_001199237:2959804</t>
  </si>
  <si>
    <t>NR_044997:4697538</t>
  </si>
  <si>
    <t>NM_015077chr17:26698683</t>
  </si>
  <si>
    <t>NM_001205254:275660</t>
  </si>
  <si>
    <t>NM_001033580chr17:34868917</t>
  </si>
  <si>
    <t>NR_136268:507059</t>
  </si>
  <si>
    <t>NM_024318:210960</t>
  </si>
  <si>
    <t>NM_001297654:2168105</t>
  </si>
  <si>
    <t>NM_018403:132378</t>
  </si>
  <si>
    <t>NM_001322370:2245620</t>
  </si>
  <si>
    <t>NM_000533chrX:103031721</t>
  </si>
  <si>
    <t>NR_024437:1457</t>
  </si>
  <si>
    <t>NM_001291309chr15:101844133</t>
  </si>
  <si>
    <t>NM_001271836:1292861</t>
  </si>
  <si>
    <t>NM_018997chr1:150266262</t>
  </si>
  <si>
    <t>NM_001040282:313367</t>
  </si>
  <si>
    <t>NR_125425chr8:2387219</t>
  </si>
  <si>
    <t>NM_001243999chr19:50922195</t>
  </si>
  <si>
    <t>NR_136244:3502148</t>
  </si>
  <si>
    <t>NM_006249chr12:11418847</t>
  </si>
  <si>
    <t>NM_001324274chrX:148622175</t>
  </si>
  <si>
    <t>NM_001282385:2919236</t>
  </si>
  <si>
    <t>NR_024560:891434</t>
  </si>
  <si>
    <t>NM_001291989:4393584</t>
  </si>
  <si>
    <t>NM_001319948chr19:51461887</t>
  </si>
  <si>
    <t>NM_206811:928077</t>
  </si>
  <si>
    <t>NM_014219:712884</t>
  </si>
  <si>
    <t>NM_001123067:762280</t>
  </si>
  <si>
    <t>NM_001637chr7:36552549</t>
  </si>
  <si>
    <t>NM_001317975chr5:175810940</t>
  </si>
  <si>
    <t>NM_002122:4055571</t>
  </si>
  <si>
    <t>NM_001291476chr17:35969787</t>
  </si>
  <si>
    <t>NM_014455chr1:145610990</t>
  </si>
  <si>
    <t>NR_036483chr7:141968101</t>
  </si>
  <si>
    <t>NR_132750chr6:3025025</t>
  </si>
  <si>
    <t>NM_172166:3038543</t>
  </si>
  <si>
    <t>NM_001287349chr3:44540462</t>
  </si>
  <si>
    <t>NM_001346313chr11:46638826</t>
  </si>
  <si>
    <t>NM_001090:1832805</t>
  </si>
  <si>
    <t>NR_037846:3001363</t>
  </si>
  <si>
    <t>NM_001077511:2461239</t>
  </si>
  <si>
    <t>NM_001936chr7:154002297</t>
  </si>
  <si>
    <t>NM_001346324chr11:46638826</t>
  </si>
  <si>
    <t>NM_206812:928284</t>
  </si>
  <si>
    <t>NM_080703:2900437</t>
  </si>
  <si>
    <t>NM_001303481chr7:148892554</t>
  </si>
  <si>
    <t>NM_001288811:429323</t>
  </si>
  <si>
    <t>NR_103796chr21:34915344</t>
  </si>
  <si>
    <t>NM_001141970:4518583</t>
  </si>
  <si>
    <t>NM_001123066:762280</t>
  </si>
  <si>
    <t>NM_001143773chr10:61005889</t>
  </si>
  <si>
    <t>NM_182895chr22:20778874</t>
  </si>
  <si>
    <t>NM_001345990:489200</t>
  </si>
  <si>
    <t>NM_005803:2043605</t>
  </si>
  <si>
    <t>NR_027822:1739435</t>
  </si>
  <si>
    <t>NM_170734chr11:27676440</t>
  </si>
  <si>
    <t>NM_001005914chr3:50304990</t>
  </si>
  <si>
    <t>NR_109783chr17:77681075</t>
  </si>
  <si>
    <t>NM_004879chr11:125439283</t>
  </si>
  <si>
    <t>NR_002139:1274920</t>
  </si>
  <si>
    <t>NR_047530chr19:51670585</t>
  </si>
  <si>
    <t>NM_170731chr11:27676440</t>
  </si>
  <si>
    <t>NM_005104:4226965</t>
  </si>
  <si>
    <t>NM_005671chr8:30601682</t>
  </si>
  <si>
    <t>NM_003715chr4:76649706</t>
  </si>
  <si>
    <t>NM_001220766chr7:50344378</t>
  </si>
  <si>
    <t>NM_001144002chrX:16606122</t>
  </si>
  <si>
    <t>NM_052828:1501605</t>
  </si>
  <si>
    <t>NR_033375:950841</t>
  </si>
  <si>
    <t>NM_001346338chr11:46638826</t>
  </si>
  <si>
    <t>NM_001083591chr10:11206993</t>
  </si>
  <si>
    <t>NR_102327:1603265</t>
  </si>
  <si>
    <t>NR_102326:1603265</t>
  </si>
  <si>
    <t>NM_001205255:287074</t>
  </si>
  <si>
    <t>NM_000247:2717805</t>
  </si>
  <si>
    <t>NM_001346754chr17:34890589</t>
  </si>
  <si>
    <t>NM_001141969:4518583</t>
  </si>
  <si>
    <t>NM_006241chr3:195241218</t>
  </si>
  <si>
    <t>NM_021729chr11:118938463</t>
  </si>
  <si>
    <t>NM_080702:2900437</t>
  </si>
  <si>
    <t>NM_001081450:190645</t>
  </si>
  <si>
    <t>NM_007010chr17:35969787</t>
  </si>
  <si>
    <t>NM_001128853chr7:100472701</t>
  </si>
  <si>
    <t>NM_025236:1331022</t>
  </si>
  <si>
    <t>NM_002127:1095341</t>
  </si>
  <si>
    <t>NM_031455chr10:12938625</t>
  </si>
  <si>
    <t>NM_001318908:2423429</t>
  </si>
  <si>
    <t>NR_073169chr7:150709297</t>
  </si>
  <si>
    <t>XM_001724242chr2:133064717</t>
  </si>
  <si>
    <t>XR_247457:1436236</t>
  </si>
  <si>
    <t>XR_108964chr9:84672562</t>
  </si>
  <si>
    <t>XR_108924chr9:3465047</t>
  </si>
  <si>
    <t>XR_110095chr9:139510734</t>
  </si>
  <si>
    <t>XR_254201:920682</t>
  </si>
  <si>
    <t>XR_246555chr5:99724925</t>
  </si>
  <si>
    <t>XR_241815chr5:69803699</t>
  </si>
  <si>
    <t>XR_159035chr3:197233064</t>
  </si>
  <si>
    <t>XR_254426:376009</t>
  </si>
  <si>
    <t>XR_247003chr1:145136108</t>
  </si>
  <si>
    <t>XM_001717074chr1:246934900</t>
  </si>
  <si>
    <t>XR_246983chr21:10207468</t>
  </si>
  <si>
    <t>XR_171099chr10:43248359</t>
  </si>
  <si>
    <t>XM_005269378chr3:195663426</t>
  </si>
  <si>
    <t>XR_246948chr1:142834448</t>
  </si>
  <si>
    <t>XR_132563chr9:99942170</t>
  </si>
  <si>
    <t>XR_254313:659357</t>
  </si>
  <si>
    <t>XR_243331chr16:950534</t>
  </si>
  <si>
    <t>XR_132501chr5:21481416</t>
  </si>
  <si>
    <t>XR_171073chr19:19862304</t>
  </si>
  <si>
    <t>XR_254306:737858</t>
  </si>
  <si>
    <t>XR_133570:7</t>
  </si>
  <si>
    <t>XR_245823chr14:105127457</t>
  </si>
  <si>
    <t>XR_244344chr22:18859683</t>
  </si>
  <si>
    <t>XR_171057chr10:30653087</t>
  </si>
  <si>
    <t>XR_109760chrX:55653184</t>
  </si>
  <si>
    <t>XM_005254825chr15:32781204</t>
  </si>
  <si>
    <t>XR_247332:49283</t>
  </si>
  <si>
    <t>XR_159013chr13:52793490</t>
  </si>
  <si>
    <t>XR_247086chr1:228158932</t>
  </si>
  <si>
    <t>XR_241840chr5:69194037</t>
  </si>
  <si>
    <t>XR_246209chr10:47395845</t>
  </si>
  <si>
    <t>XR_158923chr17:78942487</t>
  </si>
  <si>
    <t>XR_243609chr17:19482870</t>
  </si>
  <si>
    <t>XR_241993chr6:26866058</t>
  </si>
  <si>
    <t>XR_254375:412331</t>
  </si>
  <si>
    <t>XR_246663chr15:83188579</t>
  </si>
  <si>
    <t>XM_005272366chr15:21224717</t>
  </si>
  <si>
    <t>XM_003960991:291607</t>
  </si>
  <si>
    <t>XR_241841chr5:70069919</t>
  </si>
  <si>
    <t>XR_246662chr15:83144361</t>
  </si>
  <si>
    <t>XR_241839chr5:68912492</t>
  </si>
  <si>
    <t>XR_132610chr16:33778506</t>
  </si>
  <si>
    <t>XR_247338:11683</t>
  </si>
  <si>
    <t>XR_158875chr13:111108049</t>
  </si>
  <si>
    <t>XM_002342102chr1:41827328</t>
  </si>
  <si>
    <t>XR_254429:404263</t>
  </si>
  <si>
    <t>XR_242446chr8:128098487</t>
  </si>
  <si>
    <t>XR_245883chr5:139949589</t>
  </si>
  <si>
    <t>XR_171081chr2:85541405</t>
  </si>
  <si>
    <t>XR_159176:6200466</t>
  </si>
  <si>
    <t>XR_108436chr2:223181254</t>
  </si>
  <si>
    <t>XR_158937chr19:35032794</t>
  </si>
  <si>
    <t>XM_001717544chr3:44539924</t>
  </si>
  <si>
    <t>XR_242178chr7:28449490</t>
  </si>
  <si>
    <t>XR_242362chr7:63205545</t>
  </si>
  <si>
    <t>XR_243343chr16:3725411</t>
  </si>
  <si>
    <t>XR_254450:1546</t>
  </si>
  <si>
    <t>XR_241774chr5:34189600</t>
  </si>
  <si>
    <t>XR_243783chr17:26595835</t>
  </si>
  <si>
    <t>XM_005260180chr19:24015249</t>
  </si>
  <si>
    <t>XR_254410:1976940</t>
  </si>
  <si>
    <t>XR_254263:660683</t>
  </si>
  <si>
    <t>XR_242367chr7:65304690</t>
  </si>
  <si>
    <t>XR_254206:631862</t>
  </si>
  <si>
    <t>XM_005248223chr4:9155022</t>
  </si>
  <si>
    <t>XM_005266194chr12:133049334</t>
  </si>
  <si>
    <t>XR_243515chr16:90231818</t>
  </si>
  <si>
    <t>XR_243328chr16:690069</t>
  </si>
  <si>
    <t>XR_243601chr17:18314479</t>
  </si>
  <si>
    <t>XM_005263846chr2:132795056</t>
  </si>
  <si>
    <t>XM_005277533:84891</t>
  </si>
  <si>
    <t>XR_158834chr7:64601577</t>
  </si>
  <si>
    <t>XR_247163chr9:43614803</t>
  </si>
  <si>
    <t>XR_171082chr3:48331769</t>
  </si>
  <si>
    <t>XR_245650chr6:160874232</t>
  </si>
  <si>
    <t>XR_254207:652315</t>
  </si>
  <si>
    <t>XR_244264chr20:23456337</t>
  </si>
  <si>
    <t>XR_242363chr7:63211246</t>
  </si>
  <si>
    <t>XR_132593chr15:62534950</t>
  </si>
  <si>
    <t>XR_245319chr8:182419</t>
  </si>
  <si>
    <t>XM_003403461chr16:21845889</t>
  </si>
  <si>
    <t>XR_243514chr16:90233944</t>
  </si>
  <si>
    <t>XR_247455:1407982</t>
  </si>
  <si>
    <t>XR_171111:79335</t>
  </si>
  <si>
    <t>XR_246528chr10:46195632</t>
  </si>
  <si>
    <t>XR_244453chr22:21522231</t>
  </si>
  <si>
    <t>XR_158882chr15:80728619</t>
  </si>
  <si>
    <t>NR_110830chrX:1314869</t>
    <phoneticPr fontId="1" type="noConversion"/>
  </si>
  <si>
    <t>combin</t>
    <phoneticPr fontId="1" type="noConversion"/>
  </si>
  <si>
    <t>第一次纠后信息</t>
    <phoneticPr fontId="1" type="noConversion"/>
  </si>
  <si>
    <t>第二次纠后信息</t>
    <phoneticPr fontId="1" type="noConversion"/>
  </si>
  <si>
    <t>多321个氨基酸，但rs号是多350个chr7:139257673-139316492</t>
  </si>
  <si>
    <t>无rs号验证，氨基酸加1个chrY:1264871-1264998</t>
  </si>
  <si>
    <t>Browser与原结果匹配，纠后与rs匹配(rs746499983)chr19:55350966-55359398</t>
  </si>
  <si>
    <t>纠后正确，加1个氨基酸chr8:86126795-86126826</t>
  </si>
  <si>
    <t>纠后正确，加53个氨基酸chr3:51436200-51467663</t>
  </si>
  <si>
    <t>多98个氨基酸，但无法验证哪个正确，NCBIrs无氨基酸注释信息chr1:223715199-223743130</t>
  </si>
  <si>
    <t>纠后正确，加2个氨基酸chr4:3076663-3241786</t>
  </si>
  <si>
    <t>Browser与原结果匹配，纠后与rs匹配（rs782094811）chr5：140568037-140569285</t>
  </si>
  <si>
    <t>纠后正确，少1个氨基酸chr20:278691-279442</t>
  </si>
  <si>
    <t>纠后正确，少3个氨基酸chr21:46924462-46932312</t>
  </si>
  <si>
    <t>纠后正确，少1个氨基酸chr10:102587349-102587376</t>
  </si>
  <si>
    <t>纠后正确，加1个氨基酸chr14:24646414-24649301</t>
  </si>
  <si>
    <t>纠后正确，且氨基酸少5个chr19：4499665-4502022</t>
  </si>
  <si>
    <t>纠后正确，加1个氨基酸chr17:6928051-6930938</t>
  </si>
  <si>
    <t>纠后正确，少1个氨基酸chr19:56599389-56599751</t>
  </si>
  <si>
    <t>纠后正确，加1个氨基酸chr19:50881825-50885859</t>
  </si>
  <si>
    <t>纠后正确，少1个氨基酸chr12:9994450-9997125</t>
  </si>
  <si>
    <t>纠后正确，加1个氨基酸chr18：43833705-43843081</t>
  </si>
  <si>
    <t>纠后正确，少3个氨基酸chr21:46924440-46932312</t>
  </si>
  <si>
    <t>无法验证，NCBIrs无此变体（rs747453609），纠后氨基酸少3个chr2:217498311-217528827</t>
  </si>
  <si>
    <t>无rs号验证，氨基酸加1个chrX:1314875-1314998</t>
  </si>
  <si>
    <t>多出1828个氨基酸，但无法验证哪个正确，NCBIrs无氨基酸注释信息chr11:1092802-1104263</t>
  </si>
  <si>
    <t>纠后正确，少1个氨基酸，chr2：95847047-95847854</t>
  </si>
  <si>
    <t>纠后正确，少5个氨基酸chr21:46020656-46021649</t>
  </si>
  <si>
    <t>纠后正确，加1个氨基酸chr19:21299778-21301135</t>
  </si>
  <si>
    <t>纠后正确，少2个氨基酸chr12：122064785-122079549</t>
  </si>
  <si>
    <t>纠后正确，少1个氨基酸chr9：95227244-95237086</t>
  </si>
  <si>
    <t>纠后正确，少1个氨基酸chr3:124627032-124646509</t>
  </si>
  <si>
    <t>纠后正确，氨基酸少1个，chr2：95847047-95847854</t>
  </si>
  <si>
    <t>纠后正确，少2个氨基酸chr3:53321601-53324874</t>
  </si>
  <si>
    <t>纠后正确，加54个氨基酸，chr3:51450739-51467663</t>
  </si>
  <si>
    <t>纠后正确，少4-6个氨基酸chr4:140640477-140811555</t>
  </si>
  <si>
    <t>纠后正确，加1个氨基酸chr2:73613074-73836739</t>
  </si>
  <si>
    <t>纠后正确，少了5个氨基酸chr19:4499665-4502022</t>
  </si>
  <si>
    <t>纠后正确，且氨基酸少1个chr18：43833705-43843081</t>
  </si>
  <si>
    <t>rs号无基因信息，加106个氨基酸chr19：14199229-14200895</t>
  </si>
  <si>
    <t>多149个氨基酸，但rs号是多152个（rs370185461）chr7:139257673-139316492</t>
  </si>
  <si>
    <t>多82个氨基酸，但无法验证哪个正确，NCBIrs无氨基酸注释信息chr7:101957639-101962097</t>
  </si>
  <si>
    <t>NM_005541</t>
    <phoneticPr fontId="1" type="noConversion"/>
  </si>
  <si>
    <t>NM_006158</t>
    <phoneticPr fontId="1" type="noConversion"/>
  </si>
  <si>
    <t>变体是否需要纠错</t>
    <phoneticPr fontId="1" type="noConversion"/>
  </si>
  <si>
    <t>是否存在纠正信息</t>
    <phoneticPr fontId="1" type="noConversion"/>
  </si>
  <si>
    <t>NM_001001419chr5:135468536</t>
    <phoneticPr fontId="1" type="noConversion"/>
  </si>
  <si>
    <t>NM_152720</t>
    <phoneticPr fontId="1" type="noConversion"/>
  </si>
  <si>
    <r>
      <rPr>
        <sz val="10"/>
        <color theme="1"/>
        <rFont val="宋体"/>
        <family val="3"/>
        <charset val="134"/>
      </rPr>
      <t>纠后正确，版本不一致，</t>
    </r>
    <r>
      <rPr>
        <sz val="10"/>
        <color theme="1"/>
        <rFont val="Times New Roman"/>
        <family val="1"/>
      </rPr>
      <t>utr</t>
    </r>
    <r>
      <rPr>
        <sz val="10"/>
        <color theme="1"/>
        <rFont val="宋体"/>
        <family val="3"/>
        <charset val="134"/>
      </rPr>
      <t>略有变化</t>
    </r>
    <phoneticPr fontId="1" type="noConversion"/>
  </si>
  <si>
    <r>
      <rPr>
        <sz val="10"/>
        <color theme="1"/>
        <rFont val="宋体"/>
        <family val="3"/>
        <charset val="134"/>
      </rPr>
      <t>纠后正确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区间略有变化，加</t>
    </r>
    <r>
      <rPr>
        <sz val="10"/>
        <color theme="1"/>
        <rFont val="Times New Roman"/>
        <family val="1"/>
      </rPr>
      <t>57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chr8:79394663-79433358</t>
    </r>
    <phoneticPr fontId="1" type="noConversion"/>
  </si>
  <si>
    <r>
      <rPr>
        <sz val="10"/>
        <color theme="1"/>
        <rFont val="宋体"/>
        <family val="3"/>
        <charset val="134"/>
      </rPr>
      <t>纠后正确，区间略有变化，加</t>
    </r>
    <r>
      <rPr>
        <sz val="10"/>
        <color theme="1"/>
        <rFont val="Times New Roman"/>
        <family val="1"/>
      </rPr>
      <t>433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chr7:130146517-130287359</t>
    </r>
    <phoneticPr fontId="1" type="noConversion"/>
  </si>
  <si>
    <r>
      <rPr>
        <sz val="10"/>
        <color theme="1"/>
        <rFont val="宋体"/>
        <family val="3"/>
        <charset val="134"/>
      </rPr>
      <t>纠后正确，版本不一致，区间有变化，加</t>
    </r>
    <r>
      <rPr>
        <sz val="10"/>
        <color theme="1"/>
        <rFont val="Times New Roman"/>
        <family val="1"/>
      </rPr>
      <t>2668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chr8:144940159-144940299</t>
    </r>
    <phoneticPr fontId="1" type="noConversion"/>
  </si>
  <si>
    <r>
      <rPr>
        <sz val="10"/>
        <color theme="1"/>
        <rFont val="宋体"/>
        <family val="3"/>
        <charset val="134"/>
      </rPr>
      <t>纠后正确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区间略有变化，加</t>
    </r>
    <r>
      <rPr>
        <sz val="10"/>
        <color theme="1"/>
        <rFont val="Times New Roman"/>
        <family val="1"/>
      </rPr>
      <t>66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chr17:40107237-40117669</t>
    </r>
    <phoneticPr fontId="1" type="noConversion"/>
  </si>
  <si>
    <r>
      <rPr>
        <sz val="10"/>
        <color theme="1"/>
        <rFont val="宋体"/>
        <family val="3"/>
        <charset val="134"/>
      </rPr>
      <t>纠后正确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版本不一致，区间有变化</t>
    </r>
    <phoneticPr fontId="1" type="noConversion"/>
  </si>
  <si>
    <r>
      <rPr>
        <sz val="10"/>
        <color theme="1"/>
        <rFont val="宋体"/>
        <family val="3"/>
        <charset val="134"/>
      </rPr>
      <t>纠后正确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版本不一致，</t>
    </r>
    <r>
      <rPr>
        <sz val="10"/>
        <color theme="1"/>
        <rFont val="Times New Roman"/>
        <family val="1"/>
      </rPr>
      <t>utr</t>
    </r>
    <r>
      <rPr>
        <sz val="10"/>
        <color theme="1"/>
        <rFont val="宋体"/>
        <family val="3"/>
        <charset val="134"/>
      </rPr>
      <t>略有变化</t>
    </r>
    <phoneticPr fontId="1" type="noConversion"/>
  </si>
  <si>
    <r>
      <rPr>
        <sz val="10"/>
        <color theme="1"/>
        <rFont val="宋体"/>
        <family val="3"/>
        <charset val="134"/>
      </rPr>
      <t>无此变体，新增其他变体</t>
    </r>
    <r>
      <rPr>
        <sz val="10"/>
        <color theme="1"/>
        <rFont val="Times New Roman"/>
        <family val="1"/>
      </rPr>
      <t>chr19:53115616</t>
    </r>
  </si>
  <si>
    <r>
      <rPr>
        <b/>
        <sz val="10"/>
        <color theme="1"/>
        <rFont val="宋体"/>
        <family val="3"/>
        <charset val="134"/>
      </rPr>
      <t>备注</t>
    </r>
    <phoneticPr fontId="1" type="noConversion"/>
  </si>
  <si>
    <r>
      <rPr>
        <b/>
        <sz val="10"/>
        <color theme="1"/>
        <rFont val="宋体"/>
        <family val="3"/>
        <charset val="134"/>
      </rPr>
      <t>第一次纠正情况</t>
    </r>
    <phoneticPr fontId="1" type="noConversion"/>
  </si>
  <si>
    <r>
      <rPr>
        <b/>
        <sz val="10"/>
        <color theme="1"/>
        <rFont val="宋体"/>
        <family val="2"/>
      </rPr>
      <t>第二次纠正情况</t>
    </r>
    <phoneticPr fontId="1" type="noConversion"/>
  </si>
  <si>
    <r>
      <rPr>
        <sz val="10"/>
        <color theme="1"/>
        <rFont val="宋体"/>
        <family val="3"/>
        <charset val="134"/>
      </rPr>
      <t>基因不完整</t>
    </r>
    <phoneticPr fontId="1" type="noConversion"/>
  </si>
  <si>
    <r>
      <rPr>
        <sz val="10"/>
        <color theme="1"/>
        <rFont val="宋体"/>
        <family val="3"/>
        <charset val="134"/>
      </rPr>
      <t>错误</t>
    </r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</si>
  <si>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chr19:56599389-56599751</t>
    </r>
    <phoneticPr fontId="1" type="noConversion"/>
  </si>
  <si>
    <r>
      <rPr>
        <sz val="10"/>
        <color theme="1"/>
        <rFont val="宋体"/>
        <family val="3"/>
        <charset val="134"/>
      </rPr>
      <t>纠后正确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加</t>
    </r>
    <r>
      <rPr>
        <sz val="10"/>
        <color theme="1"/>
        <rFont val="Times New Roman"/>
        <family val="1"/>
      </rPr>
      <t>60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chr11:1642637-1642939</t>
    </r>
    <phoneticPr fontId="1" type="noConversion"/>
  </si>
  <si>
    <r>
      <rPr>
        <sz val="10"/>
        <color theme="1"/>
        <rFont val="宋体"/>
        <family val="3"/>
        <charset val="134"/>
      </rPr>
      <t>两段</t>
    </r>
    <phoneticPr fontId="1" type="noConversion"/>
  </si>
  <si>
    <r>
      <rPr>
        <sz val="10"/>
        <color theme="1"/>
        <rFont val="宋体"/>
        <family val="3"/>
        <charset val="134"/>
      </rPr>
      <t>基因起始不完整</t>
    </r>
    <phoneticPr fontId="1" type="noConversion"/>
  </si>
  <si>
    <r>
      <rPr>
        <sz val="10"/>
        <color theme="1"/>
        <rFont val="宋体"/>
        <family val="3"/>
        <charset val="134"/>
      </rPr>
      <t>纠后正确，</t>
    </r>
    <r>
      <rPr>
        <sz val="10"/>
        <color theme="1"/>
        <rFont val="Times New Roman"/>
        <family val="1"/>
      </rPr>
      <t>utr</t>
    </r>
    <r>
      <rPr>
        <sz val="10"/>
        <color theme="1"/>
        <rFont val="宋体"/>
        <family val="3"/>
        <charset val="134"/>
      </rPr>
      <t>略有变化，版本不一致</t>
    </r>
    <phoneticPr fontId="1" type="noConversion"/>
  </si>
  <si>
    <r>
      <rPr>
        <sz val="10"/>
        <color theme="1"/>
        <rFont val="宋体"/>
        <family val="3"/>
        <charset val="134"/>
      </rPr>
      <t>纠后正确</t>
    </r>
    <phoneticPr fontId="1" type="noConversion"/>
  </si>
  <si>
    <r>
      <rPr>
        <sz val="10"/>
        <color theme="1"/>
        <rFont val="宋体"/>
        <family val="3"/>
        <charset val="134"/>
      </rPr>
      <t>两段，基因不完整</t>
    </r>
    <phoneticPr fontId="1" type="noConversion"/>
  </si>
  <si>
    <r>
      <rPr>
        <sz val="10"/>
        <color theme="1"/>
        <rFont val="宋体"/>
        <family val="3"/>
        <charset val="134"/>
      </rPr>
      <t>纠后正确</t>
    </r>
    <phoneticPr fontId="1" type="noConversion"/>
  </si>
  <si>
    <r>
      <rPr>
        <sz val="10"/>
        <color theme="1"/>
        <rFont val="宋体"/>
        <family val="3"/>
        <charset val="134"/>
      </rPr>
      <t>错误</t>
    </r>
    <r>
      <rPr>
        <sz val="10"/>
        <color theme="1"/>
        <rFont val="Times New Roman"/>
        <family val="1"/>
      </rPr>
      <t/>
    </r>
    <phoneticPr fontId="1" type="noConversion"/>
  </si>
  <si>
    <r>
      <rPr>
        <sz val="10"/>
        <color theme="1"/>
        <rFont val="宋体"/>
        <family val="3"/>
        <charset val="134"/>
      </rPr>
      <t>错误</t>
    </r>
    <phoneticPr fontId="1" type="noConversion"/>
  </si>
  <si>
    <r>
      <rPr>
        <sz val="10"/>
        <color theme="1"/>
        <rFont val="宋体"/>
        <family val="3"/>
        <charset val="134"/>
      </rPr>
      <t>两段</t>
    </r>
    <phoneticPr fontId="1" type="noConversion"/>
  </si>
  <si>
    <r>
      <rPr>
        <sz val="10"/>
        <color theme="1"/>
        <rFont val="宋体"/>
        <family val="3"/>
        <charset val="134"/>
      </rPr>
      <t>无变化</t>
    </r>
    <phoneticPr fontId="1" type="noConversion"/>
  </si>
  <si>
    <r>
      <rPr>
        <sz val="10"/>
        <color theme="1"/>
        <rFont val="宋体"/>
        <family val="3"/>
        <charset val="134"/>
      </rPr>
      <t>纠后与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号一致</t>
    </r>
    <r>
      <rPr>
        <sz val="10"/>
        <color theme="1"/>
        <rFont val="Times New Roman"/>
        <family val="1"/>
      </rPr>
      <t>,Browers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Times New Roman"/>
        <family val="1"/>
      </rPr>
      <t>NCBIrs(rs774287963)</t>
    </r>
    <r>
      <rPr>
        <sz val="10"/>
        <color theme="1"/>
        <rFont val="宋体"/>
        <family val="3"/>
        <charset val="134"/>
      </rPr>
      <t>不一致</t>
    </r>
    <r>
      <rPr>
        <sz val="10"/>
        <color theme="1"/>
        <rFont val="Times New Roman"/>
        <family val="1"/>
      </rPr>
      <t>,chr19:55325146-55325566</t>
    </r>
    <phoneticPr fontId="1" type="noConversion"/>
  </si>
  <si>
    <r>
      <rPr>
        <sz val="10"/>
        <color theme="1"/>
        <rFont val="宋体"/>
        <family val="3"/>
        <charset val="134"/>
      </rPr>
      <t>纠后正确，区间略有变化，加</t>
    </r>
    <r>
      <rPr>
        <sz val="10"/>
        <color theme="1"/>
        <rFont val="Times New Roman"/>
        <family val="1"/>
      </rPr>
      <t>41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chr4:76657491-76735366</t>
    </r>
    <phoneticPr fontId="1" type="noConversion"/>
  </si>
  <si>
    <r>
      <rPr>
        <sz val="10"/>
        <color theme="1"/>
        <rFont val="宋体"/>
        <family val="3"/>
        <charset val="134"/>
      </rPr>
      <t>无此变体信息</t>
    </r>
    <phoneticPr fontId="1" type="noConversion"/>
  </si>
  <si>
    <r>
      <rPr>
        <sz val="10"/>
        <color theme="1"/>
        <rFont val="宋体"/>
        <family val="3"/>
        <charset val="134"/>
      </rPr>
      <t>纠后正确，区间略有变化</t>
    </r>
    <phoneticPr fontId="1" type="noConversion"/>
  </si>
  <si>
    <r>
      <t>Browser</t>
    </r>
    <r>
      <rPr>
        <sz val="10"/>
        <color theme="1"/>
        <rFont val="宋体"/>
        <family val="3"/>
        <charset val="134"/>
      </rPr>
      <t>与原结果匹配，纠后与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匹配</t>
    </r>
    <r>
      <rPr>
        <sz val="10"/>
        <color theme="1"/>
        <rFont val="Times New Roman"/>
        <family val="1"/>
      </rPr>
      <t>(rs746499983)chr19:55350966-55359398</t>
    </r>
    <phoneticPr fontId="1" type="noConversion"/>
  </si>
  <si>
    <r>
      <rPr>
        <sz val="10"/>
        <color theme="1"/>
        <rFont val="宋体"/>
        <family val="3"/>
        <charset val="134"/>
      </rPr>
      <t>前后均不正确</t>
    </r>
    <phoneticPr fontId="1" type="noConversion"/>
  </si>
  <si>
    <r>
      <rPr>
        <sz val="10"/>
        <color theme="1"/>
        <rFont val="宋体"/>
        <family val="3"/>
        <charset val="134"/>
      </rPr>
      <t>纠后正确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版本不一致，</t>
    </r>
    <r>
      <rPr>
        <sz val="10"/>
        <color theme="1"/>
        <rFont val="Times New Roman"/>
        <family val="1"/>
      </rPr>
      <t>utr</t>
    </r>
    <r>
      <rPr>
        <sz val="10"/>
        <color theme="1"/>
        <rFont val="宋体"/>
        <family val="3"/>
        <charset val="134"/>
      </rPr>
      <t>略有变化，少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chr11:76751589-76751753</t>
    </r>
    <phoneticPr fontId="1" type="noConversion"/>
  </si>
  <si>
    <r>
      <rPr>
        <sz val="10"/>
        <color theme="1"/>
        <rFont val="宋体"/>
        <family val="3"/>
        <charset val="134"/>
      </rPr>
      <t>无此基因（被注消）</t>
    </r>
    <phoneticPr fontId="1" type="noConversion"/>
  </si>
  <si>
    <r>
      <rPr>
        <sz val="10"/>
        <color theme="1"/>
        <rFont val="宋体"/>
        <family val="3"/>
        <charset val="134"/>
      </rPr>
      <t>非编码基因</t>
    </r>
    <phoneticPr fontId="1" type="noConversion"/>
  </si>
  <si>
    <r>
      <rPr>
        <sz val="10"/>
        <color theme="1"/>
        <rFont val="宋体"/>
        <family val="3"/>
        <charset val="134"/>
      </rPr>
      <t>无此变体及基因信息，极可能为假基因</t>
    </r>
    <phoneticPr fontId="1" type="noConversion"/>
  </si>
  <si>
    <r>
      <rPr>
        <sz val="10"/>
        <color theme="1"/>
        <rFont val="宋体"/>
        <family val="3"/>
        <charset val="134"/>
      </rPr>
      <t>无此变体信息，基因被</t>
    </r>
    <r>
      <rPr>
        <sz val="10"/>
        <color theme="1"/>
        <rFont val="Times New Roman"/>
        <family val="1"/>
      </rPr>
      <t>NBPF14</t>
    </r>
    <r>
      <rPr>
        <sz val="10"/>
        <color theme="1"/>
        <rFont val="宋体"/>
        <family val="3"/>
        <charset val="134"/>
      </rPr>
      <t>取代（</t>
    </r>
    <r>
      <rPr>
        <sz val="10"/>
        <color theme="1"/>
        <rFont val="Times New Roman"/>
        <family val="1"/>
      </rPr>
      <t>chr1:148003031-148025865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</si>
  <si>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rPr>
        <sz val="10"/>
        <color theme="1"/>
        <rFont val="宋体"/>
        <family val="3"/>
        <charset val="134"/>
      </rPr>
      <t>无此变体信息，基因被注销</t>
    </r>
    <phoneticPr fontId="1" type="noConversion"/>
  </si>
  <si>
    <r>
      <rPr>
        <sz val="10"/>
        <color theme="1"/>
        <rFont val="宋体"/>
        <family val="3"/>
        <charset val="134"/>
      </rPr>
      <t>无此变体信息，新变体</t>
    </r>
    <phoneticPr fontId="1" type="noConversion"/>
  </si>
  <si>
    <t>是否存在纠错信息</t>
    <phoneticPr fontId="1" type="noConversion"/>
  </si>
  <si>
    <r>
      <t>1</t>
    </r>
    <r>
      <rPr>
        <sz val="10"/>
        <color theme="1"/>
        <rFont val="宋体"/>
        <family val="3"/>
        <charset val="134"/>
      </rPr>
      <t>、修正外显子（</t>
    </r>
    <r>
      <rPr>
        <sz val="10"/>
        <color theme="1"/>
        <rFont val="Times New Roman"/>
        <family val="1"/>
      </rPr>
      <t>CDS</t>
    </r>
    <r>
      <rPr>
        <sz val="10"/>
        <color theme="1"/>
        <rFont val="宋体"/>
        <family val="3"/>
        <charset val="134"/>
      </rPr>
      <t>）区间</t>
    </r>
    <phoneticPr fontId="1" type="noConversion"/>
  </si>
  <si>
    <t>NM_032534</t>
    <phoneticPr fontId="1" type="noConversion"/>
  </si>
  <si>
    <t>NM_001039350chr7:153584419</t>
    <phoneticPr fontId="1" type="noConversion"/>
  </si>
  <si>
    <t>NM_001039350chr7:153584419</t>
    <phoneticPr fontId="1" type="noConversion"/>
  </si>
  <si>
    <t>NM_001936chr7:154002297</t>
    <phoneticPr fontId="1" type="noConversion"/>
  </si>
  <si>
    <t>NM_001936chr7:154002297</t>
    <phoneticPr fontId="1" type="noConversion"/>
  </si>
  <si>
    <t>NM_001936chr7:154002347</t>
    <phoneticPr fontId="1" type="noConversion"/>
  </si>
  <si>
    <t>纠后正确，区间略有变化，chr22:51133475-51169740</t>
  </si>
  <si>
    <t>纠后正确，区间略有变化，加65个氨基酸chr1:1571126-1586818</t>
  </si>
  <si>
    <t>纠后正确，区间略有变化</t>
  </si>
  <si>
    <t>纠后正确，区间略有变化，加41个氨基酸chr4:76657491-76735366</t>
  </si>
  <si>
    <t>纠后正确,区间略有变化，加66个氨基酸chr17:40107237-40117669</t>
  </si>
  <si>
    <t>纠后正确，区间略有变化，加433个氨基酸chr7:130146517-130287359</t>
  </si>
  <si>
    <t>纠后正确，版本不一致，utr略有变化</t>
  </si>
  <si>
    <t>纠后正确,加60个氨基酸chr11:1642637-1642939</t>
  </si>
  <si>
    <t>纠后正确，版本不一致，区间有变化，加2668个氨基酸chr8:144940159-144940299</t>
  </si>
  <si>
    <t>纠后与rs号一致,Browers与NCBIrs(rs774287963)不一致,chr19:55325146-55325566</t>
  </si>
  <si>
    <t>rs号无此变体，区间略有变化，加65个氨基酸chr1:1571126-1586818</t>
  </si>
  <si>
    <t>纠后增加92个氨基酸（版本不一致，区间略有变化）,rs号无信息chr1:16890439-16892303</t>
  </si>
  <si>
    <t>纠后正确,区间略有变化，加57个氨基酸chr8:79394663-79433358</t>
  </si>
  <si>
    <t>纠后正确,版本不一致，utr略有变化，少1个氨基酸chr11:76751589-76751753</t>
  </si>
  <si>
    <t>纠后正确,版本不一致，utr略有变化</t>
  </si>
  <si>
    <t>纠后正确,版本不一致，区间有变化</t>
  </si>
  <si>
    <t>NM_001242366.1</t>
    <phoneticPr fontId="1" type="noConversion"/>
  </si>
  <si>
    <t>纠后正确,utr略有变化</t>
    <phoneticPr fontId="1" type="noConversion"/>
  </si>
  <si>
    <t>NM_015584</t>
    <phoneticPr fontId="1" type="noConversion"/>
  </si>
  <si>
    <t>Chr(use)</t>
  </si>
  <si>
    <t>Start(use)</t>
    <phoneticPr fontId="1" type="noConversion"/>
  </si>
  <si>
    <t>NewAnnoLC/NM_000278_chr10_102505468.txt</t>
  </si>
  <si>
    <t>NewAnnoLC/NM_000348_chr2_31749656.txt</t>
  </si>
  <si>
    <t>ok</t>
  </si>
  <si>
    <t>NewAnnoLC/NM_000615_chr11_112831969.txt</t>
  </si>
  <si>
    <t>NewAnnoLC/NM_000682_chr2_96778623.txt</t>
  </si>
  <si>
    <t>NewAnnoLC/NM_000694_chr11_67777790.txt</t>
  </si>
  <si>
    <t>NewAnnoLC/NM_000804_chr11_71846771.txt</t>
  </si>
  <si>
    <t>NewAnnoLC/NM_001001419_chr5_135468536.txt</t>
  </si>
  <si>
    <t>NewAnnoLC/NM_001001420_chr5_135468536.txt</t>
  </si>
  <si>
    <t>NewAnnoLC/NM_001001520_chr19_4472255.txt</t>
  </si>
  <si>
    <t>NewAnnoLC/NM_001002836_chr19_56598732.txt</t>
  </si>
  <si>
    <t>NewAnnoLC/NM_001005861_chr3_133875978.txt</t>
  </si>
  <si>
    <t>NewAnnoLC/NM_001005914_chr3_50305040.txt</t>
  </si>
  <si>
    <t>NewAnnoLC/NM_001008239_chr18_43753988.txt</t>
  </si>
  <si>
    <t>NewAnnoLC/NM_001008401_chr19_53935227.txt</t>
  </si>
  <si>
    <t>NewAnnoLC/NM_001010855_chr17_8706055.txt</t>
  </si>
  <si>
    <t>NewAnnoLC/NM_001012288_chrX_1314869.txt</t>
  </si>
  <si>
    <t>NewAnnoLC/NM_001012288_chrY_1264869.txt</t>
  </si>
  <si>
    <t>NewAnnoLC/NM_001012709_chr11_1642188.txt</t>
  </si>
  <si>
    <t>NewAnnoLC/NM_001013742_chrX_50111879.txt</t>
  </si>
  <si>
    <t>NewAnnoLC/NM_001017396_chr2_95831183.txt</t>
  </si>
  <si>
    <t>NewAnnoLC/NM_001023560_chr6_28234788.txt</t>
  </si>
  <si>
    <t>NewAnnoLC/NM_001030010_chr11_67777790.txt</t>
  </si>
  <si>
    <t>NewAnnoLC/NM_001037954_chr11_111807927.txt</t>
  </si>
  <si>
    <t>NewAnnoLC/NM_001039350_chr7_153584419.txt</t>
  </si>
  <si>
    <t>NewAnnoLC/NM_001039476_chr16_135800.txt</t>
  </si>
  <si>
    <t>NewAnnoLC/NM_001039887_chr19_36249044.txt</t>
  </si>
  <si>
    <t>NewAnnoLC/NM_001042544_chr19_41103141.txt</t>
  </si>
  <si>
    <t>NewAnnoLC/NM_001042545_chr19_41107277.txt</t>
  </si>
  <si>
    <t>NewAnnoLC/NM_001048201_chr19_4909510.txt</t>
  </si>
  <si>
    <t>NewAnnoLC/NM_001048205_chr14_24641234.txt</t>
  </si>
  <si>
    <t>NewAnnoLC/NM_001076682_chr11_112831969.txt</t>
  </si>
  <si>
    <t>NewAnnoLC/NM_001077238_chr19_2328629.txt</t>
  </si>
  <si>
    <t>NewAnnoLC/NM_001077350_chr16_135800.txt</t>
  </si>
  <si>
    <t>NewAnnoLC/NM_001077527_chr8_143738874.txt</t>
  </si>
  <si>
    <t>NewAnnoLC/NM_001077690_chr11_111652919.txt</t>
  </si>
  <si>
    <t>NewAnnoLC/NM_001080423_chr3_14530619.txt</t>
  </si>
  <si>
    <t>NewAnnoLC/NM_001080519_chr17_79373540.txt</t>
  </si>
  <si>
    <t>NewAnnoLC/NM_001081640_chr8_48685669.txt</t>
  </si>
  <si>
    <t>NewAnnoLC/NM_001099670_chr8_86126288.txt</t>
  </si>
  <si>
    <t>NewAnnoLC/NM_001099671_chr8_86126288.txt</t>
  </si>
  <si>
    <t>NewAnnoLC/NM_001099672_chr8_86126288.txt</t>
  </si>
  <si>
    <t>NewAnnoLC/NM_001099673_chr8_86126288.txt</t>
  </si>
  <si>
    <t>NewAnnoLC/NM_001102597_chr19_45010211.txt</t>
  </si>
  <si>
    <t>NewAnnoLC/NM_001102598_chr19_45010211.txt</t>
  </si>
  <si>
    <t>NewAnnoLC/NM_001102599_chr19_45010211.txt</t>
  </si>
  <si>
    <t>NewAnnoLC/NM_001102600_chr19_45010211.txt</t>
  </si>
  <si>
    <t>NewAnnoLC/NM_001105520_chr17_6555059.txt</t>
  </si>
  <si>
    <t>NewAnnoLC/NM_001110199_chr7_75831216.txt</t>
  </si>
  <si>
    <t>NewAnnoLC/NM_001111039_chr6_28234788.txt</t>
  </si>
  <si>
    <t>NewAnnoLC/NM_001113239_chr7_139246316.txt</t>
  </si>
  <si>
    <t>NewAnnoLC/NM_001130997_chrX_152853383.txt</t>
  </si>
  <si>
    <t>NewAnnoLC/NM_001134382_chr3_12938542.txt</t>
  </si>
  <si>
    <t>NewAnnoLC/NM_001135649_chr2_88747726.txt</t>
  </si>
  <si>
    <t>NewAnnoLC/NM_001135914_chr7_128516919.txt</t>
  </si>
  <si>
    <t>NewAnnoLC/NM_001143962_chr1_223714972.txt</t>
  </si>
  <si>
    <t>NewAnnoLC/NM_001145026_chr12_80838126.txt</t>
  </si>
  <si>
    <t>NewAnnoLC/NM_001145440_chr7_72039492.txt</t>
  </si>
  <si>
    <t>NewAnnoLC/NM_001145441_chr7_72023729.txt</t>
  </si>
  <si>
    <t>NewAnnoLC/NM_001145710_chr2_24346350.txt</t>
  </si>
  <si>
    <t>NewAnnoLC/NM_001161473_chr11_67776048.txt</t>
  </si>
  <si>
    <t>NewAnnoLC/NM_001163022_chr20_21106624.txt</t>
  </si>
  <si>
    <t>NewAnnoLC/NM_001163023_chr20_21106624.txt</t>
  </si>
  <si>
    <t>NewAnnoLC/NM_001164277_chr11_118895061.txt</t>
  </si>
  <si>
    <t>NewAnnoLC/NM_001164278_chr11_118895061.txt</t>
  </si>
  <si>
    <t>NewAnnoLC/NM_001164279_chr11_118895061.txt</t>
  </si>
  <si>
    <t>NewAnnoLC/NM_001164280_chr11_118895061.txt</t>
  </si>
  <si>
    <t>NewAnnoLC/NM_001177506_chr7_36552549.txt</t>
  </si>
  <si>
    <t>NewAnnoLC/NM_001190467_chr19_7933605.txt</t>
  </si>
  <si>
    <t>NewAnnoLC/NM_001193335_chr9_95218487.txt</t>
  </si>
  <si>
    <t>NewAnnoLC/NM_001199824_chr19_56052023.txt</t>
  </si>
  <si>
    <t>NewAnnoLC/NM_001220773_chr7_50455032.txt</t>
  </si>
  <si>
    <t>NewAnnoLC/NM_001220774_chr7_50455032.txt</t>
  </si>
  <si>
    <t>NewAnnoLC/NM_001242366_chr17_26721661.txt</t>
  </si>
  <si>
    <t>NewAnnoLC/NM_001242607_chr11_112831969.txt</t>
  </si>
  <si>
    <t>NewAnnoLC/NM_001242608_chr11_112831969.txt</t>
  </si>
  <si>
    <t>NewAnnoLC/NM_001243247_chr16_135800.txt</t>
  </si>
  <si>
    <t>NewAnnoLC/NM_001243248_chr16_135800.txt</t>
  </si>
  <si>
    <t>NewAnnoLC/NM_001243249_chr16_135800.txt</t>
  </si>
  <si>
    <t>NewAnnoLC/NM_001256395_chr1_156338980.txt</t>
  </si>
  <si>
    <t>NewAnnoLC/NM_001256396_chr1_156338980.txt</t>
  </si>
  <si>
    <t>NewAnnoLC/NM_001256647_chr19_50879680.txt</t>
  </si>
  <si>
    <t>NewAnnoLC/NM_001256743_chrX_122318096.txt</t>
  </si>
  <si>
    <t>NewAnnoLC/NM_001271466_chr2_232063294.txt</t>
  </si>
  <si>
    <t>NewAnnoLC/NM_001467_chr11_118895061.txt</t>
  </si>
  <si>
    <t>NewAnnoLC/NM_001936_chr7_154002347.txt</t>
  </si>
  <si>
    <t>NewAnnoLC/NM_002111_chr4_3076408.txt</t>
  </si>
  <si>
    <t>NewAnnoLC/NM_002426_chr11_102733464.txt</t>
  </si>
  <si>
    <t>NewAnnoLC/NM_002570_chr15_101844133.txt</t>
  </si>
  <si>
    <t>NewAnnoLC/NM_002958_chr3_133875978.txt</t>
  </si>
  <si>
    <t>NewAnnoLC/NM_003386_chr7_100331249.txt</t>
  </si>
  <si>
    <t>NewAnnoLC/NM_003573_chr19_41099072.txt</t>
  </si>
  <si>
    <t>NewAnnoLC/NM_003715_chr4_76649829.txt</t>
  </si>
  <si>
    <t>NewAnnoLC/NM_003724_chr8_143738874.txt</t>
  </si>
  <si>
    <t>NewAnnoLC/NM_003954_chr17_43340488.txt</t>
  </si>
  <si>
    <t>NewAnnoLC/NM_003987_chr10_102505468.txt</t>
  </si>
  <si>
    <t>NewAnnoLC/NM_003989_chr10_102505468.txt</t>
  </si>
  <si>
    <t>NewAnnoLC/NM_003990_chr10_102505468.txt</t>
  </si>
  <si>
    <t>NewAnnoLC/NM_004260_chr8_145736667.txt</t>
  </si>
  <si>
    <t>NewAnnoLC/NM_004472_chr5_72742083.txt</t>
  </si>
  <si>
    <t>NewAnnoLC/NM_004636_chr3_50305040.txt</t>
  </si>
  <si>
    <t>NewAnnoLC/NM_004866_chr5_77656339.txt</t>
  </si>
  <si>
    <t>NewAnnoLC/NM_004879_chr11_125439298.txt</t>
  </si>
  <si>
    <t>NewAnnoLC/NM_005132_chr14_24641234.txt</t>
  </si>
  <si>
    <t>NewAnnoLC/NM_005396_chr10_118380465.txt</t>
  </si>
  <si>
    <t>NewAnnoLC/NM_005671_chr8_30601690.txt</t>
  </si>
  <si>
    <t>NewAnnoLC/NM_005903_chr5_135468536.txt</t>
  </si>
  <si>
    <t>NewAnnoLC/NM_006108_chr11_13984184.txt</t>
  </si>
  <si>
    <t>NewAnnoLC/NM_006158_chr8_24808468.txt</t>
  </si>
  <si>
    <t>NewAnnoLC/NM_006249_chr12_11418857.txt</t>
  </si>
  <si>
    <t>NewAnnoLC/NM_006331_chr12_7079944.txt</t>
  </si>
  <si>
    <t>NewAnnoLC/NM_006904_chr8_48685669.txt</t>
  </si>
  <si>
    <t>NewAnnoLC/NM_007121_chr19_50879680.txt</t>
  </si>
  <si>
    <t>NewAnnoLC/NM_007180_chr11_118528942.txt</t>
  </si>
  <si>
    <t>NewAnnoLC/NM_007253_chr19_15726029.txt</t>
  </si>
  <si>
    <t>NewAnnoLC/NM_012133_chr7_130146079.txt</t>
  </si>
  <si>
    <t>NewAnnoLC/NM_012309_chr11_70313961.txt</t>
  </si>
  <si>
    <t>NewAnnoLC/NM_012324_chr22_51039131.txt</t>
  </si>
  <si>
    <t>NewAnnoLC/NM_013282_chr19_4910566.txt</t>
  </si>
  <si>
    <t>NewAnnoLC/NM_014262_chr12_6937572.txt</t>
  </si>
  <si>
    <t>NewAnnoLC/NM_014643_chr18_74069637.txt</t>
  </si>
  <si>
    <t>NewAnnoLC/NM_014703_chr3_51433298.txt</t>
  </si>
  <si>
    <t>NewAnnoLC/NM_014803_chr10_97889472.txt</t>
  </si>
  <si>
    <t>NewAnnoLC/NM_014817_chr7_28992974.txt</t>
  </si>
  <si>
    <t>NewAnnoLC/NM_015077_chr17_26698987.txt</t>
  </si>
  <si>
    <t>NewAnnoLC/NM_015120_chr2_73612886.txt</t>
  </si>
  <si>
    <t>NewAnnoLC/NM_015286_chr15_99645286.txt</t>
  </si>
  <si>
    <t>NewAnnoLC/NM_015584_chr17_26673659.txt</t>
  </si>
  <si>
    <t>NewAnnoLC/NM_015670_chr17_7465309.txt</t>
  </si>
  <si>
    <t>NewAnnoLC/NM_016324_chr19_58694396.txt</t>
  </si>
  <si>
    <t>NewAnnoLC/NM_016325_chr19_58694396.txt</t>
  </si>
  <si>
    <t>NewAnnoLC/NM_016403_chr11_94695787.txt</t>
  </si>
  <si>
    <t>NewAnnoLC/NM_016429_chr17_46103533.txt</t>
  </si>
  <si>
    <t>NewAnnoLC/NM_016431_chr22_51041562.txt</t>
  </si>
  <si>
    <t>NewAnnoLC/NM_016523_chr12_9980077.txt</t>
  </si>
  <si>
    <t>NewAnnoLC/NM_017570_chr8_145106167.txt</t>
  </si>
  <si>
    <t>NewAnnoLC/NM_017680_chr9_95218487.txt</t>
  </si>
  <si>
    <t>NewAnnoLC/NM_017940_chr1_16888922.txt</t>
  </si>
  <si>
    <t>NewAnnoLC/NM_018403_chr3_53317443.txt</t>
  </si>
  <si>
    <t>NewAnnoLC/NM_018474_chr20_21106624.txt</t>
  </si>
  <si>
    <t>NewAnnoLC/NM_018711_chr12_109304658.txt</t>
  </si>
  <si>
    <t>NewAnnoLC/NM_018717_chr4_140637545.txt</t>
  </si>
  <si>
    <t>-4~6</t>
  </si>
  <si>
    <t>NewAnnoLC/NM_020407_chr1_156338980.txt</t>
  </si>
  <si>
    <t>NewAnnoLC/NM_020469_chr9_136130563.txt</t>
  </si>
  <si>
    <t>NewAnnoLC/NM_020979_chr7_101928405.txt</t>
  </si>
  <si>
    <t>NewAnnoLC/NM_021088_chr2_95831183.txt</t>
  </si>
  <si>
    <t>NewAnnoLC/NM_021623_chr8_38758753.txt</t>
  </si>
  <si>
    <t>NewAnnoLC/NM_021729_chr11_118938493.txt</t>
  </si>
  <si>
    <t>NewAnnoLC/NM_022740_chr7_139246316.txt</t>
  </si>
  <si>
    <t>NewAnnoLC/NM_024164_chr16_1278336.txt</t>
  </si>
  <si>
    <t>NewAnnoLC/NM_024302_chr17_34092876.txt</t>
  </si>
  <si>
    <t>NewAnnoLC/NM_024644_chr14_73957644.txt</t>
  </si>
  <si>
    <t>NewAnnoLC/NM_024740_chr11_111652919.txt</t>
  </si>
  <si>
    <t>NewAnnoLC/NM_024815_chr8_21964383.txt</t>
  </si>
  <si>
    <t>NewAnnoLC/NM_030569_chr10_7601232.txt</t>
  </si>
  <si>
    <t>NewAnnoLC/NM_030582_chr21_46875424.txt</t>
  </si>
  <si>
    <t>NewAnnoLC/NM_030643_chr22_36585176.txt</t>
  </si>
  <si>
    <t>NewAnnoLC/NM_030930_chr11_67758575.txt</t>
  </si>
  <si>
    <t>NewAnnoLC/NM_031274_chrX_104463611.txt</t>
  </si>
  <si>
    <t>NewAnnoLC/NM_031308_chr8_144939492.txt</t>
  </si>
  <si>
    <t>NewAnnoLC/NM_031421_chr17_40086888.txt</t>
  </si>
  <si>
    <t>NewAnnoLC/NM_031945_chr17_79609349.txt</t>
  </si>
  <si>
    <t>NewAnnoLC/NM_032102_chr11_94800056.txt</t>
  </si>
  <si>
    <t>NewAnnoLC/NM_032534_chr7_149412148.txt</t>
  </si>
  <si>
    <t>NewAnnoLC/NM_032595_chr17_48211101.txt</t>
  </si>
  <si>
    <t>NewAnnoLC/NM_032631_chr19_4472255.txt</t>
  </si>
  <si>
    <t>NewAnnoLC/NM_032790_chr12_122064455.txt</t>
  </si>
  <si>
    <t>NewAnnoLC/NM_032817_chr10_7601232.txt</t>
  </si>
  <si>
    <t>NewAnnoLC/NM_032855_chr19_16244838.txt</t>
  </si>
  <si>
    <t>NewAnnoLC/NM_033089_chr20_278204.txt</t>
  </si>
  <si>
    <t>NewAnnoLC/NM_033401_chr16_76311176.txt</t>
  </si>
  <si>
    <t>NewAnnoLC/NM_033425_chr11_111848033.txt</t>
  </si>
  <si>
    <t>NewAnnoLC/NM_033488_chr1_1571100.txt</t>
  </si>
  <si>
    <t>NewAnnoLC/NM_033489_chr1_1571100.txt</t>
  </si>
  <si>
    <t>NewAnnoLC/NM_033492_chr1_1571100.txt</t>
  </si>
  <si>
    <t>NewAnnoLC/NM_033493_chr1_1571100.txt</t>
  </si>
  <si>
    <t>NewAnnoLC/NM_033517_chr22_51113070.txt</t>
  </si>
  <si>
    <t>NewAnnoLC/NM_052886_chr8_120220610.txt</t>
  </si>
  <si>
    <t>NewAnnoLC/NM_052892_chr16_81134484.txt</t>
  </si>
  <si>
    <t>NewAnnoLC/NM_080669_chr17_26721661.txt</t>
  </si>
  <si>
    <t>NewAnnoLC/NM_130445_chr21_46825097.txt</t>
  </si>
  <si>
    <t>NewAnnoLC/NM_130464_chr16_21413455.txt</t>
  </si>
  <si>
    <t>NewAnnoLC/NM_133373_chr17_43189008.txt</t>
  </si>
  <si>
    <t>NewAnnoLC/NM_133457_chr7_101006122.txt</t>
  </si>
  <si>
    <t>NewAnnoLC/NM_133502_chr19_58694396.txt</t>
  </si>
  <si>
    <t>NewAnnoLC/NM_138319_chr15_101844133.txt</t>
  </si>
  <si>
    <t>NewAnnoLC/NM_138320_chr15_101853222.txt</t>
  </si>
  <si>
    <t>NewAnnoLC/NM_138321_chr15_101853222.txt</t>
  </si>
  <si>
    <t>NewAnnoLC/NM_138322_chr15_101923953.txt</t>
  </si>
  <si>
    <t>NewAnnoLC/NM_138323_chr15_101886947.txt</t>
  </si>
  <si>
    <t>NewAnnoLC/NM_138324_chr15_101886947.txt</t>
  </si>
  <si>
    <t>NewAnnoLC/NM_138325_chr15_101905079.txt</t>
  </si>
  <si>
    <t>NewAnnoLC/NM_138352_chr19_14199229.txt</t>
  </si>
  <si>
    <t>NewAnnoLC/NM_145055_chr18_43753988.txt</t>
  </si>
  <si>
    <t>NewAnnoLC/NM_145171_chr14_63779549.txt</t>
  </si>
  <si>
    <t>NewAnnoLC/NM_145660_chr22_36585176.txt</t>
  </si>
  <si>
    <t>NewAnnoLC/NM_145728_chr15_99645286.txt</t>
  </si>
  <si>
    <t>NewAnnoLC/NM_152236_chr22_29702997.txt</t>
  </si>
  <si>
    <t>NewAnnoLC/NM_152274_chrX_152853383.txt</t>
  </si>
  <si>
    <t>NewAnnoLC/NM_152503_chr20_35729629.txt</t>
  </si>
  <si>
    <t>NewAnnoLC/NM_152758_chr8_64081121.txt</t>
  </si>
  <si>
    <t>NewAnnoLC/NM_152914_chr17_21142183.txt</t>
  </si>
  <si>
    <t>NewAnnoLC/NM_152988_chr19_2328629.txt</t>
  </si>
  <si>
    <t>NewAnnoLC/NM_173059_chr7_100331249.txt</t>
  </si>
  <si>
    <t>NewAnnoLC/NM_173681_chr7_150709297.txt</t>
  </si>
  <si>
    <t>NewAnnoLC/NM_178167_chr16_2047768.txt</t>
  </si>
  <si>
    <t>NewAnnoLC/NM_178844_chr16_3589033.txt</t>
  </si>
  <si>
    <t>NewAnnoLC/NM_181351_chr11_112831969.txt</t>
  </si>
  <si>
    <t>NewAnnoLC/NM_181536_chr16_71963441.txt</t>
  </si>
  <si>
    <t>NewAnnoLC/NM_181606_chr21_32201357.txt</t>
  </si>
  <si>
    <t>NewAnnoLC/NM_181844_chr17_6926369.txt</t>
  </si>
  <si>
    <t>NewAnnoLC/NM_182515_chr19_21264953.txt</t>
  </si>
  <si>
    <t>NewAnnoLC/NM_182524_chr4_53227.txt</t>
  </si>
  <si>
    <t>NewAnnoLC/NM_198455_chr7_149473131.txt</t>
  </si>
  <si>
    <t>NewAnnoLC/NM_198689_chr21_46020497.txt</t>
  </si>
  <si>
    <t>NewAnnoLC/NM_199349_chr7_128530001.txt</t>
  </si>
  <si>
    <t>NewAnnoLC/NM_207411_chr8_6666038.txt</t>
  </si>
  <si>
    <t>NewAnnoLC/NM_207421_chr1_17698741.txt</t>
  </si>
  <si>
    <t>NewAnnoLC/NM_213631_chr20_35757224.txt</t>
  </si>
  <si>
    <t>NewAnnoLC/NM_213632_chr20_35757224.txt</t>
  </si>
  <si>
    <t>NewAnnoLC/XM_001714786_chr10_47191765.txt</t>
  </si>
  <si>
    <t>NewAnnoLC/XM_001717544_chr3_44540462.txt</t>
  </si>
  <si>
    <t>NewAnnoLC/XM_003403461_chr16_21845889.txt</t>
  </si>
  <si>
    <t>NewAnnoLC/XM_003846356_chr12_40791677.txt</t>
  </si>
  <si>
    <t>NewAnnoLC/XM_003959954_chr19_21800852.txt</t>
  </si>
  <si>
    <t>NewAnnoLC/NM_000597_chr2_217498127.txt</t>
    <phoneticPr fontId="1" type="noConversion"/>
  </si>
  <si>
    <r>
      <rPr>
        <sz val="10"/>
        <color theme="1"/>
        <rFont val="宋体"/>
        <family val="3"/>
        <charset val="134"/>
      </rPr>
      <t>无法验证，</t>
    </r>
    <r>
      <rPr>
        <sz val="10"/>
        <color theme="1"/>
        <rFont val="Times New Roman"/>
        <family val="1"/>
      </rPr>
      <t>NCBIrs</t>
    </r>
    <r>
      <rPr>
        <sz val="10"/>
        <color theme="1"/>
        <rFont val="宋体"/>
        <family val="3"/>
        <charset val="134"/>
      </rPr>
      <t>无此变体（</t>
    </r>
    <r>
      <rPr>
        <sz val="10"/>
        <color theme="1"/>
        <rFont val="Times New Roman"/>
        <family val="1"/>
      </rPr>
      <t>rs747453609</t>
    </r>
    <r>
      <rPr>
        <sz val="10"/>
        <color theme="1"/>
        <rFont val="宋体"/>
        <family val="3"/>
        <charset val="134"/>
      </rPr>
      <t>），纠后氨基酸加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chr2:217498311-217528827</t>
    </r>
    <phoneticPr fontId="1" type="noConversion"/>
  </si>
  <si>
    <r>
      <rPr>
        <sz val="10"/>
        <color theme="1"/>
        <rFont val="宋体"/>
        <family val="3"/>
        <charset val="134"/>
      </rPr>
      <t>纠后正确，加了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个氨基酸</t>
    </r>
    <phoneticPr fontId="1" type="noConversion"/>
  </si>
  <si>
    <t>NM_000682chr2:96778623</t>
    <phoneticPr fontId="1" type="noConversion"/>
  </si>
  <si>
    <r>
      <rPr>
        <sz val="10"/>
        <color theme="1"/>
        <rFont val="宋体"/>
        <family val="3"/>
        <charset val="134"/>
      </rPr>
      <t>纠后正确，少了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个氨基酸</t>
    </r>
    <phoneticPr fontId="1" type="noConversion"/>
  </si>
  <si>
    <r>
      <rPr>
        <sz val="10"/>
        <color theme="1"/>
        <rFont val="宋体"/>
        <family val="3"/>
        <charset val="134"/>
      </rPr>
      <t>纠后正确，且氨基酸加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chr18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43833705-43843081</t>
    </r>
    <phoneticPr fontId="1" type="noConversion"/>
  </si>
  <si>
    <t>NM_001008239chr18:43753988</t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</si>
  <si>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chr8:86126795-86126826</t>
    </r>
    <phoneticPr fontId="1" type="noConversion"/>
  </si>
  <si>
    <t>NM_001113239chr7:139246316</t>
    <phoneticPr fontId="1" type="noConversion"/>
  </si>
  <si>
    <t>NM_001145026chr12:80838126</t>
    <phoneticPr fontId="1" type="noConversion"/>
  </si>
  <si>
    <t>NewAnnoLC/NM_001171904_chr3_51433298.txt</t>
    <phoneticPr fontId="1" type="noConversion"/>
  </si>
  <si>
    <t>NM_001171904chr3:51433298</t>
    <phoneticPr fontId="1" type="noConversion"/>
  </si>
  <si>
    <t>NewAnnoLC/NM_002457_chr11_1074875.txt</t>
    <phoneticPr fontId="1" type="noConversion"/>
  </si>
  <si>
    <t>NewAnnoLC/NM_005828_chr17_61627822.txt</t>
    <phoneticPr fontId="1" type="noConversion"/>
  </si>
  <si>
    <t>NewAnnoLC/NM_033049_chr3_124624289.txt</t>
    <phoneticPr fontId="1" type="noConversion"/>
  </si>
  <si>
    <t>NM_033049chr3:124624289</t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</si>
  <si>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chr3:124627032-124646509</t>
    </r>
    <phoneticPr fontId="1" type="noConversion"/>
  </si>
  <si>
    <t>NewAnnoLC/NM_033486_chr1_1571100.txt</t>
    <phoneticPr fontId="1" type="noConversion"/>
  </si>
  <si>
    <r>
      <rPr>
        <sz val="10"/>
        <color theme="1"/>
        <rFont val="宋体"/>
        <family val="3"/>
        <charset val="134"/>
      </rPr>
      <t>纠后正确，版本不一致，</t>
    </r>
    <r>
      <rPr>
        <sz val="10"/>
        <color theme="1"/>
        <rFont val="Times New Roman"/>
        <family val="1"/>
      </rPr>
      <t>utr</t>
    </r>
    <r>
      <rPr>
        <sz val="10"/>
        <color theme="1"/>
        <rFont val="宋体"/>
        <family val="3"/>
        <charset val="134"/>
      </rPr>
      <t>略有变化</t>
    </r>
    <phoneticPr fontId="1" type="noConversion"/>
  </si>
  <si>
    <r>
      <t>rs</t>
    </r>
    <r>
      <rPr>
        <sz val="10"/>
        <color theme="1"/>
        <rFont val="宋体"/>
        <family val="2"/>
      </rPr>
      <t>号无此变体，区间略有变化，加</t>
    </r>
    <r>
      <rPr>
        <sz val="10"/>
        <color theme="1"/>
        <rFont val="Times New Roman"/>
        <family val="1"/>
      </rPr>
      <t>77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chr1:1571126-1586818</t>
    </r>
    <phoneticPr fontId="1" type="noConversion"/>
  </si>
  <si>
    <r>
      <rPr>
        <sz val="10"/>
        <color theme="1"/>
        <rFont val="宋体"/>
        <family val="2"/>
      </rPr>
      <t>纠后正确，区间略有变化，加</t>
    </r>
    <r>
      <rPr>
        <sz val="10"/>
        <color theme="1"/>
        <rFont val="Times New Roman"/>
        <family val="1"/>
      </rPr>
      <t>77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chr1:1571126-1586818</t>
    </r>
    <phoneticPr fontId="1" type="noConversion"/>
  </si>
  <si>
    <r>
      <rPr>
        <sz val="10"/>
        <color theme="1"/>
        <rFont val="宋体"/>
        <family val="2"/>
      </rPr>
      <t>纠后正确，区间略有变化，加</t>
    </r>
    <r>
      <rPr>
        <sz val="10"/>
        <color theme="1"/>
        <rFont val="Times New Roman"/>
        <family val="1"/>
      </rPr>
      <t>77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chr1:1571126-1586818</t>
    </r>
    <phoneticPr fontId="1" type="noConversion"/>
  </si>
  <si>
    <r>
      <t>rs</t>
    </r>
    <r>
      <rPr>
        <sz val="10"/>
        <color theme="1"/>
        <rFont val="宋体"/>
        <family val="2"/>
      </rPr>
      <t>号无此变体，区间略有变化，加</t>
    </r>
    <r>
      <rPr>
        <sz val="10"/>
        <color theme="1"/>
        <rFont val="Times New Roman"/>
        <family val="1"/>
      </rPr>
      <t>77</t>
    </r>
    <r>
      <rPr>
        <sz val="10"/>
        <color theme="1"/>
        <rFont val="宋体"/>
        <family val="2"/>
      </rPr>
      <t>个氨基酸</t>
    </r>
    <r>
      <rPr>
        <sz val="10"/>
        <color theme="1"/>
        <rFont val="Times New Roman"/>
        <family val="1"/>
      </rPr>
      <t>chr1:1571126-1586818</t>
    </r>
    <phoneticPr fontId="1" type="noConversion"/>
  </si>
  <si>
    <t>NewAnnoLC/NM_138706_chr11_76745435.txt</t>
    <phoneticPr fontId="1" type="noConversion"/>
  </si>
  <si>
    <t>NewAnnoLC/NM_001007277_chr11_125439298.txt</t>
    <phoneticPr fontId="1" type="noConversion"/>
  </si>
  <si>
    <t>NM_001007277chr11:125439298</t>
    <phoneticPr fontId="1" type="noConversion"/>
  </si>
  <si>
    <t>ok</t>
    <phoneticPr fontId="1" type="noConversion"/>
  </si>
  <si>
    <t>NewAnnoLC/NM_002255_chr19_55315067.txt</t>
    <phoneticPr fontId="1" type="noConversion"/>
  </si>
  <si>
    <r>
      <rPr>
        <sz val="10"/>
        <color theme="1"/>
        <rFont val="宋体"/>
        <family val="3"/>
        <charset val="134"/>
      </rPr>
      <t>纠后与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号一致</t>
    </r>
    <r>
      <rPr>
        <sz val="10"/>
        <color theme="1"/>
        <rFont val="Times New Roman"/>
        <family val="1"/>
      </rPr>
      <t>,Browers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Times New Roman"/>
        <family val="1"/>
      </rPr>
      <t>NCBIrs(rs774287963)</t>
    </r>
    <r>
      <rPr>
        <sz val="10"/>
        <color theme="1"/>
        <rFont val="宋体"/>
        <family val="3"/>
        <charset val="134"/>
      </rPr>
      <t>不一致</t>
    </r>
    <r>
      <rPr>
        <sz val="10"/>
        <color theme="1"/>
        <rFont val="Times New Roman"/>
        <family val="1"/>
      </rPr>
      <t>,chr19:55325146-55325566</t>
    </r>
    <phoneticPr fontId="1" type="noConversion"/>
  </si>
  <si>
    <t>纠后与rs号匹配</t>
    <phoneticPr fontId="1" type="noConversion"/>
  </si>
  <si>
    <t>NewAnnoLC/NM_006478_chr22_29702997.txt</t>
    <phoneticPr fontId="1" type="noConversion"/>
  </si>
  <si>
    <t>NewAnnoLC/NM_012314_chr19_55344174.txt</t>
    <phoneticPr fontId="1" type="noConversion"/>
  </si>
  <si>
    <r>
      <t>Browser</t>
    </r>
    <r>
      <rPr>
        <sz val="10"/>
        <color theme="1"/>
        <rFont val="宋体"/>
        <family val="3"/>
        <charset val="134"/>
      </rPr>
      <t>与原结果匹配，纠后与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匹配</t>
    </r>
    <r>
      <rPr>
        <sz val="10"/>
        <color theme="1"/>
        <rFont val="Times New Roman"/>
        <family val="1"/>
      </rPr>
      <t>(rs746499983)chr19:55350966-55359398</t>
    </r>
    <phoneticPr fontId="1" type="noConversion"/>
  </si>
  <si>
    <t>NewAnnoLC/NM_014249_chr15_72102894.txt</t>
    <phoneticPr fontId="1" type="noConversion"/>
  </si>
  <si>
    <t>NewAnnoLC/NM_015653_chr22_45809574.txt</t>
    <phoneticPr fontId="1" type="noConversion"/>
  </si>
  <si>
    <r>
      <t>Browser</t>
    </r>
    <r>
      <rPr>
        <sz val="10"/>
        <color theme="1"/>
        <rFont val="宋体"/>
        <family val="3"/>
        <charset val="134"/>
      </rPr>
      <t>与原结果匹配，纠后与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匹配（</t>
    </r>
    <r>
      <rPr>
        <sz val="10"/>
        <color theme="1"/>
        <rFont val="Times New Roman"/>
        <family val="1"/>
      </rPr>
      <t>rs782094811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chr5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140568037-140569285</t>
    </r>
    <phoneticPr fontId="1" type="noConversion"/>
  </si>
  <si>
    <t>NewAnnoLC/NM_019119_chr5_140566893.txt</t>
    <phoneticPr fontId="1" type="noConversion"/>
  </si>
  <si>
    <t>纠后与rs号匹配</t>
    <phoneticPr fontId="1" type="noConversion"/>
  </si>
  <si>
    <t>NM_001039127chr4:124420</t>
    <phoneticPr fontId="1" type="noConversion"/>
  </si>
  <si>
    <r>
      <rPr>
        <sz val="10"/>
        <color theme="1"/>
        <rFont val="宋体"/>
        <family val="3"/>
        <charset val="134"/>
      </rPr>
      <t>纠后区间有变化（版本不一致）与</t>
    </r>
    <r>
      <rPr>
        <sz val="10"/>
        <color theme="1"/>
        <rFont val="Times New Roman"/>
        <family val="1"/>
      </rPr>
      <t>Browers</t>
    </r>
    <r>
      <rPr>
        <sz val="10"/>
        <color theme="1"/>
        <rFont val="宋体"/>
        <family val="3"/>
        <charset val="134"/>
      </rPr>
      <t>相匹配，</t>
    </r>
    <r>
      <rPr>
        <sz val="10"/>
        <color theme="1"/>
        <rFont val="Times New Roman"/>
        <family val="1"/>
      </rPr>
      <t>chr4:154702</t>
    </r>
    <r>
      <rPr>
        <sz val="10"/>
        <color theme="1"/>
        <rFont val="宋体"/>
        <family val="3"/>
        <charset val="134"/>
      </rPr>
      <t>之前的与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号信息不一致，之后一致</t>
    </r>
    <phoneticPr fontId="1" type="noConversion"/>
  </si>
  <si>
    <t>NM_005828chr17:61627822</t>
    <phoneticPr fontId="1" type="noConversion"/>
  </si>
  <si>
    <t>NM_005828chr17:61627796</t>
    <phoneticPr fontId="1" type="noConversion"/>
  </si>
  <si>
    <t>NM_005828chr17:61627822</t>
    <phoneticPr fontId="1" type="noConversion"/>
  </si>
  <si>
    <t>NM_006478chr22:29702997</t>
    <phoneticPr fontId="1" type="noConversion"/>
  </si>
  <si>
    <r>
      <rPr>
        <sz val="10"/>
        <color theme="1"/>
        <rFont val="宋体"/>
        <family val="3"/>
        <charset val="134"/>
      </rPr>
      <t>无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号验证，氨基酸加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chrX:1314875-1314998</t>
    </r>
    <phoneticPr fontId="1" type="noConversion"/>
  </si>
  <si>
    <t>NM_014249chr15:72102894</t>
    <phoneticPr fontId="1" type="noConversion"/>
  </si>
  <si>
    <t>NM_015077chr17:26698987</t>
    <phoneticPr fontId="1" type="noConversion"/>
  </si>
  <si>
    <t>NM_015653chr22:45809574</t>
    <phoneticPr fontId="1" type="noConversion"/>
  </si>
  <si>
    <t>NM_016324chr19:58694396</t>
    <phoneticPr fontId="1" type="noConversion"/>
  </si>
  <si>
    <t>NM_032102chr11:94800056</t>
    <phoneticPr fontId="1" type="noConversion"/>
  </si>
  <si>
    <t>NM_133457chr7:101006122</t>
    <phoneticPr fontId="1" type="noConversion"/>
  </si>
  <si>
    <t>NM_133502chr19:58694396</t>
    <phoneticPr fontId="1" type="noConversion"/>
  </si>
  <si>
    <t>NM_152236chr22:29702997</t>
    <phoneticPr fontId="1" type="noConversion"/>
  </si>
  <si>
    <t>NM_152758chr8:64081121</t>
    <phoneticPr fontId="1" type="noConversion"/>
  </si>
  <si>
    <t>NM_178167chr16:2047768</t>
    <phoneticPr fontId="1" type="noConversion"/>
  </si>
  <si>
    <t>XM_001717544chr3:44540462</t>
    <phoneticPr fontId="1" type="noConversion"/>
  </si>
  <si>
    <t>NM_138706chr11:76745435</t>
    <phoneticPr fontId="1" type="noConversion"/>
  </si>
  <si>
    <t>NM_138706chr11:76745435</t>
    <phoneticPr fontId="1" type="noConversion"/>
  </si>
  <si>
    <t>NM_138706chr11:76745385</t>
    <phoneticPr fontId="1" type="noConversion"/>
  </si>
  <si>
    <t>NM_138706</t>
    <phoneticPr fontId="1" type="noConversion"/>
  </si>
  <si>
    <t>NM_016324chr19:58694356</t>
    <phoneticPr fontId="1" type="noConversion"/>
  </si>
  <si>
    <t>NM_015077</t>
    <phoneticPr fontId="1" type="noConversion"/>
  </si>
  <si>
    <t>ok</t>
    <phoneticPr fontId="1" type="noConversion"/>
  </si>
  <si>
    <t>ok</t>
    <phoneticPr fontId="1" type="noConversion"/>
  </si>
  <si>
    <t>NewAnnoLC/NM_016346_chr15_72102894.txt</t>
    <phoneticPr fontId="1" type="noConversion"/>
  </si>
  <si>
    <t>NM_016346chr15:72102894</t>
    <phoneticPr fontId="1" type="noConversion"/>
  </si>
  <si>
    <t>NewAnnoLC/NM_001039127_chr4_124420.txt</t>
    <phoneticPr fontId="1" type="noConversion"/>
  </si>
  <si>
    <t>NM_001039127chr4:124420</t>
    <phoneticPr fontId="1" type="noConversion"/>
  </si>
  <si>
    <t>NM_001039127</t>
    <phoneticPr fontId="1" type="noConversion"/>
  </si>
  <si>
    <t>NM_001039127chr4:124358</t>
    <phoneticPr fontId="1" type="noConversion"/>
  </si>
  <si>
    <t>2(1)</t>
    <phoneticPr fontId="1" type="noConversion"/>
  </si>
  <si>
    <t>第二次修正数目</t>
    <phoneticPr fontId="1" type="noConversion"/>
  </si>
  <si>
    <t>10(9)</t>
    <phoneticPr fontId="1" type="noConversion"/>
  </si>
  <si>
    <t>4(1)</t>
    <phoneticPr fontId="1" type="noConversion"/>
  </si>
  <si>
    <t>43(31)</t>
    <phoneticPr fontId="1" type="noConversion"/>
  </si>
  <si>
    <t>161(109)</t>
    <phoneticPr fontId="1" type="noConversion"/>
  </si>
  <si>
    <t>14(10)</t>
    <phoneticPr fontId="1" type="noConversion"/>
  </si>
  <si>
    <t>2(1)</t>
    <phoneticPr fontId="1" type="noConversion"/>
  </si>
  <si>
    <t>5(3)</t>
    <phoneticPr fontId="1" type="noConversion"/>
  </si>
  <si>
    <r>
      <t>1(1,</t>
    </r>
    <r>
      <rPr>
        <sz val="10"/>
        <color theme="1"/>
        <rFont val="宋体"/>
        <family val="3"/>
        <charset val="134"/>
      </rPr>
      <t>编码正确</t>
    </r>
    <r>
      <rPr>
        <sz val="10"/>
        <color theme="1"/>
        <rFont val="Times New Roman"/>
        <family val="1"/>
      </rPr>
      <t>)</t>
    </r>
    <phoneticPr fontId="1" type="noConversion"/>
  </si>
  <si>
    <t>变体或基因被取消、假基因</t>
    <phoneticPr fontId="1" type="noConversion"/>
  </si>
  <si>
    <r>
      <t>1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</si>
  <si>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3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）</t>
    </r>
    <phoneticPr fontId="1" type="noConversion"/>
  </si>
  <si>
    <t>HLA-A</t>
    <phoneticPr fontId="1" type="noConversion"/>
  </si>
  <si>
    <t>XM_001724242chr2:133062580</t>
    <phoneticPr fontId="1" type="noConversion"/>
  </si>
  <si>
    <t>无此变体，两段</t>
    <phoneticPr fontId="1" type="noConversion"/>
  </si>
  <si>
    <t>无此变体，两段</t>
    <phoneticPr fontId="1" type="noConversion"/>
  </si>
  <si>
    <t>NM_001085423</t>
    <phoneticPr fontId="1" type="noConversion"/>
  </si>
  <si>
    <t>NM_001134939</t>
    <phoneticPr fontId="1" type="noConversion"/>
  </si>
  <si>
    <t>NM_001145051</t>
    <phoneticPr fontId="1" type="noConversion"/>
  </si>
  <si>
    <t>基因不完整，烂尾，不影响前面编码</t>
    <phoneticPr fontId="1" type="noConversion"/>
  </si>
  <si>
    <t>NM_001146336</t>
    <phoneticPr fontId="1" type="noConversion"/>
  </si>
  <si>
    <t>NM_001170637</t>
    <phoneticPr fontId="1" type="noConversion"/>
  </si>
  <si>
    <t>NM_001172437</t>
    <phoneticPr fontId="1" type="noConversion"/>
  </si>
  <si>
    <t>NM_001242758</t>
    <phoneticPr fontId="1" type="noConversion"/>
  </si>
  <si>
    <t>NM_001243076</t>
    <phoneticPr fontId="1" type="noConversion"/>
  </si>
  <si>
    <r>
      <t>CDS</t>
    </r>
    <r>
      <rPr>
        <sz val="10"/>
        <color theme="1"/>
        <rFont val="宋体"/>
        <family val="3"/>
        <charset val="134"/>
      </rPr>
      <t>起始终止变化</t>
    </r>
    <phoneticPr fontId="1" type="noConversion"/>
  </si>
  <si>
    <t>NM_002537</t>
    <phoneticPr fontId="1" type="noConversion"/>
  </si>
  <si>
    <t>OAZ2</t>
    <phoneticPr fontId="1" type="noConversion"/>
  </si>
  <si>
    <r>
      <t>NCBI Browser</t>
    </r>
    <r>
      <rPr>
        <sz val="10"/>
        <color theme="1"/>
        <rFont val="宋体"/>
        <family val="3"/>
        <charset val="134"/>
      </rPr>
      <t>无编码信息</t>
    </r>
    <phoneticPr fontId="1" type="noConversion"/>
  </si>
  <si>
    <t>NM_003585</t>
    <phoneticPr fontId="1" type="noConversion"/>
  </si>
  <si>
    <t>NM_003631</t>
    <phoneticPr fontId="1" type="noConversion"/>
  </si>
  <si>
    <t>NM_003868</t>
    <phoneticPr fontId="1" type="noConversion"/>
  </si>
  <si>
    <t>NM_004152</t>
    <phoneticPr fontId="1" type="noConversion"/>
  </si>
  <si>
    <t>NM_012227</t>
    <phoneticPr fontId="1" type="noConversion"/>
  </si>
  <si>
    <t>NM_015068</t>
    <phoneticPr fontId="1" type="noConversion"/>
  </si>
  <si>
    <t>NM_016178</t>
    <phoneticPr fontId="1" type="noConversion"/>
  </si>
  <si>
    <t>NM_018461</t>
    <phoneticPr fontId="1" type="noConversion"/>
  </si>
  <si>
    <t>NM_019105</t>
    <phoneticPr fontId="1" type="noConversion"/>
  </si>
  <si>
    <t>NM_031413</t>
    <phoneticPr fontId="1" type="noConversion"/>
  </si>
  <si>
    <t>NM_053005</t>
    <phoneticPr fontId="1" type="noConversion"/>
  </si>
  <si>
    <t>NM_133625</t>
    <phoneticPr fontId="1" type="noConversion"/>
  </si>
  <si>
    <t>XM_001724242</t>
    <phoneticPr fontId="1" type="noConversion"/>
  </si>
  <si>
    <t>ZNF806</t>
    <phoneticPr fontId="1" type="noConversion"/>
  </si>
  <si>
    <r>
      <t>CDS</t>
    </r>
    <r>
      <rPr>
        <sz val="10"/>
        <color theme="1"/>
        <rFont val="宋体"/>
        <family val="3"/>
        <charset val="134"/>
      </rPr>
      <t>起始变化</t>
    </r>
    <phoneticPr fontId="1" type="noConversion"/>
  </si>
  <si>
    <t>XM_002342102</t>
    <phoneticPr fontId="1" type="noConversion"/>
  </si>
  <si>
    <t>XM_003118558</t>
    <phoneticPr fontId="1" type="noConversion"/>
  </si>
  <si>
    <r>
      <t>CDS</t>
    </r>
    <r>
      <rPr>
        <sz val="10"/>
        <color theme="1"/>
        <rFont val="宋体"/>
        <family val="3"/>
        <charset val="134"/>
      </rPr>
      <t>起始变化</t>
    </r>
    <phoneticPr fontId="1" type="noConversion"/>
  </si>
  <si>
    <r>
      <t>CDS</t>
    </r>
    <r>
      <rPr>
        <sz val="10"/>
        <color theme="1"/>
        <rFont val="宋体"/>
        <family val="3"/>
        <charset val="134"/>
      </rPr>
      <t>起始变化</t>
    </r>
    <phoneticPr fontId="1" type="noConversion"/>
  </si>
  <si>
    <t>XM_003118862</t>
    <phoneticPr fontId="1" type="noConversion"/>
  </si>
  <si>
    <t>基因不完整，缺头，氨基酸与位置不正确</t>
  </si>
  <si>
    <t>基因不完整，缺头，氨基酸与位置不正确</t>
    <phoneticPr fontId="1" type="noConversion"/>
  </si>
  <si>
    <t>NM_012234</t>
    <phoneticPr fontId="1" type="noConversion"/>
  </si>
  <si>
    <t>基因不完整，缺头，氨基酸正确，位置不正确</t>
    <phoneticPr fontId="1" type="noConversion"/>
  </si>
  <si>
    <t>NM_012227</t>
    <phoneticPr fontId="1" type="noConversion"/>
  </si>
  <si>
    <t>基因不完整，缺头，氨基酸与位置不正确</t>
    <phoneticPr fontId="1" type="noConversion"/>
  </si>
  <si>
    <t>NM_182705</t>
    <phoneticPr fontId="1" type="noConversion"/>
  </si>
  <si>
    <t>NM_003178</t>
    <phoneticPr fontId="1" type="noConversion"/>
  </si>
  <si>
    <t>NM_001380</t>
    <phoneticPr fontId="1" type="noConversion"/>
  </si>
  <si>
    <t>NM_001144382</t>
    <phoneticPr fontId="1" type="noConversion"/>
  </si>
  <si>
    <t>NM_001171904</t>
    <phoneticPr fontId="1" type="noConversion"/>
  </si>
  <si>
    <r>
      <rPr>
        <sz val="10"/>
        <color theme="1"/>
        <rFont val="宋体"/>
        <family val="3"/>
        <charset val="134"/>
      </rPr>
      <t>纠后正确，</t>
    </r>
    <r>
      <rPr>
        <sz val="10"/>
        <color theme="1"/>
        <rFont val="Times New Roman"/>
        <family val="1"/>
      </rPr>
      <t>rs</t>
    </r>
    <r>
      <rPr>
        <sz val="10"/>
        <color theme="1"/>
        <rFont val="宋体"/>
        <family val="3"/>
        <charset val="134"/>
      </rPr>
      <t>无基因信息，加</t>
    </r>
    <r>
      <rPr>
        <sz val="10"/>
        <color theme="1"/>
        <rFont val="Times New Roman"/>
        <family val="1"/>
      </rPr>
      <t>53</t>
    </r>
    <r>
      <rPr>
        <sz val="10"/>
        <color theme="1"/>
        <rFont val="宋体"/>
        <family val="3"/>
        <charset val="134"/>
      </rPr>
      <t>个氨基酸，</t>
    </r>
    <r>
      <rPr>
        <sz val="10"/>
        <color theme="1"/>
        <rFont val="Times New Roman"/>
        <family val="1"/>
      </rPr>
      <t>chr3:51436200-51467663</t>
    </r>
    <phoneticPr fontId="1" type="noConversion"/>
  </si>
  <si>
    <t>NM_198689</t>
    <phoneticPr fontId="1" type="noConversion"/>
  </si>
  <si>
    <r>
      <rPr>
        <sz val="10"/>
        <color theme="1"/>
        <rFont val="宋体"/>
        <family val="3"/>
        <charset val="134"/>
      </rPr>
      <t>纠后正确，少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chr21:46020656-46021649</t>
    </r>
    <phoneticPr fontId="1" type="noConversion"/>
  </si>
  <si>
    <t>NM_002111</t>
    <phoneticPr fontId="1" type="noConversion"/>
  </si>
  <si>
    <r>
      <rPr>
        <sz val="10"/>
        <color theme="1"/>
        <rFont val="宋体"/>
        <family val="3"/>
        <charset val="134"/>
      </rPr>
      <t>纠后正确，加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个氨基酸</t>
    </r>
    <r>
      <rPr>
        <sz val="10"/>
        <color theme="1"/>
        <rFont val="Times New Roman"/>
        <family val="1"/>
      </rPr>
      <t>chr4:3076663-3241786</t>
    </r>
    <phoneticPr fontId="1" type="noConversion"/>
  </si>
  <si>
    <r>
      <rPr>
        <sz val="10"/>
        <color theme="1"/>
        <rFont val="宋体"/>
        <family val="3"/>
        <charset val="134"/>
      </rPr>
      <t>纠后增加</t>
    </r>
    <r>
      <rPr>
        <sz val="10"/>
        <color theme="1"/>
        <rFont val="Times New Roman"/>
        <family val="1"/>
      </rPr>
      <t>92</t>
    </r>
    <r>
      <rPr>
        <sz val="10"/>
        <color theme="1"/>
        <rFont val="宋体"/>
        <family val="3"/>
        <charset val="134"/>
      </rPr>
      <t>个氨基酸（版本不一致，区间略有变化）</t>
    </r>
    <r>
      <rPr>
        <sz val="10"/>
        <color theme="1"/>
        <rFont val="Times New Roman"/>
        <family val="1"/>
      </rPr>
      <t>,rs</t>
    </r>
    <r>
      <rPr>
        <sz val="10"/>
        <color theme="1"/>
        <rFont val="宋体"/>
        <family val="3"/>
        <charset val="134"/>
      </rPr>
      <t>号无信息</t>
    </r>
    <r>
      <rPr>
        <sz val="10"/>
        <color theme="1"/>
        <rFont val="Times New Roman"/>
        <family val="1"/>
      </rPr>
      <t>chr1:16890439-16892303</t>
    </r>
    <phoneticPr fontId="1" type="noConversion"/>
  </si>
  <si>
    <r>
      <rPr>
        <sz val="10"/>
        <color theme="1"/>
        <rFont val="宋体"/>
        <family val="3"/>
        <charset val="134"/>
      </rPr>
      <t>纠后正确，区间略有变化，</t>
    </r>
    <r>
      <rPr>
        <sz val="10"/>
        <color theme="1"/>
        <rFont val="Times New Roman"/>
        <family val="1"/>
      </rPr>
      <t>chr22:51133475-51169740</t>
    </r>
    <phoneticPr fontId="1" type="noConversion"/>
  </si>
  <si>
    <t>NM_001012709</t>
    <phoneticPr fontId="1" type="noConversion"/>
  </si>
  <si>
    <t>MILR1</t>
    <phoneticPr fontId="1" type="noConversion"/>
  </si>
  <si>
    <r>
      <rPr>
        <sz val="10"/>
        <color theme="1"/>
        <rFont val="宋体"/>
        <family val="3"/>
        <charset val="134"/>
      </rPr>
      <t>纠后区间有变化（版本不一致）与</t>
    </r>
    <r>
      <rPr>
        <sz val="10"/>
        <color theme="1"/>
        <rFont val="Times New Roman"/>
        <family val="1"/>
      </rPr>
      <t>Browers</t>
    </r>
    <r>
      <rPr>
        <sz val="10"/>
        <color theme="1"/>
        <rFont val="宋体"/>
        <family val="3"/>
        <charset val="134"/>
      </rPr>
      <t>相匹配，</t>
    </r>
    <r>
      <rPr>
        <sz val="10"/>
        <color theme="1"/>
        <rFont val="Times New Roman"/>
        <family val="1"/>
      </rPr>
      <t>chr4:133711-136743</t>
    </r>
    <r>
      <rPr>
        <sz val="10"/>
        <color theme="1"/>
        <rFont val="宋体"/>
        <family val="3"/>
        <charset val="134"/>
      </rPr>
      <t>之前有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个氨基酸不对，其他正确</t>
    </r>
    <phoneticPr fontId="1" type="noConversion"/>
  </si>
  <si>
    <t>NM_033517</t>
    <phoneticPr fontId="1" type="noConversion"/>
  </si>
  <si>
    <t>NM_017940.3</t>
    <phoneticPr fontId="1" type="noConversion"/>
  </si>
  <si>
    <t>NM_033517.1</t>
    <phoneticPr fontId="1" type="noConversion"/>
  </si>
  <si>
    <t>NM_033517.1</t>
    <phoneticPr fontId="1" type="noConversion"/>
  </si>
  <si>
    <t>NM_001080519.2</t>
    <phoneticPr fontId="1" type="noConversion"/>
  </si>
  <si>
    <t>NM_003715.2</t>
    <phoneticPr fontId="1" type="noConversion"/>
  </si>
  <si>
    <t xml:space="preserve">rs781826535 </t>
    <phoneticPr fontId="1" type="noConversion"/>
  </si>
  <si>
    <t>c.281+13T&gt;G</t>
    <phoneticPr fontId="1" type="noConversion"/>
  </si>
  <si>
    <t>rs565335012</t>
    <phoneticPr fontId="1" type="noConversion"/>
  </si>
  <si>
    <t>c.90-19G&gt;A</t>
    <phoneticPr fontId="1" type="noConversion"/>
  </si>
  <si>
    <t>c.100+4T&gt;C</t>
    <phoneticPr fontId="1" type="noConversion"/>
  </si>
  <si>
    <t>rs6813480</t>
    <phoneticPr fontId="1" type="noConversion"/>
  </si>
  <si>
    <t>c.197-7T&gt;G</t>
    <phoneticPr fontId="1" type="noConversion"/>
  </si>
  <si>
    <t>rs760475866</t>
    <phoneticPr fontId="1" type="noConversion"/>
  </si>
  <si>
    <t>c.178+13C&gt;T</t>
    <phoneticPr fontId="1" type="noConversion"/>
  </si>
  <si>
    <t>rs782567217</t>
    <phoneticPr fontId="1" type="noConversion"/>
  </si>
  <si>
    <t>rs781928879</t>
    <phoneticPr fontId="1" type="noConversion"/>
  </si>
  <si>
    <t>c.357-3T&gt;C</t>
    <phoneticPr fontId="1" type="noConversion"/>
  </si>
  <si>
    <t>无法验证</t>
    <phoneticPr fontId="1" type="noConversion"/>
  </si>
  <si>
    <t>c.1304+1G&gt;C</t>
    <phoneticPr fontId="1" type="noConversion"/>
  </si>
  <si>
    <t>c.2150-23G&gt;C</t>
    <phoneticPr fontId="1" type="noConversion"/>
  </si>
  <si>
    <t xml:space="preserve">rs782074020 </t>
  </si>
  <si>
    <t>c.1108-23455G&gt;C</t>
    <phoneticPr fontId="1" type="noConversion"/>
  </si>
  <si>
    <t>与rs号差异较大，氨基酸位置可能不正确</t>
    <phoneticPr fontId="1" type="noConversion"/>
  </si>
  <si>
    <t>与rs号差异较大，氨基酸位置可能不正确</t>
    <phoneticPr fontId="1" type="noConversion"/>
  </si>
  <si>
    <t>rs375286281</t>
    <phoneticPr fontId="1" type="noConversion"/>
  </si>
  <si>
    <t>c.-47A&gt;G</t>
    <phoneticPr fontId="1" type="noConversion"/>
  </si>
  <si>
    <r>
      <rPr>
        <sz val="10"/>
        <color theme="1"/>
        <rFont val="宋体"/>
        <family val="3"/>
        <charset val="134"/>
      </rPr>
      <t>不影响</t>
    </r>
    <r>
      <rPr>
        <sz val="10"/>
        <color theme="1"/>
        <rFont val="Times New Roman"/>
        <family val="1"/>
      </rPr>
      <t>CDS</t>
    </r>
    <phoneticPr fontId="1" type="noConversion"/>
  </si>
  <si>
    <r>
      <t>UTR</t>
    </r>
    <r>
      <rPr>
        <sz val="10"/>
        <color theme="1"/>
        <rFont val="宋体"/>
        <family val="3"/>
        <charset val="134"/>
      </rPr>
      <t>区间相对正确</t>
    </r>
    <phoneticPr fontId="1" type="noConversion"/>
  </si>
  <si>
    <t>c.1145+1G&gt;C</t>
    <phoneticPr fontId="1" type="noConversion"/>
  </si>
  <si>
    <t>NM_031421</t>
    <phoneticPr fontId="1" type="noConversion"/>
  </si>
  <si>
    <t>NM_001080519.2</t>
    <phoneticPr fontId="1" type="noConversion"/>
  </si>
  <si>
    <t>New</t>
    <phoneticPr fontId="1" type="noConversion"/>
  </si>
  <si>
    <t>Raw</t>
    <phoneticPr fontId="1" type="noConversion"/>
  </si>
  <si>
    <t>NM_003715.2</t>
    <phoneticPr fontId="1" type="noConversion"/>
  </si>
  <si>
    <t>New</t>
    <phoneticPr fontId="1" type="noConversion"/>
  </si>
  <si>
    <t>NM_012133</t>
    <phoneticPr fontId="1" type="noConversion"/>
  </si>
  <si>
    <t>NM_012309</t>
    <phoneticPr fontId="1" type="noConversion"/>
  </si>
  <si>
    <t>rs533581477</t>
  </si>
  <si>
    <t>c.1343-2A&gt;C</t>
    <phoneticPr fontId="1" type="noConversion"/>
  </si>
  <si>
    <t>rs189239015</t>
    <phoneticPr fontId="1" type="noConversion"/>
  </si>
  <si>
    <t>c.227+6C&gt;T</t>
    <phoneticPr fontId="1" type="noConversion"/>
  </si>
  <si>
    <t xml:space="preserve">rs773980595 </t>
    <phoneticPr fontId="1" type="noConversion"/>
  </si>
  <si>
    <t>c.495-3C&gt;A</t>
    <phoneticPr fontId="1" type="noConversion"/>
  </si>
  <si>
    <t>rs760739817</t>
    <phoneticPr fontId="1" type="noConversion"/>
  </si>
  <si>
    <t>NM_033488</t>
    <phoneticPr fontId="1" type="noConversion"/>
  </si>
  <si>
    <t>无此变体</t>
    <phoneticPr fontId="1" type="noConversion"/>
  </si>
  <si>
    <t>c.393-3C&gt;A</t>
    <phoneticPr fontId="1" type="noConversion"/>
  </si>
  <si>
    <t>无此变休</t>
    <phoneticPr fontId="1" type="noConversion"/>
  </si>
  <si>
    <t>NM_033493</t>
    <phoneticPr fontId="1" type="noConversion"/>
  </si>
  <si>
    <t>XM_003403461</t>
    <phoneticPr fontId="1" type="noConversion"/>
  </si>
  <si>
    <t xml:space="preserve"> </t>
    <phoneticPr fontId="1" type="noConversion"/>
  </si>
  <si>
    <t>无基因信息</t>
    <phoneticPr fontId="1" type="noConversion"/>
  </si>
  <si>
    <t>rs534704667</t>
    <phoneticPr fontId="1" type="noConversion"/>
  </si>
  <si>
    <t>c.226+8326C&gt;T</t>
    <phoneticPr fontId="1" type="noConversion"/>
  </si>
  <si>
    <t>rs189937327</t>
    <phoneticPr fontId="1" type="noConversion"/>
  </si>
  <si>
    <t>c.226+11450G&gt;C</t>
    <phoneticPr fontId="1" type="noConversion"/>
  </si>
  <si>
    <t>NM_001039127</t>
    <phoneticPr fontId="1" type="noConversion"/>
  </si>
  <si>
    <t>rs112839493</t>
    <phoneticPr fontId="1" type="noConversion"/>
  </si>
  <si>
    <t>rs746963864</t>
    <phoneticPr fontId="1" type="noConversion"/>
  </si>
  <si>
    <t>2(1,DPP6)</t>
    <phoneticPr fontId="1" type="noConversion"/>
  </si>
  <si>
    <t>1(1,DPP6)</t>
    <phoneticPr fontId="1" type="noConversion"/>
  </si>
  <si>
    <t>7(6)</t>
    <phoneticPr fontId="1" type="noConversion"/>
  </si>
  <si>
    <t>基因不完整(CDS起始终止变化)</t>
    <phoneticPr fontId="1" type="noConversion"/>
  </si>
  <si>
    <t>3(2)</t>
    <phoneticPr fontId="1" type="noConversion"/>
  </si>
  <si>
    <t>未解决</t>
    <phoneticPr fontId="1" type="noConversion"/>
  </si>
  <si>
    <r>
      <t>2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</si>
  <si>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2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</si>
  <si>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28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）</t>
    </r>
    <phoneticPr fontId="1" type="noConversion"/>
  </si>
  <si>
    <t>16(14)</t>
    <phoneticPr fontId="1" type="noConversion"/>
  </si>
  <si>
    <r>
      <t>14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</si>
  <si>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6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</si>
  <si>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>915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517</t>
    </r>
    <r>
      <rPr>
        <sz val="10"/>
        <color theme="1"/>
        <rFont val="宋体"/>
        <family val="3"/>
        <charset val="134"/>
      </rPr>
      <t>）</t>
    </r>
    <phoneticPr fontId="1" type="noConversion"/>
  </si>
  <si>
    <t>氨基酸差异&lt;=10</t>
    <phoneticPr fontId="1" type="noConversion"/>
  </si>
  <si>
    <t>氨基酸差异&gt;=10</t>
    <phoneticPr fontId="1" type="noConversion"/>
  </si>
  <si>
    <t>1030(574)</t>
    <phoneticPr fontId="1" type="noConversion"/>
  </si>
  <si>
    <t>307(207)</t>
    <phoneticPr fontId="1" type="noConversion"/>
  </si>
  <si>
    <t>修正数目</t>
    <phoneticPr fontId="1" type="noConversion"/>
  </si>
  <si>
    <t>228（157）</t>
    <phoneticPr fontId="1" type="noConversion"/>
  </si>
  <si>
    <t>多段基因</t>
    <phoneticPr fontId="1" type="noConversion"/>
  </si>
  <si>
    <r>
      <t>1(1,</t>
    </r>
    <r>
      <rPr>
        <sz val="10"/>
        <color theme="1"/>
        <rFont val="宋体"/>
        <family val="3"/>
        <charset val="134"/>
      </rPr>
      <t>编码正确</t>
    </r>
    <r>
      <rPr>
        <sz val="10"/>
        <color theme="1"/>
        <rFont val="Times New Roman"/>
        <family val="1"/>
      </rPr>
      <t>)</t>
    </r>
    <phoneticPr fontId="1" type="noConversion"/>
  </si>
  <si>
    <t>37(12)</t>
    <phoneticPr fontId="1" type="noConversion"/>
  </si>
  <si>
    <t>基因不完整</t>
    <phoneticPr fontId="1" type="noConversion"/>
  </si>
  <si>
    <t>23（21）</t>
    <phoneticPr fontId="1" type="noConversion"/>
  </si>
  <si>
    <t>14（14）</t>
    <phoneticPr fontId="1" type="noConversion"/>
  </si>
  <si>
    <t>6（3）</t>
    <phoneticPr fontId="1" type="noConversion"/>
  </si>
  <si>
    <t>3（2）</t>
    <phoneticPr fontId="1" type="noConversion"/>
  </si>
  <si>
    <t>变体或基因被取消</t>
    <phoneticPr fontId="1" type="noConversion"/>
  </si>
  <si>
    <t>3（1）</t>
    <phoneticPr fontId="1" type="noConversion"/>
  </si>
  <si>
    <r>
      <rPr>
        <sz val="10"/>
        <color theme="1"/>
        <rFont val="宋体"/>
        <family val="3"/>
        <charset val="134"/>
      </rPr>
      <t>存在差异</t>
    </r>
    <r>
      <rPr>
        <sz val="10"/>
        <color theme="1"/>
        <rFont val="Times New Roman"/>
        <family val="1"/>
      </rPr>
      <t>mRNA</t>
    </r>
    <phoneticPr fontId="1" type="noConversion"/>
  </si>
  <si>
    <r>
      <t>34042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19477</t>
    </r>
    <r>
      <rPr>
        <sz val="10"/>
        <color theme="1"/>
        <rFont val="宋体"/>
        <family val="3"/>
        <charset val="134"/>
      </rPr>
      <t>）</t>
    </r>
    <phoneticPr fontId="1" type="noConversion"/>
  </si>
  <si>
    <t>NM_001256945</t>
    <phoneticPr fontId="1" type="noConversion"/>
  </si>
  <si>
    <t>12（5）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</si>
</sst>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宋体"/>
      <family val="2"/>
    </font>
    <font>
      <b/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color theme="1"/>
      <name val="宋体"/>
      <family val="2"/>
    </font>
    <font>
      <sz val="10"/>
      <color theme="0" tint="-0.34998626667073579"/>
      <name val="Times New Roman"/>
      <family val="1"/>
    </font>
    <font>
      <sz val="10"/>
      <color theme="0" tint="-0.34998626667073579"/>
      <name val="宋体"/>
      <family val="3"/>
      <charset val="134"/>
    </font>
    <font>
      <sz val="11"/>
      <color theme="1"/>
      <name val="Times New Roman"/>
      <family val="1"/>
    </font>
    <font>
      <sz val="10"/>
      <color theme="0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7" fillId="2" borderId="4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0" borderId="0" xfId="0" applyFill="1"/>
    <xf numFmtId="0" fontId="2" fillId="0" borderId="0" xfId="0" applyFont="1" applyFill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2" fillId="2" borderId="8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tabSelected="1" workbookViewId="0">
      <selection activeCell="H17" sqref="H17"/>
    </sheetView>
  </sheetViews>
  <sheetFormatPr defaultRowHeight="12.75" x14ac:dyDescent="0.15"/>
  <cols>
    <col min="1" max="1" width="13.5" style="16" customWidth="1"/>
    <col min="2" max="2" width="12.75" style="16" bestFit="1" customWidth="1"/>
    <col min="3" max="3" width="11.75" style="16" customWidth="1"/>
    <col min="4" max="4" width="10.75" style="16" customWidth="1"/>
    <col min="5" max="5" width="11.375" style="16" customWidth="1"/>
    <col min="6" max="6" width="11.25" style="16" customWidth="1"/>
    <col min="7" max="7" width="10.875" style="16" customWidth="1"/>
    <col min="8" max="8" width="12.75" style="16" customWidth="1"/>
    <col min="9" max="9" width="10.375" style="16" customWidth="1"/>
    <col min="10" max="10" width="10.625" style="16" customWidth="1"/>
    <col min="11" max="11" width="11.125" style="16" customWidth="1"/>
    <col min="12" max="12" width="11.625" style="16" customWidth="1"/>
    <col min="13" max="13" width="10.5" style="16" customWidth="1"/>
    <col min="14" max="14" width="13.75" style="16" customWidth="1"/>
    <col min="15" max="15" width="10.375" style="16" customWidth="1"/>
    <col min="16" max="16384" width="9" style="16"/>
  </cols>
  <sheetData>
    <row r="1" spans="1:15" x14ac:dyDescent="0.15">
      <c r="A1" s="19">
        <v>42690</v>
      </c>
    </row>
    <row r="2" spans="1:15" x14ac:dyDescent="0.15">
      <c r="A2" s="20" t="s">
        <v>3</v>
      </c>
    </row>
    <row r="3" spans="1:15" x14ac:dyDescent="0.15">
      <c r="A3" s="16" t="s">
        <v>4</v>
      </c>
    </row>
    <row r="4" spans="1:15" x14ac:dyDescent="0.15">
      <c r="A4" s="16" t="s">
        <v>3759</v>
      </c>
    </row>
    <row r="5" spans="1:15" ht="25.5" x14ac:dyDescent="0.15">
      <c r="A5" s="5" t="s">
        <v>5</v>
      </c>
      <c r="B5" s="6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  <c r="M5" s="9" t="s">
        <v>28</v>
      </c>
      <c r="N5" s="8" t="s">
        <v>27</v>
      </c>
      <c r="O5" s="10" t="s">
        <v>29</v>
      </c>
    </row>
    <row r="6" spans="1:15" ht="38.25" x14ac:dyDescent="0.15">
      <c r="A6" s="21">
        <v>34042</v>
      </c>
      <c r="B6" s="15" t="s">
        <v>3753</v>
      </c>
      <c r="C6" s="15" t="s">
        <v>8882</v>
      </c>
      <c r="D6" s="15" t="s">
        <v>2069</v>
      </c>
      <c r="E6" s="15" t="s">
        <v>24</v>
      </c>
      <c r="F6" s="15" t="s">
        <v>25</v>
      </c>
      <c r="G6" s="22" t="s">
        <v>2070</v>
      </c>
      <c r="H6" s="22" t="s">
        <v>3758</v>
      </c>
      <c r="I6" s="15">
        <v>0</v>
      </c>
      <c r="J6" s="15">
        <v>0</v>
      </c>
      <c r="K6" s="15" t="s">
        <v>26</v>
      </c>
      <c r="L6" s="22" t="s">
        <v>3756</v>
      </c>
      <c r="M6" s="23" t="s">
        <v>3754</v>
      </c>
      <c r="N6" s="36" t="s">
        <v>3755</v>
      </c>
      <c r="O6" s="24" t="s">
        <v>3757</v>
      </c>
    </row>
    <row r="7" spans="1:15" x14ac:dyDescent="0.15">
      <c r="A7" s="25" t="s">
        <v>268</v>
      </c>
      <c r="B7" s="26"/>
      <c r="C7" s="26"/>
      <c r="D7" s="26"/>
      <c r="E7" s="26"/>
      <c r="F7" s="26"/>
      <c r="G7" s="26" t="s">
        <v>8739</v>
      </c>
      <c r="H7" s="26" t="s">
        <v>8870</v>
      </c>
      <c r="I7" s="26"/>
      <c r="J7" s="26"/>
      <c r="K7" s="26" t="s">
        <v>3900</v>
      </c>
      <c r="L7" s="26" t="s">
        <v>8742</v>
      </c>
      <c r="M7" s="27" t="s">
        <v>8743</v>
      </c>
      <c r="N7" s="27" t="s">
        <v>3405</v>
      </c>
      <c r="O7" s="28" t="s">
        <v>8744</v>
      </c>
    </row>
    <row r="8" spans="1:15" x14ac:dyDescent="0.15">
      <c r="A8" s="35" t="s">
        <v>8740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 t="s">
        <v>8745</v>
      </c>
      <c r="N8" s="27"/>
      <c r="O8" s="53" t="s">
        <v>8741</v>
      </c>
    </row>
    <row r="9" spans="1:15" x14ac:dyDescent="0.15">
      <c r="A9" s="34" t="s">
        <v>266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3"/>
      <c r="N9" s="23"/>
      <c r="O9" s="24"/>
    </row>
    <row r="10" spans="1:15" x14ac:dyDescent="0.15">
      <c r="A10" s="25" t="s">
        <v>3742</v>
      </c>
      <c r="B10" s="26"/>
      <c r="C10" s="26"/>
      <c r="D10" s="26"/>
      <c r="E10" s="26"/>
      <c r="F10" s="26"/>
      <c r="G10" s="26"/>
      <c r="H10" s="26" t="s">
        <v>8871</v>
      </c>
      <c r="I10" s="26"/>
      <c r="J10" s="26"/>
      <c r="K10" s="26"/>
      <c r="L10" s="26" t="s">
        <v>8746</v>
      </c>
      <c r="M10" s="27" t="s">
        <v>8747</v>
      </c>
      <c r="N10" s="27" t="s">
        <v>8748</v>
      </c>
      <c r="O10" s="28" t="s">
        <v>8878</v>
      </c>
    </row>
    <row r="11" spans="1:15" x14ac:dyDescent="0.15">
      <c r="A11" s="25" t="s">
        <v>8873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 t="s">
        <v>8872</v>
      </c>
      <c r="N11" s="27" t="s">
        <v>8874</v>
      </c>
      <c r="O11" s="28" t="s">
        <v>8879</v>
      </c>
    </row>
    <row r="12" spans="1:15" x14ac:dyDescent="0.15">
      <c r="A12" s="25" t="s">
        <v>8749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s">
        <v>8750</v>
      </c>
      <c r="N12" s="27" t="s">
        <v>8751</v>
      </c>
      <c r="O12" s="28" t="s">
        <v>8880</v>
      </c>
    </row>
    <row r="13" spans="1:15" x14ac:dyDescent="0.15">
      <c r="A13" s="29" t="s">
        <v>8875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1" t="s">
        <v>8877</v>
      </c>
      <c r="N13" s="31" t="s">
        <v>8876</v>
      </c>
      <c r="O13" s="32" t="s">
        <v>8881</v>
      </c>
    </row>
    <row r="14" spans="1:15" x14ac:dyDescent="0.15">
      <c r="A14" s="16" t="s">
        <v>30</v>
      </c>
    </row>
    <row r="15" spans="1:15" x14ac:dyDescent="0.15">
      <c r="A15" s="33" t="s">
        <v>18</v>
      </c>
      <c r="B15" s="33"/>
      <c r="C15" s="33"/>
      <c r="G15" s="16">
        <f>517+48+3+4</f>
        <v>572</v>
      </c>
    </row>
    <row r="16" spans="1:15" x14ac:dyDescent="0.15">
      <c r="A16" s="33" t="s">
        <v>267</v>
      </c>
      <c r="B16" s="33"/>
      <c r="C16" s="33"/>
      <c r="D16" s="33"/>
    </row>
    <row r="18" spans="1:13" x14ac:dyDescent="0.15">
      <c r="A18" s="18" t="s">
        <v>17</v>
      </c>
    </row>
    <row r="19" spans="1:13" x14ac:dyDescent="0.15">
      <c r="A19" s="16" t="s">
        <v>20</v>
      </c>
      <c r="L19" s="16">
        <v>2</v>
      </c>
      <c r="M19" s="16">
        <v>14</v>
      </c>
    </row>
    <row r="20" spans="1:13" x14ac:dyDescent="0.15">
      <c r="L20" s="16">
        <v>2</v>
      </c>
      <c r="M20" s="16">
        <v>15</v>
      </c>
    </row>
    <row r="21" spans="1:13" x14ac:dyDescent="0.15">
      <c r="A21" s="18" t="s">
        <v>3901</v>
      </c>
      <c r="L21" s="16">
        <v>1</v>
      </c>
      <c r="M21" s="16">
        <v>22</v>
      </c>
    </row>
    <row r="22" spans="1:13" x14ac:dyDescent="0.15">
      <c r="A22" s="16" t="s">
        <v>3902</v>
      </c>
      <c r="L22" s="16">
        <v>1</v>
      </c>
      <c r="M22" s="16">
        <v>29</v>
      </c>
    </row>
    <row r="23" spans="1:13" x14ac:dyDescent="0.15">
      <c r="A23" s="16" t="s">
        <v>19</v>
      </c>
      <c r="L23" s="16">
        <v>2</v>
      </c>
      <c r="M23" s="16">
        <v>33</v>
      </c>
    </row>
    <row r="24" spans="1:13" x14ac:dyDescent="0.15">
      <c r="A24" s="38" t="s">
        <v>3903</v>
      </c>
      <c r="L24" s="16">
        <v>1</v>
      </c>
      <c r="M24" s="16">
        <v>63</v>
      </c>
    </row>
    <row r="25" spans="1:13" x14ac:dyDescent="0.15">
      <c r="A25" s="39" t="s">
        <v>3904</v>
      </c>
      <c r="L25" s="16">
        <v>1</v>
      </c>
      <c r="M25" s="16">
        <v>68</v>
      </c>
    </row>
    <row r="26" spans="1:13" x14ac:dyDescent="0.15">
      <c r="A26" s="17" t="s">
        <v>3905</v>
      </c>
    </row>
    <row r="27" spans="1:13" x14ac:dyDescent="0.15">
      <c r="A27" s="17" t="s">
        <v>3910</v>
      </c>
    </row>
    <row r="28" spans="1:13" x14ac:dyDescent="0.15">
      <c r="L28" s="16">
        <v>1</v>
      </c>
      <c r="M28" s="16">
        <v>75</v>
      </c>
    </row>
    <row r="29" spans="1:13" x14ac:dyDescent="0.15">
      <c r="A29" s="18" t="s">
        <v>21</v>
      </c>
      <c r="L29" s="16">
        <v>1</v>
      </c>
      <c r="M29" s="16">
        <v>79</v>
      </c>
    </row>
    <row r="30" spans="1:13" x14ac:dyDescent="0.15">
      <c r="A30" s="16" t="s">
        <v>8415</v>
      </c>
      <c r="L30" s="16">
        <v>1</v>
      </c>
      <c r="M30" s="16">
        <v>80</v>
      </c>
    </row>
    <row r="31" spans="1:13" x14ac:dyDescent="0.15">
      <c r="L31" s="16">
        <v>2</v>
      </c>
      <c r="M31" s="16">
        <v>82</v>
      </c>
    </row>
    <row r="32" spans="1:13" x14ac:dyDescent="0.15">
      <c r="L32" s="16">
        <v>1</v>
      </c>
      <c r="M32" s="16">
        <v>93</v>
      </c>
    </row>
    <row r="33" spans="1:13" x14ac:dyDescent="0.15">
      <c r="A33" s="18" t="s">
        <v>22</v>
      </c>
      <c r="L33" s="16">
        <v>1</v>
      </c>
      <c r="M33" s="16">
        <v>102</v>
      </c>
    </row>
    <row r="34" spans="1:13" x14ac:dyDescent="0.15">
      <c r="A34" s="16" t="s">
        <v>23</v>
      </c>
      <c r="L34" s="16">
        <v>1</v>
      </c>
      <c r="M34" s="16">
        <v>126</v>
      </c>
    </row>
    <row r="35" spans="1:13" x14ac:dyDescent="0.15">
      <c r="L35" s="16">
        <v>1</v>
      </c>
      <c r="M35" s="16">
        <v>155</v>
      </c>
    </row>
    <row r="36" spans="1:13" x14ac:dyDescent="0.15">
      <c r="L36" s="16">
        <v>1</v>
      </c>
      <c r="M36" s="16">
        <v>180</v>
      </c>
    </row>
    <row r="37" spans="1:13" x14ac:dyDescent="0.15">
      <c r="L37" s="16">
        <v>2</v>
      </c>
      <c r="M37" s="16">
        <v>183</v>
      </c>
    </row>
    <row r="38" spans="1:13" x14ac:dyDescent="0.15">
      <c r="L38" s="16">
        <v>1</v>
      </c>
      <c r="M38" s="16">
        <v>184</v>
      </c>
    </row>
    <row r="39" spans="1:13" x14ac:dyDescent="0.15">
      <c r="L39" s="16">
        <v>1</v>
      </c>
      <c r="M39" s="16">
        <v>197</v>
      </c>
    </row>
    <row r="40" spans="1:13" x14ac:dyDescent="0.15">
      <c r="L40" s="16">
        <v>1</v>
      </c>
      <c r="M40" s="16">
        <v>208</v>
      </c>
    </row>
    <row r="41" spans="1:13" x14ac:dyDescent="0.15">
      <c r="L41" s="16">
        <v>1</v>
      </c>
      <c r="M41" s="16">
        <v>216</v>
      </c>
    </row>
    <row r="42" spans="1:13" x14ac:dyDescent="0.15">
      <c r="L42" s="16">
        <v>1</v>
      </c>
      <c r="M42" s="16">
        <v>227</v>
      </c>
    </row>
    <row r="43" spans="1:13" x14ac:dyDescent="0.15">
      <c r="L43" s="16">
        <v>1</v>
      </c>
      <c r="M43" s="16">
        <v>228</v>
      </c>
    </row>
    <row r="44" spans="1:13" x14ac:dyDescent="0.15">
      <c r="L44" s="16">
        <v>1</v>
      </c>
      <c r="M44" s="16">
        <v>231</v>
      </c>
    </row>
    <row r="45" spans="1:13" x14ac:dyDescent="0.15">
      <c r="L45" s="16">
        <v>1</v>
      </c>
      <c r="M45" s="16">
        <v>235</v>
      </c>
    </row>
    <row r="46" spans="1:13" x14ac:dyDescent="0.15">
      <c r="L46" s="16">
        <v>1</v>
      </c>
      <c r="M46" s="16">
        <v>236</v>
      </c>
    </row>
    <row r="47" spans="1:13" x14ac:dyDescent="0.15">
      <c r="L47" s="16">
        <v>1</v>
      </c>
      <c r="M47" s="16">
        <v>238</v>
      </c>
    </row>
    <row r="48" spans="1:13" x14ac:dyDescent="0.15">
      <c r="L48" s="16">
        <v>2</v>
      </c>
      <c r="M48" s="16">
        <v>254</v>
      </c>
    </row>
    <row r="49" spans="12:13" x14ac:dyDescent="0.15">
      <c r="L49" s="16">
        <v>2</v>
      </c>
      <c r="M49" s="16">
        <v>263</v>
      </c>
    </row>
    <row r="50" spans="12:13" x14ac:dyDescent="0.15">
      <c r="L50" s="16">
        <v>1</v>
      </c>
      <c r="M50" s="16">
        <v>269</v>
      </c>
    </row>
    <row r="51" spans="12:13" x14ac:dyDescent="0.15">
      <c r="L51" s="16">
        <v>2</v>
      </c>
      <c r="M51" s="16">
        <v>270</v>
      </c>
    </row>
    <row r="52" spans="12:13" x14ac:dyDescent="0.15">
      <c r="L52" s="16">
        <v>1</v>
      </c>
      <c r="M52" s="16">
        <v>272</v>
      </c>
    </row>
    <row r="53" spans="12:13" x14ac:dyDescent="0.15">
      <c r="L53" s="16">
        <v>1</v>
      </c>
      <c r="M53" s="16">
        <v>295</v>
      </c>
    </row>
    <row r="54" spans="12:13" x14ac:dyDescent="0.15">
      <c r="L54" s="16">
        <v>1</v>
      </c>
      <c r="M54" s="16">
        <v>312</v>
      </c>
    </row>
    <row r="55" spans="12:13" x14ac:dyDescent="0.15">
      <c r="L55" s="16">
        <v>1</v>
      </c>
      <c r="M55" s="16">
        <v>313</v>
      </c>
    </row>
    <row r="56" spans="12:13" x14ac:dyDescent="0.15">
      <c r="L56" s="16">
        <v>1</v>
      </c>
      <c r="M56" s="16">
        <v>321</v>
      </c>
    </row>
    <row r="57" spans="12:13" x14ac:dyDescent="0.15">
      <c r="L57" s="16">
        <v>2</v>
      </c>
      <c r="M57" s="16">
        <v>328</v>
      </c>
    </row>
    <row r="58" spans="12:13" x14ac:dyDescent="0.15">
      <c r="L58" s="16">
        <v>2</v>
      </c>
      <c r="M58" s="16">
        <v>367</v>
      </c>
    </row>
    <row r="59" spans="12:13" x14ac:dyDescent="0.15">
      <c r="L59" s="16">
        <v>1</v>
      </c>
      <c r="M59" s="16">
        <v>389</v>
      </c>
    </row>
    <row r="60" spans="12:13" x14ac:dyDescent="0.15">
      <c r="L60" s="16">
        <v>1</v>
      </c>
      <c r="M60" s="16">
        <v>412</v>
      </c>
    </row>
    <row r="61" spans="12:13" x14ac:dyDescent="0.15">
      <c r="L61" s="16">
        <v>1</v>
      </c>
      <c r="M61" s="16">
        <v>415</v>
      </c>
    </row>
    <row r="62" spans="12:13" x14ac:dyDescent="0.15">
      <c r="L62" s="16">
        <v>1</v>
      </c>
      <c r="M62" s="16">
        <v>563</v>
      </c>
    </row>
    <row r="63" spans="12:13" x14ac:dyDescent="0.15">
      <c r="L63" s="16">
        <v>2</v>
      </c>
      <c r="M63" s="16">
        <v>570</v>
      </c>
    </row>
    <row r="64" spans="12:13" x14ac:dyDescent="0.15">
      <c r="L64" s="16">
        <v>1</v>
      </c>
      <c r="M64" s="16">
        <v>577</v>
      </c>
    </row>
    <row r="65" spans="12:13" x14ac:dyDescent="0.15">
      <c r="L65" s="16">
        <v>1</v>
      </c>
      <c r="M65" s="16">
        <v>578</v>
      </c>
    </row>
    <row r="66" spans="12:13" x14ac:dyDescent="0.15">
      <c r="L66" s="16">
        <v>1</v>
      </c>
      <c r="M66" s="16">
        <v>585</v>
      </c>
    </row>
    <row r="67" spans="12:13" x14ac:dyDescent="0.15">
      <c r="L67" s="16">
        <v>1</v>
      </c>
      <c r="M67" s="16">
        <v>619</v>
      </c>
    </row>
    <row r="68" spans="12:13" x14ac:dyDescent="0.15">
      <c r="L68" s="16">
        <v>1</v>
      </c>
      <c r="M68" s="16">
        <v>628</v>
      </c>
    </row>
    <row r="69" spans="12:13" x14ac:dyDescent="0.15">
      <c r="L69" s="16">
        <v>1</v>
      </c>
      <c r="M69" s="16">
        <v>635</v>
      </c>
    </row>
    <row r="70" spans="12:13" x14ac:dyDescent="0.15">
      <c r="L70" s="16">
        <v>1</v>
      </c>
      <c r="M70" s="16">
        <v>654</v>
      </c>
    </row>
    <row r="71" spans="12:13" x14ac:dyDescent="0.15">
      <c r="L71" s="16">
        <v>1</v>
      </c>
      <c r="M71" s="16">
        <v>763</v>
      </c>
    </row>
    <row r="72" spans="12:13" x14ac:dyDescent="0.15">
      <c r="L72" s="16">
        <v>1</v>
      </c>
      <c r="M72" s="16">
        <v>792</v>
      </c>
    </row>
    <row r="73" spans="12:13" x14ac:dyDescent="0.15">
      <c r="L73" s="16">
        <v>1</v>
      </c>
      <c r="M73" s="16">
        <v>836</v>
      </c>
    </row>
    <row r="74" spans="12:13" x14ac:dyDescent="0.15">
      <c r="L74" s="16">
        <v>2</v>
      </c>
      <c r="M74" s="16">
        <v>1029</v>
      </c>
    </row>
    <row r="75" spans="12:13" x14ac:dyDescent="0.15">
      <c r="L75" s="16">
        <v>1</v>
      </c>
      <c r="M75" s="16">
        <v>1097</v>
      </c>
    </row>
    <row r="76" spans="12:13" x14ac:dyDescent="0.15">
      <c r="L76" s="16">
        <v>1</v>
      </c>
      <c r="M76" s="16">
        <v>1330</v>
      </c>
    </row>
    <row r="77" spans="12:13" x14ac:dyDescent="0.15">
      <c r="L77" s="16">
        <v>1</v>
      </c>
      <c r="M77" s="16">
        <v>1717</v>
      </c>
    </row>
    <row r="78" spans="12:13" x14ac:dyDescent="0.15">
      <c r="L78" s="16">
        <v>1</v>
      </c>
      <c r="M78" s="16">
        <v>2320</v>
      </c>
    </row>
    <row r="79" spans="12:13" x14ac:dyDescent="0.15">
      <c r="L79" s="16">
        <v>1</v>
      </c>
      <c r="M79" s="16">
        <v>2854</v>
      </c>
    </row>
    <row r="80" spans="12:13" x14ac:dyDescent="0.15">
      <c r="L80" s="16">
        <v>1</v>
      </c>
      <c r="M80" s="16">
        <v>3809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4"/>
  <sheetViews>
    <sheetView workbookViewId="0">
      <selection activeCell="C30" sqref="C30"/>
    </sheetView>
  </sheetViews>
  <sheetFormatPr defaultRowHeight="13.5" x14ac:dyDescent="0.15"/>
  <cols>
    <col min="1" max="1" width="11.875" bestFit="1" customWidth="1"/>
    <col min="2" max="2" width="7.875" bestFit="1" customWidth="1"/>
    <col min="3" max="3" width="8.75" bestFit="1" customWidth="1"/>
    <col min="4" max="4" width="22.625" bestFit="1" customWidth="1"/>
    <col min="5" max="5" width="15.125" bestFit="1" customWidth="1"/>
    <col min="6" max="6" width="12" bestFit="1" customWidth="1"/>
    <col min="7" max="7" width="9.25" customWidth="1"/>
    <col min="8" max="8" width="29.625" customWidth="1"/>
    <col min="9" max="9" width="18.125" bestFit="1" customWidth="1"/>
    <col min="10" max="10" width="15.375" customWidth="1"/>
  </cols>
  <sheetData>
    <row r="1" spans="1:10" s="37" customFormat="1" x14ac:dyDescent="0.15">
      <c r="A1" s="13" t="s">
        <v>2063</v>
      </c>
      <c r="B1" s="13" t="s">
        <v>2064</v>
      </c>
      <c r="C1" s="13" t="s">
        <v>2065</v>
      </c>
      <c r="D1" s="13" t="s">
        <v>2072</v>
      </c>
      <c r="E1" s="13" t="s">
        <v>2066</v>
      </c>
      <c r="F1" s="13" t="s">
        <v>2071</v>
      </c>
      <c r="G1" s="13" t="s">
        <v>8384</v>
      </c>
      <c r="H1" s="13" t="s">
        <v>8385</v>
      </c>
      <c r="I1" s="13" t="s">
        <v>8386</v>
      </c>
      <c r="J1" s="14" t="s">
        <v>8414</v>
      </c>
    </row>
    <row r="2" spans="1:10" ht="14.25" customHeight="1" x14ac:dyDescent="0.2">
      <c r="A2" s="1" t="s">
        <v>1007</v>
      </c>
      <c r="B2" s="1" t="s">
        <v>212</v>
      </c>
      <c r="C2" s="1">
        <v>9220303</v>
      </c>
      <c r="D2" s="1" t="s">
        <v>2884</v>
      </c>
      <c r="E2" s="1" t="s">
        <v>1773</v>
      </c>
      <c r="F2" s="1">
        <v>1</v>
      </c>
      <c r="G2" s="1"/>
      <c r="H2" s="1"/>
      <c r="I2" s="1"/>
      <c r="J2" s="1" t="str">
        <f>IF(H2="",IF(I2="","",I2),H2)</f>
        <v/>
      </c>
    </row>
    <row r="3" spans="1:10" ht="14.25" customHeight="1" x14ac:dyDescent="0.2">
      <c r="A3" s="1" t="s">
        <v>663</v>
      </c>
      <c r="B3" s="1" t="s">
        <v>186</v>
      </c>
      <c r="C3" s="1">
        <v>148206155</v>
      </c>
      <c r="D3" s="1" t="s">
        <v>3233</v>
      </c>
      <c r="E3" s="1" t="s">
        <v>1981</v>
      </c>
      <c r="F3" s="1">
        <v>2</v>
      </c>
      <c r="G3" s="1"/>
      <c r="H3" s="1"/>
      <c r="I3" s="1"/>
      <c r="J3" s="1" t="str">
        <f t="shared" ref="J3:J66" si="0">IF(H3="",IF(I3="","",I3),H3)</f>
        <v/>
      </c>
    </row>
    <row r="4" spans="1:10" ht="14.25" customHeight="1" x14ac:dyDescent="0.2">
      <c r="A4" s="1" t="s">
        <v>973</v>
      </c>
      <c r="B4" s="1" t="s">
        <v>36</v>
      </c>
      <c r="C4" s="1">
        <v>108093558</v>
      </c>
      <c r="D4" s="1" t="s">
        <v>2864</v>
      </c>
      <c r="E4" s="1" t="s">
        <v>1762</v>
      </c>
      <c r="F4" s="1">
        <v>1</v>
      </c>
      <c r="G4" s="1"/>
      <c r="H4" s="1"/>
      <c r="I4" s="1"/>
      <c r="J4" s="1" t="str">
        <f t="shared" si="0"/>
        <v/>
      </c>
    </row>
    <row r="5" spans="1:10" ht="14.25" customHeight="1" x14ac:dyDescent="0.2">
      <c r="A5" s="1" t="s">
        <v>1056</v>
      </c>
      <c r="B5" s="1" t="s">
        <v>106</v>
      </c>
      <c r="C5" s="1">
        <v>32889616</v>
      </c>
      <c r="D5" s="1" t="s">
        <v>2928</v>
      </c>
      <c r="E5" s="1" t="s">
        <v>1803</v>
      </c>
      <c r="F5" s="1">
        <v>1</v>
      </c>
      <c r="G5" s="1"/>
      <c r="H5" s="1"/>
      <c r="I5" s="1"/>
      <c r="J5" s="1" t="str">
        <f t="shared" si="0"/>
        <v/>
      </c>
    </row>
    <row r="6" spans="1:10" ht="14.25" customHeight="1" x14ac:dyDescent="0.2">
      <c r="A6" s="1" t="s">
        <v>767</v>
      </c>
      <c r="B6" s="1" t="s">
        <v>40</v>
      </c>
      <c r="C6" s="1">
        <v>143013218</v>
      </c>
      <c r="D6" s="1" t="s">
        <v>2689</v>
      </c>
      <c r="E6" s="1" t="s">
        <v>1673</v>
      </c>
      <c r="F6" s="1">
        <v>1</v>
      </c>
      <c r="G6" s="1"/>
      <c r="H6" s="1"/>
      <c r="I6" s="1"/>
      <c r="J6" s="1" t="str">
        <f t="shared" si="0"/>
        <v/>
      </c>
    </row>
    <row r="7" spans="1:10" ht="14.25" customHeight="1" x14ac:dyDescent="0.2">
      <c r="A7" s="1" t="s">
        <v>1188</v>
      </c>
      <c r="B7" s="1" t="s">
        <v>47</v>
      </c>
      <c r="C7" s="1">
        <v>48261456</v>
      </c>
      <c r="D7" s="1" t="s">
        <v>3040</v>
      </c>
      <c r="E7" s="1" t="s">
        <v>1877</v>
      </c>
      <c r="F7" s="1">
        <v>1</v>
      </c>
      <c r="G7" s="1"/>
      <c r="H7" s="1"/>
      <c r="I7" s="1"/>
      <c r="J7" s="1" t="str">
        <f t="shared" si="0"/>
        <v/>
      </c>
    </row>
    <row r="8" spans="1:10" ht="14.25" customHeight="1" x14ac:dyDescent="0.2">
      <c r="A8" s="1" t="s">
        <v>460</v>
      </c>
      <c r="B8" s="1" t="s">
        <v>1</v>
      </c>
      <c r="C8" s="1">
        <v>189839098</v>
      </c>
      <c r="D8" s="1" t="s">
        <v>2424</v>
      </c>
      <c r="E8" s="1" t="s">
        <v>1528</v>
      </c>
      <c r="F8" s="1">
        <v>1</v>
      </c>
      <c r="G8" s="1"/>
      <c r="H8" s="1"/>
      <c r="I8" s="1"/>
      <c r="J8" s="1" t="str">
        <f t="shared" si="0"/>
        <v/>
      </c>
    </row>
    <row r="9" spans="1:10" ht="14.25" customHeight="1" x14ac:dyDescent="0.2">
      <c r="A9" s="1" t="s">
        <v>558</v>
      </c>
      <c r="B9" s="1" t="s">
        <v>86</v>
      </c>
      <c r="C9" s="1">
        <v>148890285</v>
      </c>
      <c r="D9" s="1" t="s">
        <v>2505</v>
      </c>
      <c r="E9" s="1" t="s">
        <v>1565</v>
      </c>
      <c r="F9" s="1">
        <v>1</v>
      </c>
      <c r="G9" s="1"/>
      <c r="H9" s="1"/>
      <c r="I9" s="1"/>
      <c r="J9" s="1" t="str">
        <f t="shared" si="0"/>
        <v/>
      </c>
    </row>
    <row r="10" spans="1:10" ht="14.25" customHeight="1" x14ac:dyDescent="0.2">
      <c r="A10" s="1" t="s">
        <v>3807</v>
      </c>
      <c r="B10" s="1" t="s">
        <v>1</v>
      </c>
      <c r="C10" s="1">
        <v>38294745</v>
      </c>
      <c r="D10" s="1" t="s">
        <v>3862</v>
      </c>
      <c r="E10" s="1" t="s">
        <v>1510</v>
      </c>
      <c r="F10" s="1">
        <v>1</v>
      </c>
      <c r="G10" s="1"/>
      <c r="H10" s="1"/>
      <c r="I10" s="1"/>
      <c r="J10" s="1" t="str">
        <f t="shared" si="0"/>
        <v/>
      </c>
    </row>
    <row r="11" spans="1:10" ht="14.25" customHeight="1" x14ac:dyDescent="0.2">
      <c r="A11" s="1" t="s">
        <v>1351</v>
      </c>
      <c r="B11" s="1" t="s">
        <v>43</v>
      </c>
      <c r="C11" s="1">
        <v>42522500</v>
      </c>
      <c r="D11" s="1" t="s">
        <v>3285</v>
      </c>
      <c r="E11" s="1" t="s">
        <v>2011</v>
      </c>
      <c r="F11" s="1">
        <v>2</v>
      </c>
      <c r="G11" s="1"/>
      <c r="H11" s="1"/>
      <c r="I11" s="1"/>
      <c r="J11" s="1" t="str">
        <f t="shared" si="0"/>
        <v/>
      </c>
    </row>
    <row r="12" spans="1:10" ht="14.25" customHeight="1" x14ac:dyDescent="0.2">
      <c r="A12" s="1" t="s">
        <v>1368</v>
      </c>
      <c r="B12" s="1" t="s">
        <v>73</v>
      </c>
      <c r="C12" s="1">
        <v>31137344</v>
      </c>
      <c r="D12" s="1" t="s">
        <v>3291</v>
      </c>
      <c r="E12" s="1" t="s">
        <v>1959</v>
      </c>
      <c r="F12" s="1">
        <v>3</v>
      </c>
      <c r="G12" s="1"/>
      <c r="H12" s="1"/>
      <c r="I12" s="1"/>
      <c r="J12" s="1" t="str">
        <f t="shared" si="0"/>
        <v/>
      </c>
    </row>
    <row r="13" spans="1:10" ht="14.25" customHeight="1" x14ac:dyDescent="0.2">
      <c r="A13" s="1" t="s">
        <v>365</v>
      </c>
      <c r="B13" s="1" t="s">
        <v>139</v>
      </c>
      <c r="C13" s="1">
        <v>97543298</v>
      </c>
      <c r="D13" s="1" t="s">
        <v>2341</v>
      </c>
      <c r="E13" s="1" t="s">
        <v>1481</v>
      </c>
      <c r="F13" s="1">
        <v>1</v>
      </c>
      <c r="G13" s="1"/>
      <c r="H13" s="1"/>
      <c r="I13" s="1"/>
      <c r="J13" s="1" t="str">
        <f t="shared" si="0"/>
        <v/>
      </c>
    </row>
    <row r="14" spans="1:10" ht="14.25" customHeight="1" x14ac:dyDescent="0.2">
      <c r="A14" s="1" t="s">
        <v>1062</v>
      </c>
      <c r="B14" s="1" t="s">
        <v>106</v>
      </c>
      <c r="C14" s="1">
        <v>103498190</v>
      </c>
      <c r="D14" s="1" t="s">
        <v>3257</v>
      </c>
      <c r="E14" s="1" t="s">
        <v>1994</v>
      </c>
      <c r="F14" s="1">
        <v>2</v>
      </c>
      <c r="G14" s="1"/>
      <c r="H14" s="1"/>
      <c r="I14" s="1"/>
      <c r="J14" s="1" t="str">
        <f t="shared" si="0"/>
        <v/>
      </c>
    </row>
    <row r="15" spans="1:10" ht="14.25" customHeight="1" x14ac:dyDescent="0.2">
      <c r="A15" s="1" t="s">
        <v>393</v>
      </c>
      <c r="B15" s="1" t="s">
        <v>139</v>
      </c>
      <c r="C15" s="1">
        <v>169481191</v>
      </c>
      <c r="D15" s="1" t="s">
        <v>2369</v>
      </c>
      <c r="E15" s="1" t="s">
        <v>1492</v>
      </c>
      <c r="F15" s="1">
        <v>1</v>
      </c>
      <c r="G15" s="1"/>
      <c r="H15" s="1"/>
      <c r="I15" s="1"/>
      <c r="J15" s="1" t="str">
        <f t="shared" si="0"/>
        <v/>
      </c>
    </row>
    <row r="16" spans="1:10" ht="14.25" customHeight="1" x14ac:dyDescent="0.2">
      <c r="A16" s="1" t="s">
        <v>1089</v>
      </c>
      <c r="B16" s="1" t="s">
        <v>113</v>
      </c>
      <c r="C16" s="1">
        <v>48700502</v>
      </c>
      <c r="D16" s="1" t="s">
        <v>2957</v>
      </c>
      <c r="E16" s="1" t="s">
        <v>1823</v>
      </c>
      <c r="F16" s="1">
        <v>1</v>
      </c>
      <c r="G16" s="1"/>
      <c r="H16" s="1"/>
      <c r="I16" s="1"/>
      <c r="J16" s="1" t="str">
        <f t="shared" si="0"/>
        <v/>
      </c>
    </row>
    <row r="17" spans="1:10" ht="14.25" customHeight="1" x14ac:dyDescent="0.2">
      <c r="A17" s="1" t="s">
        <v>1233</v>
      </c>
      <c r="B17" s="1" t="s">
        <v>50</v>
      </c>
      <c r="C17" s="1">
        <v>5842898</v>
      </c>
      <c r="D17" s="1" t="s">
        <v>3272</v>
      </c>
      <c r="E17" s="1" t="s">
        <v>2004</v>
      </c>
      <c r="F17" s="1">
        <v>2</v>
      </c>
      <c r="G17" s="1"/>
      <c r="H17" s="1"/>
      <c r="I17" s="1"/>
      <c r="J17" s="1" t="str">
        <f t="shared" si="0"/>
        <v/>
      </c>
    </row>
    <row r="18" spans="1:10" ht="14.25" customHeight="1" x14ac:dyDescent="0.2">
      <c r="A18" s="1" t="s">
        <v>3806</v>
      </c>
      <c r="B18" s="1" t="s">
        <v>86</v>
      </c>
      <c r="C18" s="1">
        <v>81538849</v>
      </c>
      <c r="D18" s="1" t="s">
        <v>3805</v>
      </c>
      <c r="E18" s="1" t="s">
        <v>1553</v>
      </c>
      <c r="F18" s="1">
        <v>1</v>
      </c>
      <c r="G18" s="1"/>
      <c r="H18" s="1"/>
      <c r="I18" s="1"/>
      <c r="J18" s="1" t="str">
        <f t="shared" si="0"/>
        <v/>
      </c>
    </row>
    <row r="19" spans="1:10" ht="14.25" customHeight="1" x14ac:dyDescent="0.2">
      <c r="A19" s="1" t="s">
        <v>619</v>
      </c>
      <c r="B19" s="1" t="s">
        <v>569</v>
      </c>
      <c r="C19" s="1">
        <v>110661847</v>
      </c>
      <c r="D19" s="1" t="s">
        <v>2561</v>
      </c>
      <c r="E19" s="1" t="s">
        <v>1592</v>
      </c>
      <c r="F19" s="1">
        <v>1</v>
      </c>
      <c r="G19" s="1"/>
      <c r="H19" s="1"/>
      <c r="I19" s="1"/>
      <c r="J19" s="1" t="str">
        <f t="shared" si="0"/>
        <v/>
      </c>
    </row>
    <row r="20" spans="1:10" ht="14.25" customHeight="1" x14ac:dyDescent="0.2">
      <c r="A20" s="1" t="s">
        <v>1051</v>
      </c>
      <c r="B20" s="1" t="s">
        <v>106</v>
      </c>
      <c r="C20" s="1">
        <v>23755059</v>
      </c>
      <c r="D20" s="1" t="s">
        <v>2923</v>
      </c>
      <c r="E20" s="1" t="s">
        <v>1798</v>
      </c>
      <c r="F20" s="1">
        <v>1</v>
      </c>
      <c r="G20" s="1"/>
      <c r="H20" s="1"/>
      <c r="I20" s="1"/>
      <c r="J20" s="1" t="str">
        <f t="shared" si="0"/>
        <v/>
      </c>
    </row>
    <row r="21" spans="1:10" ht="14.25" customHeight="1" x14ac:dyDescent="0.2">
      <c r="A21" s="1" t="s">
        <v>949</v>
      </c>
      <c r="B21" s="1" t="s">
        <v>36</v>
      </c>
      <c r="C21" s="1">
        <v>64570985</v>
      </c>
      <c r="D21" s="1" t="s">
        <v>2846</v>
      </c>
      <c r="E21" s="1" t="s">
        <v>1752</v>
      </c>
      <c r="F21" s="1">
        <v>1</v>
      </c>
      <c r="G21" s="1"/>
      <c r="H21" s="1"/>
      <c r="I21" s="1"/>
      <c r="J21" s="1" t="str">
        <f t="shared" si="0"/>
        <v/>
      </c>
    </row>
    <row r="22" spans="1:10" ht="14.25" customHeight="1" x14ac:dyDescent="0.2">
      <c r="A22" s="1" t="s">
        <v>1116</v>
      </c>
      <c r="B22" s="1" t="s">
        <v>121</v>
      </c>
      <c r="C22" s="1">
        <v>10971054</v>
      </c>
      <c r="D22" s="1" t="s">
        <v>2981</v>
      </c>
      <c r="E22" s="1" t="s">
        <v>1838</v>
      </c>
      <c r="F22" s="1">
        <v>1</v>
      </c>
      <c r="G22" s="1"/>
      <c r="H22" s="1"/>
      <c r="I22" s="1"/>
      <c r="J22" s="1" t="str">
        <f t="shared" si="0"/>
        <v/>
      </c>
    </row>
    <row r="23" spans="1:10" ht="14.25" customHeight="1" x14ac:dyDescent="0.2">
      <c r="A23" s="1" t="s">
        <v>1091</v>
      </c>
      <c r="B23" s="1" t="s">
        <v>113</v>
      </c>
      <c r="C23" s="1">
        <v>52599479</v>
      </c>
      <c r="D23" s="1" t="s">
        <v>2959</v>
      </c>
      <c r="E23" s="1" t="s">
        <v>1824</v>
      </c>
      <c r="F23" s="1">
        <v>1</v>
      </c>
      <c r="G23" s="1"/>
      <c r="H23" s="1"/>
      <c r="I23" s="1"/>
      <c r="J23" s="1" t="str">
        <f t="shared" si="0"/>
        <v/>
      </c>
    </row>
    <row r="24" spans="1:10" ht="14.25" customHeight="1" x14ac:dyDescent="0.2">
      <c r="A24" s="1" t="s">
        <v>892</v>
      </c>
      <c r="B24" s="1" t="s">
        <v>93</v>
      </c>
      <c r="C24" s="1">
        <v>102505467</v>
      </c>
      <c r="D24" s="1" t="s">
        <v>3305</v>
      </c>
      <c r="E24" s="1" t="s">
        <v>1437</v>
      </c>
      <c r="F24" s="1">
        <v>9</v>
      </c>
      <c r="G24" s="1"/>
      <c r="H24" s="1" t="s">
        <v>3817</v>
      </c>
      <c r="I24" s="1"/>
      <c r="J24" s="1" t="str">
        <f t="shared" si="0"/>
        <v>纠后正确，少1个氨基酸chr10:102587349-102587376</v>
      </c>
    </row>
    <row r="25" spans="1:10" ht="14.25" customHeight="1" x14ac:dyDescent="0.2">
      <c r="A25" s="1" t="s">
        <v>571</v>
      </c>
      <c r="B25" s="1" t="s">
        <v>569</v>
      </c>
      <c r="C25" s="1">
        <v>619362</v>
      </c>
      <c r="D25" s="1" t="s">
        <v>2515</v>
      </c>
      <c r="E25" s="1" t="s">
        <v>1570</v>
      </c>
      <c r="F25" s="1">
        <v>1</v>
      </c>
      <c r="G25" s="1"/>
      <c r="H25" s="1"/>
      <c r="I25" s="1"/>
      <c r="J25" s="1" t="str">
        <f t="shared" si="0"/>
        <v/>
      </c>
    </row>
    <row r="26" spans="1:10" ht="14.25" customHeight="1" x14ac:dyDescent="0.2">
      <c r="A26" s="1" t="s">
        <v>1111</v>
      </c>
      <c r="B26" s="1" t="s">
        <v>121</v>
      </c>
      <c r="C26" s="1">
        <v>2138710</v>
      </c>
      <c r="D26" s="1" t="s">
        <v>2976</v>
      </c>
      <c r="E26" s="1" t="s">
        <v>1834</v>
      </c>
      <c r="F26" s="1">
        <v>1</v>
      </c>
      <c r="G26" s="1"/>
      <c r="H26" s="1"/>
      <c r="I26" s="1"/>
      <c r="J26" s="1" t="str">
        <f t="shared" si="0"/>
        <v/>
      </c>
    </row>
    <row r="27" spans="1:10" ht="14.25" customHeight="1" x14ac:dyDescent="0.2">
      <c r="A27" s="1" t="s">
        <v>784</v>
      </c>
      <c r="B27" s="1" t="s">
        <v>103</v>
      </c>
      <c r="C27" s="1">
        <v>77892493</v>
      </c>
      <c r="D27" s="1" t="s">
        <v>2704</v>
      </c>
      <c r="E27" s="1" t="s">
        <v>1683</v>
      </c>
      <c r="F27" s="1">
        <v>1</v>
      </c>
      <c r="G27" s="1"/>
      <c r="H27" s="1"/>
      <c r="I27" s="1"/>
      <c r="J27" s="1" t="str">
        <f t="shared" si="0"/>
        <v/>
      </c>
    </row>
    <row r="28" spans="1:10" ht="14.25" customHeight="1" x14ac:dyDescent="0.2">
      <c r="A28" s="1" t="s">
        <v>935</v>
      </c>
      <c r="B28" s="1" t="s">
        <v>36</v>
      </c>
      <c r="C28" s="1">
        <v>62380212</v>
      </c>
      <c r="D28" s="1" t="s">
        <v>2835</v>
      </c>
      <c r="E28" s="1" t="s">
        <v>1749</v>
      </c>
      <c r="F28" s="1">
        <v>1</v>
      </c>
      <c r="G28" s="1"/>
      <c r="H28" s="1"/>
      <c r="I28" s="1"/>
      <c r="J28" s="1" t="str">
        <f t="shared" si="0"/>
        <v/>
      </c>
    </row>
    <row r="29" spans="1:10" ht="14.25" customHeight="1" x14ac:dyDescent="0.2">
      <c r="A29" s="1" t="s">
        <v>918</v>
      </c>
      <c r="B29" s="1" t="s">
        <v>36</v>
      </c>
      <c r="C29" s="1">
        <v>18287807</v>
      </c>
      <c r="D29" s="1" t="s">
        <v>2818</v>
      </c>
      <c r="E29" s="1" t="s">
        <v>1741</v>
      </c>
      <c r="F29" s="1">
        <v>1</v>
      </c>
      <c r="G29" s="1"/>
      <c r="H29" s="1"/>
      <c r="I29" s="1"/>
      <c r="J29" s="1" t="str">
        <f t="shared" si="0"/>
        <v/>
      </c>
    </row>
    <row r="30" spans="1:10" ht="14.25" customHeight="1" x14ac:dyDescent="0.2">
      <c r="A30" s="1" t="s">
        <v>1145</v>
      </c>
      <c r="B30" s="1" t="s">
        <v>121</v>
      </c>
      <c r="C30" s="1">
        <v>56899118</v>
      </c>
      <c r="D30" s="1" t="s">
        <v>3005</v>
      </c>
      <c r="E30" s="1" t="s">
        <v>1853</v>
      </c>
      <c r="F30" s="1">
        <v>1</v>
      </c>
      <c r="G30" s="1"/>
      <c r="H30" s="1"/>
      <c r="I30" s="1"/>
      <c r="J30" s="1" t="str">
        <f t="shared" si="0"/>
        <v/>
      </c>
    </row>
    <row r="31" spans="1:10" ht="14.25" customHeight="1" x14ac:dyDescent="0.2">
      <c r="A31" s="1" t="s">
        <v>3750</v>
      </c>
      <c r="B31" s="1" t="s">
        <v>1</v>
      </c>
      <c r="C31" s="1">
        <v>31749655</v>
      </c>
      <c r="D31" s="1" t="s">
        <v>2144</v>
      </c>
      <c r="E31" s="1" t="s">
        <v>2</v>
      </c>
      <c r="F31" s="1" t="s">
        <v>2062</v>
      </c>
      <c r="G31" s="1"/>
      <c r="H31" s="1" t="s">
        <v>3763</v>
      </c>
      <c r="I31" s="1"/>
      <c r="J31" s="1" t="str">
        <f t="shared" si="0"/>
        <v>纠后正确</v>
      </c>
    </row>
    <row r="32" spans="1:10" ht="14.25" customHeight="1" x14ac:dyDescent="0.2">
      <c r="A32" s="1" t="s">
        <v>925</v>
      </c>
      <c r="B32" s="1" t="s">
        <v>36</v>
      </c>
      <c r="C32" s="1">
        <v>32409320</v>
      </c>
      <c r="D32" s="1" t="s">
        <v>2825</v>
      </c>
      <c r="E32" s="1" t="s">
        <v>1744</v>
      </c>
      <c r="F32" s="1">
        <v>1</v>
      </c>
      <c r="G32" s="1"/>
      <c r="H32" s="1"/>
      <c r="I32" s="1"/>
      <c r="J32" s="1" t="str">
        <f t="shared" si="0"/>
        <v/>
      </c>
    </row>
    <row r="33" spans="1:10" ht="14.25" customHeight="1" x14ac:dyDescent="0.2">
      <c r="A33" s="1" t="s">
        <v>411</v>
      </c>
      <c r="B33" s="1" t="s">
        <v>1</v>
      </c>
      <c r="C33" s="1">
        <v>21224300</v>
      </c>
      <c r="D33" s="1" t="s">
        <v>3213</v>
      </c>
      <c r="E33" s="1" t="s">
        <v>1972</v>
      </c>
      <c r="F33" s="1">
        <v>2</v>
      </c>
      <c r="G33" s="1"/>
      <c r="H33" s="1"/>
      <c r="I33" s="1"/>
      <c r="J33" s="1" t="str">
        <f t="shared" si="0"/>
        <v/>
      </c>
    </row>
    <row r="34" spans="1:10" ht="14.25" customHeight="1" x14ac:dyDescent="0.2">
      <c r="A34" s="1" t="s">
        <v>545</v>
      </c>
      <c r="B34" s="1" t="s">
        <v>86</v>
      </c>
      <c r="C34" s="1">
        <v>121902529</v>
      </c>
      <c r="D34" s="1" t="s">
        <v>2496</v>
      </c>
      <c r="E34" s="1" t="s">
        <v>1560</v>
      </c>
      <c r="F34" s="1">
        <v>1</v>
      </c>
      <c r="G34" s="1"/>
      <c r="H34" s="1"/>
      <c r="I34" s="1"/>
      <c r="J34" s="1" t="str">
        <f t="shared" si="0"/>
        <v/>
      </c>
    </row>
    <row r="35" spans="1:10" ht="14.25" customHeight="1" x14ac:dyDescent="0.2">
      <c r="A35" s="1" t="s">
        <v>889</v>
      </c>
      <c r="B35" s="1" t="s">
        <v>93</v>
      </c>
      <c r="C35" s="1">
        <v>101542462</v>
      </c>
      <c r="D35" s="1" t="s">
        <v>2794</v>
      </c>
      <c r="E35" s="1" t="s">
        <v>1727</v>
      </c>
      <c r="F35" s="1">
        <v>1</v>
      </c>
      <c r="G35" s="1"/>
      <c r="H35" s="1"/>
      <c r="I35" s="1"/>
      <c r="J35" s="1" t="str">
        <f t="shared" si="0"/>
        <v/>
      </c>
    </row>
    <row r="36" spans="1:10" ht="14.25" customHeight="1" x14ac:dyDescent="0.2">
      <c r="A36" s="1" t="s">
        <v>506</v>
      </c>
      <c r="B36" s="1" t="s">
        <v>86</v>
      </c>
      <c r="C36" s="1">
        <v>33038099</v>
      </c>
      <c r="D36" s="1" t="s">
        <v>2461</v>
      </c>
      <c r="E36" s="1" t="s">
        <v>1545</v>
      </c>
      <c r="F36" s="1">
        <v>1</v>
      </c>
      <c r="G36" s="1"/>
      <c r="H36" s="1"/>
      <c r="I36" s="1"/>
      <c r="J36" s="1" t="str">
        <f t="shared" si="0"/>
        <v/>
      </c>
    </row>
    <row r="37" spans="1:10" ht="14.25" customHeight="1" x14ac:dyDescent="0.2">
      <c r="A37" s="1" t="s">
        <v>1170</v>
      </c>
      <c r="B37" s="1" t="s">
        <v>47</v>
      </c>
      <c r="C37" s="1">
        <v>38974368</v>
      </c>
      <c r="D37" s="1" t="s">
        <v>3025</v>
      </c>
      <c r="E37" s="1" t="s">
        <v>1866</v>
      </c>
      <c r="F37" s="1">
        <v>1</v>
      </c>
      <c r="G37" s="1"/>
      <c r="H37" s="1"/>
      <c r="I37" s="1"/>
      <c r="J37" s="1" t="str">
        <f t="shared" si="0"/>
        <v/>
      </c>
    </row>
    <row r="38" spans="1:10" ht="14.25" customHeight="1" x14ac:dyDescent="0.2">
      <c r="A38" s="1" t="s">
        <v>698</v>
      </c>
      <c r="B38" s="1" t="s">
        <v>175</v>
      </c>
      <c r="C38" s="1">
        <v>129204285</v>
      </c>
      <c r="D38" s="1" t="s">
        <v>2631</v>
      </c>
      <c r="E38" s="1" t="s">
        <v>1641</v>
      </c>
      <c r="F38" s="1">
        <v>1</v>
      </c>
      <c r="G38" s="1"/>
      <c r="H38" s="1"/>
      <c r="I38" s="1"/>
      <c r="J38" s="1" t="str">
        <f t="shared" si="0"/>
        <v/>
      </c>
    </row>
    <row r="39" spans="1:10" ht="14.25" customHeight="1" x14ac:dyDescent="0.2">
      <c r="A39" s="1" t="s">
        <v>3808</v>
      </c>
      <c r="B39" s="1" t="s">
        <v>47</v>
      </c>
      <c r="C39" s="1">
        <v>62396774</v>
      </c>
      <c r="D39" s="1" t="s">
        <v>2279</v>
      </c>
      <c r="E39" s="1" t="s">
        <v>3919</v>
      </c>
      <c r="F39" s="1" t="s">
        <v>3809</v>
      </c>
      <c r="G39" s="1" t="s">
        <v>8387</v>
      </c>
      <c r="H39" s="1" t="s">
        <v>8388</v>
      </c>
      <c r="I39" s="1"/>
      <c r="J39" s="1" t="str">
        <f t="shared" si="0"/>
        <v>错误</v>
      </c>
    </row>
    <row r="40" spans="1:10" ht="14.25" customHeight="1" x14ac:dyDescent="0.2">
      <c r="A40" s="1" t="s">
        <v>930</v>
      </c>
      <c r="B40" s="1" t="s">
        <v>36</v>
      </c>
      <c r="C40" s="1">
        <v>36589562</v>
      </c>
      <c r="D40" s="1" t="s">
        <v>2830</v>
      </c>
      <c r="E40" s="1" t="s">
        <v>1746</v>
      </c>
      <c r="F40" s="1">
        <v>1</v>
      </c>
      <c r="G40" s="1"/>
      <c r="H40" s="1"/>
      <c r="I40" s="1"/>
      <c r="J40" s="1" t="str">
        <f t="shared" si="0"/>
        <v/>
      </c>
    </row>
    <row r="41" spans="1:10" ht="14.25" customHeight="1" x14ac:dyDescent="0.2">
      <c r="A41" s="1" t="s">
        <v>1063</v>
      </c>
      <c r="B41" s="1" t="s">
        <v>106</v>
      </c>
      <c r="C41" s="1">
        <v>103696347</v>
      </c>
      <c r="D41" s="1" t="s">
        <v>2934</v>
      </c>
      <c r="E41" s="1" t="s">
        <v>1807</v>
      </c>
      <c r="F41" s="1">
        <v>1</v>
      </c>
      <c r="G41" s="1"/>
      <c r="H41" s="1"/>
      <c r="I41" s="1"/>
      <c r="J41" s="1" t="str">
        <f t="shared" si="0"/>
        <v/>
      </c>
    </row>
    <row r="42" spans="1:10" ht="14.25" customHeight="1" x14ac:dyDescent="0.2">
      <c r="A42" s="1" t="s">
        <v>813</v>
      </c>
      <c r="B42" s="1" t="s">
        <v>33</v>
      </c>
      <c r="C42" s="1">
        <v>27109146</v>
      </c>
      <c r="D42" s="1" t="s">
        <v>2726</v>
      </c>
      <c r="E42" s="1" t="s">
        <v>1696</v>
      </c>
      <c r="F42" s="1">
        <v>1</v>
      </c>
      <c r="G42" s="1"/>
      <c r="H42" s="1"/>
      <c r="I42" s="1"/>
      <c r="J42" s="1" t="str">
        <f t="shared" si="0"/>
        <v/>
      </c>
    </row>
    <row r="43" spans="1:10" ht="14.25" customHeight="1" x14ac:dyDescent="0.2">
      <c r="A43" s="1" t="s">
        <v>1225</v>
      </c>
      <c r="B43" s="1" t="s">
        <v>50</v>
      </c>
      <c r="C43" s="1">
        <v>2249112</v>
      </c>
      <c r="D43" s="1" t="s">
        <v>3072</v>
      </c>
      <c r="E43" s="1" t="s">
        <v>1898</v>
      </c>
      <c r="F43" s="1">
        <v>1</v>
      </c>
      <c r="G43" s="1"/>
      <c r="H43" s="1"/>
      <c r="I43" s="1"/>
      <c r="J43" s="1" t="str">
        <f t="shared" si="0"/>
        <v/>
      </c>
    </row>
    <row r="44" spans="1:10" ht="14.25" customHeight="1" x14ac:dyDescent="0.2">
      <c r="A44" s="1" t="s">
        <v>639</v>
      </c>
      <c r="B44" s="1" t="s">
        <v>186</v>
      </c>
      <c r="C44" s="1">
        <v>73980968</v>
      </c>
      <c r="D44" s="1" t="s">
        <v>2579</v>
      </c>
      <c r="E44" s="1" t="s">
        <v>1606</v>
      </c>
      <c r="F44" s="1">
        <v>1</v>
      </c>
      <c r="G44" s="1"/>
      <c r="H44" s="1"/>
      <c r="I44" s="1"/>
      <c r="J44" s="1" t="str">
        <f t="shared" si="0"/>
        <v/>
      </c>
    </row>
    <row r="45" spans="1:10" ht="14.25" customHeight="1" x14ac:dyDescent="0.2">
      <c r="A45" s="1" t="s">
        <v>1176</v>
      </c>
      <c r="B45" s="1" t="s">
        <v>47</v>
      </c>
      <c r="C45" s="1">
        <v>39738530</v>
      </c>
      <c r="D45" s="1" t="s">
        <v>3030</v>
      </c>
      <c r="E45" s="1" t="s">
        <v>1870</v>
      </c>
      <c r="F45" s="1">
        <v>1</v>
      </c>
      <c r="G45" s="1"/>
      <c r="H45" s="1"/>
      <c r="I45" s="1"/>
      <c r="J45" s="1" t="str">
        <f t="shared" si="0"/>
        <v/>
      </c>
    </row>
    <row r="46" spans="1:10" ht="14.25" customHeight="1" x14ac:dyDescent="0.2">
      <c r="A46" s="1" t="s">
        <v>716</v>
      </c>
      <c r="B46" s="1" t="s">
        <v>40</v>
      </c>
      <c r="C46" s="1">
        <v>6012869</v>
      </c>
      <c r="D46" s="1" t="s">
        <v>2649</v>
      </c>
      <c r="E46" s="1" t="s">
        <v>1651</v>
      </c>
      <c r="F46" s="1">
        <v>1</v>
      </c>
      <c r="G46" s="1"/>
      <c r="H46" s="1"/>
      <c r="I46" s="1"/>
      <c r="J46" s="1" t="str">
        <f t="shared" si="0"/>
        <v/>
      </c>
    </row>
    <row r="47" spans="1:10" ht="14.25" customHeight="1" x14ac:dyDescent="0.2">
      <c r="A47" s="1" t="s">
        <v>672</v>
      </c>
      <c r="B47" s="1" t="s">
        <v>175</v>
      </c>
      <c r="C47" s="1">
        <v>32793186</v>
      </c>
      <c r="D47" s="1" t="s">
        <v>3234</v>
      </c>
      <c r="E47" s="1" t="s">
        <v>1982</v>
      </c>
      <c r="F47" s="1">
        <v>2</v>
      </c>
      <c r="G47" s="1"/>
      <c r="H47" s="1"/>
      <c r="I47" s="1"/>
      <c r="J47" s="1" t="str">
        <f t="shared" si="0"/>
        <v/>
      </c>
    </row>
    <row r="48" spans="1:10" ht="14.25" customHeight="1" x14ac:dyDescent="0.2">
      <c r="A48" s="1" t="s">
        <v>1046</v>
      </c>
      <c r="B48" s="1" t="s">
        <v>212</v>
      </c>
      <c r="C48" s="1">
        <v>121416548</v>
      </c>
      <c r="D48" s="1" t="s">
        <v>2919</v>
      </c>
      <c r="E48" s="1" t="s">
        <v>1794</v>
      </c>
      <c r="F48" s="1">
        <v>1</v>
      </c>
      <c r="G48" s="1"/>
      <c r="H48" s="1"/>
      <c r="I48" s="1"/>
      <c r="J48" s="1" t="str">
        <f t="shared" si="0"/>
        <v/>
      </c>
    </row>
    <row r="49" spans="1:10" ht="14.25" customHeight="1" x14ac:dyDescent="0.2">
      <c r="A49" s="1" t="s">
        <v>1002</v>
      </c>
      <c r="B49" s="1" t="s">
        <v>212</v>
      </c>
      <c r="C49" s="1">
        <v>6058039</v>
      </c>
      <c r="D49" s="1" t="s">
        <v>2881</v>
      </c>
      <c r="E49" s="1" t="s">
        <v>1770</v>
      </c>
      <c r="F49" s="1">
        <v>1</v>
      </c>
      <c r="G49" s="1"/>
      <c r="H49" s="1"/>
      <c r="I49" s="1"/>
      <c r="J49" s="1" t="str">
        <f t="shared" si="0"/>
        <v/>
      </c>
    </row>
    <row r="50" spans="1:10" ht="14.25" customHeight="1" x14ac:dyDescent="0.2">
      <c r="A50" s="1" t="s">
        <v>3906</v>
      </c>
      <c r="B50" s="1" t="s">
        <v>1</v>
      </c>
      <c r="C50" s="1">
        <v>217498126</v>
      </c>
      <c r="D50" s="1" t="s">
        <v>2233</v>
      </c>
      <c r="E50" s="1" t="s">
        <v>1418</v>
      </c>
      <c r="F50" s="1" t="s">
        <v>3406</v>
      </c>
      <c r="G50" s="1"/>
      <c r="H50" s="1" t="s">
        <v>8670</v>
      </c>
      <c r="I50" s="1"/>
      <c r="J50" s="1" t="str">
        <f t="shared" si="0"/>
        <v>无法验证，NCBIrs无此变体（rs747453609），纠后氨基酸加3个chr2:217498311-217528827</v>
      </c>
    </row>
    <row r="51" spans="1:10" ht="14.25" customHeight="1" x14ac:dyDescent="0.2">
      <c r="A51" s="1" t="s">
        <v>983</v>
      </c>
      <c r="B51" s="1" t="s">
        <v>36</v>
      </c>
      <c r="C51" s="1">
        <v>112831968</v>
      </c>
      <c r="D51" s="1" t="s">
        <v>3363</v>
      </c>
      <c r="E51" s="1" t="s">
        <v>2038</v>
      </c>
      <c r="F51" s="1" t="s">
        <v>2062</v>
      </c>
      <c r="G51" s="1"/>
      <c r="H51" s="1" t="s">
        <v>3763</v>
      </c>
      <c r="I51" s="1"/>
      <c r="J51" s="1" t="str">
        <f t="shared" si="0"/>
        <v>纠后正确</v>
      </c>
    </row>
    <row r="52" spans="1:10" ht="14.25" customHeight="1" x14ac:dyDescent="0.2">
      <c r="A52" s="1" t="s">
        <v>417</v>
      </c>
      <c r="B52" s="1" t="s">
        <v>1</v>
      </c>
      <c r="C52" s="1">
        <v>33359663</v>
      </c>
      <c r="D52" s="1" t="s">
        <v>2389</v>
      </c>
      <c r="E52" s="1" t="s">
        <v>1509</v>
      </c>
      <c r="F52" s="1">
        <v>1</v>
      </c>
      <c r="G52" s="1"/>
      <c r="H52" s="1"/>
      <c r="I52" s="1"/>
      <c r="J52" s="1" t="str">
        <f t="shared" si="0"/>
        <v/>
      </c>
    </row>
    <row r="53" spans="1:10" ht="14.25" customHeight="1" x14ac:dyDescent="0.2">
      <c r="A53" s="1" t="s">
        <v>607</v>
      </c>
      <c r="B53" s="1" t="s">
        <v>569</v>
      </c>
      <c r="C53" s="1">
        <v>100257648</v>
      </c>
      <c r="D53" s="1" t="s">
        <v>2549</v>
      </c>
      <c r="E53" s="1" t="s">
        <v>1587</v>
      </c>
      <c r="F53" s="1">
        <v>1</v>
      </c>
      <c r="G53" s="1"/>
      <c r="H53" s="1"/>
      <c r="I53" s="1"/>
      <c r="J53" s="1" t="str">
        <f t="shared" si="0"/>
        <v/>
      </c>
    </row>
    <row r="54" spans="1:10" ht="14.25" customHeight="1" x14ac:dyDescent="0.2">
      <c r="A54" s="1" t="s">
        <v>606</v>
      </c>
      <c r="B54" s="1" t="s">
        <v>569</v>
      </c>
      <c r="C54" s="1">
        <v>100125878</v>
      </c>
      <c r="D54" s="1" t="s">
        <v>2548</v>
      </c>
      <c r="E54" s="1" t="s">
        <v>1586</v>
      </c>
      <c r="F54" s="1">
        <v>1</v>
      </c>
      <c r="G54" s="1"/>
      <c r="H54" s="1"/>
      <c r="I54" s="1"/>
      <c r="J54" s="1" t="str">
        <f t="shared" si="0"/>
        <v/>
      </c>
    </row>
    <row r="55" spans="1:10" ht="14.25" customHeight="1" x14ac:dyDescent="0.2">
      <c r="A55" s="1" t="s">
        <v>432</v>
      </c>
      <c r="B55" s="1" t="s">
        <v>1</v>
      </c>
      <c r="C55" s="1">
        <v>96778622</v>
      </c>
      <c r="D55" s="1" t="s">
        <v>2231</v>
      </c>
      <c r="E55" s="1" t="s">
        <v>1417</v>
      </c>
      <c r="F55" s="1" t="s">
        <v>3406</v>
      </c>
      <c r="G55" s="1"/>
      <c r="H55" s="11" t="s">
        <v>8671</v>
      </c>
      <c r="I55" s="1"/>
      <c r="J55" s="1" t="str">
        <f t="shared" si="0"/>
        <v>纠后正确，加了3个氨基酸</v>
      </c>
    </row>
    <row r="56" spans="1:10" ht="14.25" customHeight="1" x14ac:dyDescent="0.2">
      <c r="A56" s="1" t="s">
        <v>959</v>
      </c>
      <c r="B56" s="1" t="s">
        <v>36</v>
      </c>
      <c r="C56" s="1">
        <v>67777789</v>
      </c>
      <c r="D56" s="1" t="s">
        <v>2268</v>
      </c>
      <c r="E56" s="1" t="s">
        <v>269</v>
      </c>
      <c r="F56" s="1" t="s">
        <v>3406</v>
      </c>
      <c r="G56" s="1"/>
      <c r="H56" s="1" t="s">
        <v>3763</v>
      </c>
      <c r="I56" s="1"/>
      <c r="J56" s="1" t="str">
        <f t="shared" si="0"/>
        <v>纠后正确</v>
      </c>
    </row>
    <row r="57" spans="1:10" ht="14.25" customHeight="1" x14ac:dyDescent="0.2">
      <c r="A57" s="1" t="s">
        <v>957</v>
      </c>
      <c r="B57" s="1" t="s">
        <v>36</v>
      </c>
      <c r="C57" s="1">
        <v>67429632</v>
      </c>
      <c r="D57" s="1" t="s">
        <v>3248</v>
      </c>
      <c r="E57" s="1" t="s">
        <v>1989</v>
      </c>
      <c r="F57" s="1">
        <v>2</v>
      </c>
      <c r="G57" s="1"/>
      <c r="H57" s="1"/>
      <c r="I57" s="1"/>
      <c r="J57" s="1" t="str">
        <f t="shared" si="0"/>
        <v/>
      </c>
    </row>
    <row r="58" spans="1:10" ht="14.25" customHeight="1" x14ac:dyDescent="0.2">
      <c r="A58" s="1" t="s">
        <v>833</v>
      </c>
      <c r="B58" s="1" t="s">
        <v>33</v>
      </c>
      <c r="C58" s="1">
        <v>131857072</v>
      </c>
      <c r="D58" s="1" t="s">
        <v>2741</v>
      </c>
      <c r="E58" s="1" t="s">
        <v>1705</v>
      </c>
      <c r="F58" s="1">
        <v>1</v>
      </c>
      <c r="G58" s="1"/>
      <c r="H58" s="1"/>
      <c r="I58" s="1"/>
      <c r="J58" s="1" t="str">
        <f t="shared" si="0"/>
        <v/>
      </c>
    </row>
    <row r="59" spans="1:10" ht="14.25" customHeight="1" x14ac:dyDescent="0.2">
      <c r="A59" s="1" t="s">
        <v>370</v>
      </c>
      <c r="B59" s="1" t="s">
        <v>139</v>
      </c>
      <c r="C59" s="1">
        <v>110453232</v>
      </c>
      <c r="D59" s="1" t="s">
        <v>2346</v>
      </c>
      <c r="E59" s="1" t="s">
        <v>1484</v>
      </c>
      <c r="F59" s="1">
        <v>1</v>
      </c>
      <c r="G59" s="1"/>
      <c r="H59" s="1"/>
      <c r="I59" s="1"/>
      <c r="J59" s="1" t="str">
        <f t="shared" si="0"/>
        <v/>
      </c>
    </row>
    <row r="60" spans="1:10" ht="14.25" customHeight="1" x14ac:dyDescent="0.2">
      <c r="A60" s="1" t="s">
        <v>1251</v>
      </c>
      <c r="B60" s="1" t="s">
        <v>50</v>
      </c>
      <c r="C60" s="1">
        <v>41349442</v>
      </c>
      <c r="D60" s="1" t="s">
        <v>3087</v>
      </c>
      <c r="E60" s="1" t="s">
        <v>1908</v>
      </c>
      <c r="F60" s="1">
        <v>1</v>
      </c>
      <c r="G60" s="1"/>
      <c r="H60" s="1"/>
      <c r="I60" s="1"/>
      <c r="J60" s="1" t="str">
        <f t="shared" si="0"/>
        <v/>
      </c>
    </row>
    <row r="61" spans="1:10" ht="14.25" customHeight="1" x14ac:dyDescent="0.2">
      <c r="A61" s="1" t="s">
        <v>876</v>
      </c>
      <c r="B61" s="1" t="s">
        <v>93</v>
      </c>
      <c r="C61" s="1">
        <v>96522462</v>
      </c>
      <c r="D61" s="1" t="s">
        <v>2781</v>
      </c>
      <c r="E61" s="1" t="s">
        <v>1724</v>
      </c>
      <c r="F61" s="1">
        <v>1</v>
      </c>
      <c r="G61" s="1"/>
      <c r="H61" s="1"/>
      <c r="I61" s="1"/>
      <c r="J61" s="1" t="str">
        <f t="shared" si="0"/>
        <v/>
      </c>
    </row>
    <row r="62" spans="1:10" ht="14.25" customHeight="1" x14ac:dyDescent="0.2">
      <c r="A62" s="1" t="s">
        <v>733</v>
      </c>
      <c r="B62" s="1" t="s">
        <v>40</v>
      </c>
      <c r="C62" s="1">
        <v>50526133</v>
      </c>
      <c r="D62" s="1" t="s">
        <v>2660</v>
      </c>
      <c r="E62" s="1" t="s">
        <v>1656</v>
      </c>
      <c r="F62" s="1">
        <v>1</v>
      </c>
      <c r="G62" s="1"/>
      <c r="H62" s="1"/>
      <c r="I62" s="1"/>
      <c r="J62" s="1" t="str">
        <f t="shared" si="0"/>
        <v/>
      </c>
    </row>
    <row r="63" spans="1:10" ht="14.25" customHeight="1" x14ac:dyDescent="0.2">
      <c r="A63" s="1" t="s">
        <v>184</v>
      </c>
      <c r="B63" s="1" t="s">
        <v>36</v>
      </c>
      <c r="C63" s="1">
        <v>71846770</v>
      </c>
      <c r="D63" s="1" t="s">
        <v>2166</v>
      </c>
      <c r="E63" s="1" t="s">
        <v>278</v>
      </c>
      <c r="F63" s="1" t="s">
        <v>2062</v>
      </c>
      <c r="G63" s="1"/>
      <c r="H63" s="1" t="s">
        <v>3763</v>
      </c>
      <c r="I63" s="1"/>
      <c r="J63" s="1" t="str">
        <f t="shared" si="0"/>
        <v>纠后正确</v>
      </c>
    </row>
    <row r="64" spans="1:10" ht="14.25" customHeight="1" x14ac:dyDescent="0.2">
      <c r="A64" s="1" t="s">
        <v>629</v>
      </c>
      <c r="B64" s="1" t="s">
        <v>569</v>
      </c>
      <c r="C64" s="1">
        <v>158141735</v>
      </c>
      <c r="D64" s="1" t="s">
        <v>2570</v>
      </c>
      <c r="E64" s="1" t="s">
        <v>1599</v>
      </c>
      <c r="F64" s="1">
        <v>1</v>
      </c>
      <c r="G64" s="1"/>
      <c r="H64" s="1"/>
      <c r="I64" s="1"/>
      <c r="J64" s="1" t="str">
        <f t="shared" si="0"/>
        <v/>
      </c>
    </row>
    <row r="65" spans="1:10" ht="14.25" customHeight="1" x14ac:dyDescent="0.2">
      <c r="A65" s="1" t="s">
        <v>1394</v>
      </c>
      <c r="B65" s="1" t="s">
        <v>73</v>
      </c>
      <c r="C65" s="1">
        <v>122318095</v>
      </c>
      <c r="D65" s="1" t="s">
        <v>3196</v>
      </c>
      <c r="E65" s="1" t="s">
        <v>82</v>
      </c>
      <c r="F65" s="1">
        <v>1</v>
      </c>
      <c r="G65" s="1"/>
      <c r="H65" s="1"/>
      <c r="I65" s="1"/>
      <c r="J65" s="1" t="str">
        <f t="shared" si="0"/>
        <v/>
      </c>
    </row>
    <row r="66" spans="1:10" ht="14.25" customHeight="1" x14ac:dyDescent="0.2">
      <c r="A66" s="1" t="s">
        <v>972</v>
      </c>
      <c r="B66" s="1" t="s">
        <v>36</v>
      </c>
      <c r="C66" s="1">
        <v>105480799</v>
      </c>
      <c r="D66" s="1" t="s">
        <v>2863</v>
      </c>
      <c r="E66" s="1" t="s">
        <v>1761</v>
      </c>
      <c r="F66" s="1">
        <v>1</v>
      </c>
      <c r="G66" s="1"/>
      <c r="H66" s="1"/>
      <c r="I66" s="1"/>
      <c r="J66" s="1" t="str">
        <f t="shared" si="0"/>
        <v/>
      </c>
    </row>
    <row r="67" spans="1:10" ht="14.25" customHeight="1" x14ac:dyDescent="0.2">
      <c r="A67" s="1" t="s">
        <v>1334</v>
      </c>
      <c r="B67" s="1" t="s">
        <v>43</v>
      </c>
      <c r="C67" s="1">
        <v>24322313</v>
      </c>
      <c r="D67" s="1" t="s">
        <v>3153</v>
      </c>
      <c r="E67" s="1" t="s">
        <v>1945</v>
      </c>
      <c r="F67" s="1">
        <v>1</v>
      </c>
      <c r="G67" s="1"/>
      <c r="H67" s="1"/>
      <c r="I67" s="1"/>
      <c r="J67" s="1" t="str">
        <f t="shared" ref="J67:J130" si="1">IF(H67="",IF(I67="","",I67),H67)</f>
        <v/>
      </c>
    </row>
    <row r="68" spans="1:10" ht="14.25" customHeight="1" x14ac:dyDescent="0.2">
      <c r="A68" s="1" t="s">
        <v>711</v>
      </c>
      <c r="B68" s="1" t="s">
        <v>175</v>
      </c>
      <c r="C68" s="1">
        <v>160390130</v>
      </c>
      <c r="D68" s="1" t="s">
        <v>2644</v>
      </c>
      <c r="E68" s="1" t="s">
        <v>1647</v>
      </c>
      <c r="F68" s="1">
        <v>1</v>
      </c>
      <c r="G68" s="1"/>
      <c r="H68" s="1"/>
      <c r="I68" s="1"/>
      <c r="J68" s="1" t="str">
        <f t="shared" si="1"/>
        <v/>
      </c>
    </row>
    <row r="69" spans="1:10" ht="14.25" customHeight="1" x14ac:dyDescent="0.2">
      <c r="A69" s="1" t="s">
        <v>1159</v>
      </c>
      <c r="B69" s="1" t="s">
        <v>47</v>
      </c>
      <c r="C69" s="1">
        <v>7387697</v>
      </c>
      <c r="D69" s="1" t="s">
        <v>3017</v>
      </c>
      <c r="E69" s="1" t="s">
        <v>1859</v>
      </c>
      <c r="F69" s="1">
        <v>1</v>
      </c>
      <c r="G69" s="1"/>
      <c r="H69" s="1"/>
      <c r="I69" s="1"/>
      <c r="J69" s="1" t="str">
        <f t="shared" si="1"/>
        <v/>
      </c>
    </row>
    <row r="70" spans="1:10" ht="14.25" customHeight="1" x14ac:dyDescent="0.2">
      <c r="A70" s="1" t="s">
        <v>185</v>
      </c>
      <c r="B70" s="1" t="s">
        <v>186</v>
      </c>
      <c r="C70" s="1">
        <v>135468535</v>
      </c>
      <c r="D70" s="1" t="s">
        <v>2195</v>
      </c>
      <c r="E70" s="1" t="s">
        <v>300</v>
      </c>
      <c r="F70" s="1" t="s">
        <v>2062</v>
      </c>
      <c r="G70" s="1"/>
      <c r="H70" s="1" t="s">
        <v>3763</v>
      </c>
      <c r="I70" s="1"/>
      <c r="J70" s="1" t="str">
        <f t="shared" si="1"/>
        <v>纠后正确</v>
      </c>
    </row>
    <row r="71" spans="1:10" ht="14.25" customHeight="1" x14ac:dyDescent="0.2">
      <c r="A71" s="1" t="s">
        <v>187</v>
      </c>
      <c r="B71" s="1" t="s">
        <v>186</v>
      </c>
      <c r="C71" s="1">
        <v>135468535</v>
      </c>
      <c r="D71" s="1" t="s">
        <v>2196</v>
      </c>
      <c r="E71" s="1" t="s">
        <v>300</v>
      </c>
      <c r="F71" s="1" t="s">
        <v>2062</v>
      </c>
      <c r="G71" s="1"/>
      <c r="H71" s="1" t="s">
        <v>3763</v>
      </c>
      <c r="I71" s="1"/>
      <c r="J71" s="1" t="str">
        <f t="shared" si="1"/>
        <v>纠后正确</v>
      </c>
    </row>
    <row r="72" spans="1:10" ht="14.25" customHeight="1" x14ac:dyDescent="0.2">
      <c r="A72" s="1" t="s">
        <v>1227</v>
      </c>
      <c r="B72" s="1" t="s">
        <v>50</v>
      </c>
      <c r="C72" s="1">
        <v>4472254</v>
      </c>
      <c r="D72" s="1" t="s">
        <v>2283</v>
      </c>
      <c r="E72" s="1" t="s">
        <v>1450</v>
      </c>
      <c r="F72" s="1" t="s">
        <v>3406</v>
      </c>
      <c r="G72" s="1"/>
      <c r="H72" s="1" t="s">
        <v>3810</v>
      </c>
      <c r="I72" s="1"/>
      <c r="J72" s="1" t="str">
        <f t="shared" si="1"/>
        <v>纠后正确，且氨基酸少5个chr19：4499665-4502022</v>
      </c>
    </row>
    <row r="73" spans="1:10" ht="14.25" customHeight="1" x14ac:dyDescent="0.2">
      <c r="A73" s="1" t="s">
        <v>810</v>
      </c>
      <c r="B73" s="1" t="s">
        <v>33</v>
      </c>
      <c r="C73" s="1">
        <v>6328348</v>
      </c>
      <c r="D73" s="1" t="s">
        <v>2723</v>
      </c>
      <c r="E73" s="1" t="s">
        <v>1695</v>
      </c>
      <c r="F73" s="1">
        <v>1</v>
      </c>
      <c r="G73" s="1"/>
      <c r="H73" s="1"/>
      <c r="I73" s="1"/>
      <c r="J73" s="1" t="str">
        <f t="shared" si="1"/>
        <v/>
      </c>
    </row>
    <row r="74" spans="1:10" ht="14.25" customHeight="1" x14ac:dyDescent="0.2">
      <c r="A74" s="1" t="s">
        <v>812</v>
      </c>
      <c r="B74" s="1" t="s">
        <v>33</v>
      </c>
      <c r="C74" s="1">
        <v>6328348</v>
      </c>
      <c r="D74" s="1" t="s">
        <v>2725</v>
      </c>
      <c r="E74" s="1" t="s">
        <v>1695</v>
      </c>
      <c r="F74" s="1">
        <v>1</v>
      </c>
      <c r="G74" s="1"/>
      <c r="H74" s="1"/>
      <c r="I74" s="1"/>
      <c r="J74" s="1" t="str">
        <f t="shared" si="1"/>
        <v/>
      </c>
    </row>
    <row r="75" spans="1:10" ht="14.25" customHeight="1" x14ac:dyDescent="0.2">
      <c r="A75" s="1" t="s">
        <v>3907</v>
      </c>
      <c r="B75" s="1" t="s">
        <v>50</v>
      </c>
      <c r="C75" s="1">
        <v>56598731</v>
      </c>
      <c r="D75" s="1" t="s">
        <v>3812</v>
      </c>
      <c r="E75" s="1" t="s">
        <v>1453</v>
      </c>
      <c r="F75" s="1" t="s">
        <v>3406</v>
      </c>
      <c r="G75" s="1"/>
      <c r="H75" s="1" t="s">
        <v>8389</v>
      </c>
      <c r="I75" s="1"/>
      <c r="J75" s="1" t="str">
        <f t="shared" si="1"/>
        <v>纠后正确，少1个氨基酸chr19:56599389-56599751</v>
      </c>
    </row>
    <row r="76" spans="1:10" ht="14.25" customHeight="1" x14ac:dyDescent="0.2">
      <c r="A76" s="1" t="s">
        <v>441</v>
      </c>
      <c r="B76" s="1" t="s">
        <v>1</v>
      </c>
      <c r="C76" s="1">
        <v>115919683</v>
      </c>
      <c r="D76" s="1" t="s">
        <v>2406</v>
      </c>
      <c r="E76" s="1" t="s">
        <v>1517</v>
      </c>
      <c r="F76" s="1">
        <v>1</v>
      </c>
      <c r="G76" s="1"/>
      <c r="H76" s="1"/>
      <c r="I76" s="1"/>
      <c r="J76" s="1" t="str">
        <f t="shared" si="1"/>
        <v/>
      </c>
    </row>
    <row r="77" spans="1:10" ht="14.25" customHeight="1" x14ac:dyDescent="0.2">
      <c r="A77" s="1" t="s">
        <v>1325</v>
      </c>
      <c r="B77" s="1" t="s">
        <v>241</v>
      </c>
      <c r="C77" s="1">
        <v>43491425</v>
      </c>
      <c r="D77" s="1" t="s">
        <v>3149</v>
      </c>
      <c r="E77" s="1" t="s">
        <v>1942</v>
      </c>
      <c r="F77" s="1">
        <v>1</v>
      </c>
      <c r="G77" s="1"/>
      <c r="H77" s="1"/>
      <c r="I77" s="1"/>
      <c r="J77" s="1" t="str">
        <f t="shared" si="1"/>
        <v/>
      </c>
    </row>
    <row r="78" spans="1:10" ht="14.25" customHeight="1" x14ac:dyDescent="0.2">
      <c r="A78" s="1" t="s">
        <v>3711</v>
      </c>
      <c r="B78" s="1" t="s">
        <v>36</v>
      </c>
      <c r="C78" s="1">
        <v>5775922</v>
      </c>
      <c r="D78" s="1" t="s">
        <v>3290</v>
      </c>
      <c r="E78" s="1" t="s">
        <v>2013</v>
      </c>
      <c r="F78" s="1">
        <v>3</v>
      </c>
      <c r="G78" s="1"/>
      <c r="H78" s="1"/>
      <c r="I78" s="1"/>
      <c r="J78" s="1" t="str">
        <f t="shared" si="1"/>
        <v/>
      </c>
    </row>
    <row r="79" spans="1:10" ht="14.25" customHeight="1" x14ac:dyDescent="0.2">
      <c r="A79" s="1" t="s">
        <v>143</v>
      </c>
      <c r="B79" s="1" t="s">
        <v>86</v>
      </c>
      <c r="C79" s="1">
        <v>133875977</v>
      </c>
      <c r="D79" s="1" t="s">
        <v>2132</v>
      </c>
      <c r="E79" s="1" t="s">
        <v>142</v>
      </c>
      <c r="F79" s="1" t="s">
        <v>2062</v>
      </c>
      <c r="G79" s="1"/>
      <c r="H79" s="1" t="s">
        <v>3763</v>
      </c>
      <c r="I79" s="1"/>
      <c r="J79" s="1" t="str">
        <f t="shared" si="1"/>
        <v>纠后正确</v>
      </c>
    </row>
    <row r="80" spans="1:10" ht="14.25" customHeight="1" x14ac:dyDescent="0.2">
      <c r="A80" s="1" t="s">
        <v>188</v>
      </c>
      <c r="B80" s="1" t="s">
        <v>86</v>
      </c>
      <c r="C80" s="1">
        <v>50305039</v>
      </c>
      <c r="D80" s="1" t="s">
        <v>2193</v>
      </c>
      <c r="E80" s="1" t="s">
        <v>299</v>
      </c>
      <c r="F80" s="1" t="s">
        <v>2062</v>
      </c>
      <c r="G80" s="1"/>
      <c r="H80" s="1" t="s">
        <v>3763</v>
      </c>
      <c r="I80" s="1"/>
      <c r="J80" s="1" t="str">
        <f t="shared" si="1"/>
        <v>纠后正确</v>
      </c>
    </row>
    <row r="81" spans="1:10" ht="14.25" customHeight="1" x14ac:dyDescent="0.2">
      <c r="A81" s="1" t="s">
        <v>409</v>
      </c>
      <c r="B81" s="1" t="s">
        <v>1</v>
      </c>
      <c r="C81" s="1">
        <v>20400557</v>
      </c>
      <c r="D81" s="1" t="s">
        <v>2382</v>
      </c>
      <c r="E81" s="1" t="s">
        <v>1504</v>
      </c>
      <c r="F81" s="1">
        <v>1</v>
      </c>
      <c r="G81" s="1"/>
      <c r="H81" s="1"/>
      <c r="I81" s="1"/>
      <c r="J81" s="1" t="str">
        <f t="shared" si="1"/>
        <v/>
      </c>
    </row>
    <row r="82" spans="1:10" ht="14.25" customHeight="1" x14ac:dyDescent="0.2">
      <c r="A82" s="1" t="s">
        <v>774</v>
      </c>
      <c r="B82" s="1" t="s">
        <v>103</v>
      </c>
      <c r="C82" s="1">
        <v>13424351</v>
      </c>
      <c r="D82" s="1" t="s">
        <v>3238</v>
      </c>
      <c r="E82" s="1" t="s">
        <v>1984</v>
      </c>
      <c r="F82" s="1">
        <v>2</v>
      </c>
      <c r="G82" s="1"/>
      <c r="H82" s="1"/>
      <c r="I82" s="1"/>
      <c r="J82" s="1" t="str">
        <f t="shared" si="1"/>
        <v/>
      </c>
    </row>
    <row r="83" spans="1:10" ht="14.25" customHeight="1" x14ac:dyDescent="0.2">
      <c r="A83" s="1" t="s">
        <v>997</v>
      </c>
      <c r="B83" s="1" t="s">
        <v>36</v>
      </c>
      <c r="C83" s="1">
        <v>125439297</v>
      </c>
      <c r="D83" s="1" t="s">
        <v>8694</v>
      </c>
      <c r="E83" s="1" t="s">
        <v>276</v>
      </c>
      <c r="F83" s="1" t="s">
        <v>2062</v>
      </c>
      <c r="G83" s="1"/>
      <c r="H83" s="1" t="s">
        <v>3763</v>
      </c>
      <c r="I83" s="1"/>
      <c r="J83" s="1" t="str">
        <f t="shared" si="1"/>
        <v>纠后正确</v>
      </c>
    </row>
    <row r="84" spans="1:10" ht="14.25" customHeight="1" x14ac:dyDescent="0.2">
      <c r="A84" s="1" t="s">
        <v>848</v>
      </c>
      <c r="B84" s="1" t="s">
        <v>93</v>
      </c>
      <c r="C84" s="1">
        <v>13142081</v>
      </c>
      <c r="D84" s="1" t="s">
        <v>2755</v>
      </c>
      <c r="E84" s="1" t="s">
        <v>1714</v>
      </c>
      <c r="F84" s="1">
        <v>1</v>
      </c>
      <c r="G84" s="1"/>
      <c r="H84" s="1"/>
      <c r="I84" s="1"/>
      <c r="J84" s="1" t="str">
        <f t="shared" si="1"/>
        <v/>
      </c>
    </row>
    <row r="85" spans="1:10" ht="14.25" customHeight="1" x14ac:dyDescent="0.2">
      <c r="A85" s="1" t="s">
        <v>850</v>
      </c>
      <c r="B85" s="1" t="s">
        <v>93</v>
      </c>
      <c r="C85" s="1">
        <v>13142081</v>
      </c>
      <c r="D85" s="1" t="s">
        <v>2757</v>
      </c>
      <c r="E85" s="1" t="s">
        <v>1714</v>
      </c>
      <c r="F85" s="1">
        <v>1</v>
      </c>
      <c r="G85" s="1"/>
      <c r="H85" s="1"/>
      <c r="I85" s="1"/>
      <c r="J85" s="1" t="str">
        <f t="shared" si="1"/>
        <v/>
      </c>
    </row>
    <row r="86" spans="1:10" ht="14.25" customHeight="1" x14ac:dyDescent="0.2">
      <c r="A86" s="1" t="s">
        <v>849</v>
      </c>
      <c r="B86" s="1" t="s">
        <v>93</v>
      </c>
      <c r="C86" s="1">
        <v>13142081</v>
      </c>
      <c r="D86" s="1" t="s">
        <v>2756</v>
      </c>
      <c r="E86" s="1" t="s">
        <v>1714</v>
      </c>
      <c r="F86" s="1">
        <v>1</v>
      </c>
      <c r="G86" s="1"/>
      <c r="H86" s="1"/>
      <c r="I86" s="1"/>
      <c r="J86" s="1" t="str">
        <f t="shared" si="1"/>
        <v/>
      </c>
    </row>
    <row r="87" spans="1:10" ht="14.25" customHeight="1" x14ac:dyDescent="0.2">
      <c r="A87" s="1" t="s">
        <v>1213</v>
      </c>
      <c r="B87" s="1" t="s">
        <v>179</v>
      </c>
      <c r="C87" s="1">
        <v>43753987</v>
      </c>
      <c r="D87" s="1" t="s">
        <v>8675</v>
      </c>
      <c r="E87" s="1" t="s">
        <v>1449</v>
      </c>
      <c r="F87" s="1" t="s">
        <v>3406</v>
      </c>
      <c r="G87" s="1"/>
      <c r="H87" s="1" t="s">
        <v>8674</v>
      </c>
      <c r="I87" s="1"/>
      <c r="J87" s="1" t="str">
        <f t="shared" si="1"/>
        <v>纠后正确，且氨基酸加1个chr18：43833705-43843081</v>
      </c>
    </row>
    <row r="88" spans="1:10" ht="14.25" customHeight="1" x14ac:dyDescent="0.2">
      <c r="A88" s="1" t="s">
        <v>183</v>
      </c>
      <c r="B88" s="1" t="s">
        <v>50</v>
      </c>
      <c r="C88" s="1">
        <v>53935226</v>
      </c>
      <c r="D88" s="1" t="s">
        <v>2156</v>
      </c>
      <c r="E88" s="1" t="s">
        <v>182</v>
      </c>
      <c r="F88" s="1" t="s">
        <v>2062</v>
      </c>
      <c r="G88" s="1"/>
      <c r="H88" s="1" t="s">
        <v>3763</v>
      </c>
      <c r="I88" s="1"/>
      <c r="J88" s="1" t="str">
        <f t="shared" si="1"/>
        <v>纠后正确</v>
      </c>
    </row>
    <row r="89" spans="1:10" ht="14.25" customHeight="1" x14ac:dyDescent="0.2">
      <c r="A89" s="1" t="s">
        <v>551</v>
      </c>
      <c r="B89" s="1" t="s">
        <v>86</v>
      </c>
      <c r="C89" s="1">
        <v>125725199</v>
      </c>
      <c r="D89" s="1" t="s">
        <v>2499</v>
      </c>
      <c r="E89" s="1" t="s">
        <v>1561</v>
      </c>
      <c r="F89" s="1">
        <v>1</v>
      </c>
      <c r="G89" s="1"/>
      <c r="H89" s="1"/>
      <c r="I89" s="1"/>
      <c r="J89" s="1" t="str">
        <f t="shared" si="1"/>
        <v/>
      </c>
    </row>
    <row r="90" spans="1:10" ht="14.25" customHeight="1" x14ac:dyDescent="0.2">
      <c r="A90" s="1" t="s">
        <v>550</v>
      </c>
      <c r="B90" s="1" t="s">
        <v>86</v>
      </c>
      <c r="C90" s="1">
        <v>125725199</v>
      </c>
      <c r="D90" s="1" t="s">
        <v>2498</v>
      </c>
      <c r="E90" s="1" t="s">
        <v>1561</v>
      </c>
      <c r="F90" s="1">
        <v>1</v>
      </c>
      <c r="G90" s="1"/>
      <c r="H90" s="1"/>
      <c r="I90" s="1"/>
      <c r="J90" s="1" t="str">
        <f t="shared" si="1"/>
        <v/>
      </c>
    </row>
    <row r="91" spans="1:10" ht="14.25" customHeight="1" x14ac:dyDescent="0.2">
      <c r="A91" s="1" t="s">
        <v>652</v>
      </c>
      <c r="B91" s="1" t="s">
        <v>186</v>
      </c>
      <c r="C91" s="1">
        <v>130977406</v>
      </c>
      <c r="D91" s="1" t="s">
        <v>2590</v>
      </c>
      <c r="E91" s="1" t="s">
        <v>1615</v>
      </c>
      <c r="F91" s="1">
        <v>1</v>
      </c>
      <c r="G91" s="1"/>
      <c r="H91" s="1"/>
      <c r="I91" s="1"/>
      <c r="J91" s="1" t="str">
        <f t="shared" si="1"/>
        <v/>
      </c>
    </row>
    <row r="92" spans="1:10" ht="14.25" customHeight="1" x14ac:dyDescent="0.2">
      <c r="A92" s="1" t="s">
        <v>1112</v>
      </c>
      <c r="B92" s="1" t="s">
        <v>121</v>
      </c>
      <c r="C92" s="1">
        <v>2138710</v>
      </c>
      <c r="D92" s="1" t="s">
        <v>2977</v>
      </c>
      <c r="E92" s="1" t="s">
        <v>1834</v>
      </c>
      <c r="F92" s="1">
        <v>1</v>
      </c>
      <c r="G92" s="1"/>
      <c r="H92" s="1"/>
      <c r="I92" s="1"/>
      <c r="J92" s="1" t="str">
        <f t="shared" si="1"/>
        <v/>
      </c>
    </row>
    <row r="93" spans="1:10" ht="14.25" customHeight="1" x14ac:dyDescent="0.2">
      <c r="A93" s="1" t="s">
        <v>1123</v>
      </c>
      <c r="B93" s="1" t="s">
        <v>121</v>
      </c>
      <c r="C93" s="1">
        <v>20462858</v>
      </c>
      <c r="D93" s="1" t="s">
        <v>2987</v>
      </c>
      <c r="E93" s="1" t="s">
        <v>1842</v>
      </c>
      <c r="F93" s="1">
        <v>1</v>
      </c>
      <c r="G93" s="1"/>
      <c r="H93" s="1"/>
      <c r="I93" s="1"/>
      <c r="J93" s="1" t="str">
        <f t="shared" si="1"/>
        <v/>
      </c>
    </row>
    <row r="94" spans="1:10" ht="14.25" customHeight="1" x14ac:dyDescent="0.2">
      <c r="A94" s="1" t="s">
        <v>189</v>
      </c>
      <c r="B94" s="1" t="s">
        <v>47</v>
      </c>
      <c r="C94" s="1">
        <v>8706054</v>
      </c>
      <c r="D94" s="1" t="s">
        <v>2188</v>
      </c>
      <c r="E94" s="1" t="s">
        <v>294</v>
      </c>
      <c r="F94" s="1" t="s">
        <v>2062</v>
      </c>
      <c r="G94" s="1"/>
      <c r="H94" s="1" t="s">
        <v>3763</v>
      </c>
      <c r="I94" s="1"/>
      <c r="J94" s="1" t="str">
        <f t="shared" si="1"/>
        <v>纠后正确</v>
      </c>
    </row>
    <row r="95" spans="1:10" ht="14.25" customHeight="1" x14ac:dyDescent="0.2">
      <c r="A95" s="1" t="s">
        <v>401</v>
      </c>
      <c r="B95" s="1" t="s">
        <v>139</v>
      </c>
      <c r="C95" s="1">
        <v>228675067</v>
      </c>
      <c r="D95" s="1" t="s">
        <v>2375</v>
      </c>
      <c r="E95" s="1" t="s">
        <v>1498</v>
      </c>
      <c r="F95" s="1">
        <v>1</v>
      </c>
      <c r="G95" s="1"/>
      <c r="H95" s="1"/>
      <c r="I95" s="1"/>
      <c r="J95" s="1" t="str">
        <f t="shared" si="1"/>
        <v/>
      </c>
    </row>
    <row r="96" spans="1:10" ht="14.25" customHeight="1" x14ac:dyDescent="0.2">
      <c r="A96" s="1" t="s">
        <v>710</v>
      </c>
      <c r="B96" s="1" t="s">
        <v>175</v>
      </c>
      <c r="C96" s="1">
        <v>155538096</v>
      </c>
      <c r="D96" s="1" t="s">
        <v>2643</v>
      </c>
      <c r="E96" s="1" t="s">
        <v>1646</v>
      </c>
      <c r="F96" s="1">
        <v>1</v>
      </c>
      <c r="G96" s="1"/>
      <c r="H96" s="1"/>
      <c r="I96" s="1"/>
      <c r="J96" s="1" t="str">
        <f t="shared" si="1"/>
        <v/>
      </c>
    </row>
    <row r="97" spans="1:10" ht="14.25" customHeight="1" x14ac:dyDescent="0.2">
      <c r="A97" s="1" t="s">
        <v>1397</v>
      </c>
      <c r="B97" s="1" t="s">
        <v>73</v>
      </c>
      <c r="C97" s="1">
        <v>138808504</v>
      </c>
      <c r="D97" s="1" t="s">
        <v>3199</v>
      </c>
      <c r="E97" s="1" t="s">
        <v>1966</v>
      </c>
      <c r="F97" s="1">
        <v>1</v>
      </c>
      <c r="G97" s="1"/>
      <c r="H97" s="1"/>
      <c r="I97" s="1"/>
      <c r="J97" s="1" t="str">
        <f t="shared" si="1"/>
        <v/>
      </c>
    </row>
    <row r="98" spans="1:10" ht="14.25" customHeight="1" x14ac:dyDescent="0.2">
      <c r="A98" s="1" t="s">
        <v>602</v>
      </c>
      <c r="B98" s="1" t="s">
        <v>569</v>
      </c>
      <c r="C98" s="1">
        <v>95373007</v>
      </c>
      <c r="D98" s="1" t="s">
        <v>2544</v>
      </c>
      <c r="E98" s="1" t="s">
        <v>1585</v>
      </c>
      <c r="F98" s="1">
        <v>1</v>
      </c>
      <c r="G98" s="1"/>
      <c r="H98" s="1"/>
      <c r="I98" s="1"/>
      <c r="J98" s="1" t="str">
        <f t="shared" si="1"/>
        <v/>
      </c>
    </row>
    <row r="99" spans="1:10" ht="14.25" customHeight="1" x14ac:dyDescent="0.2">
      <c r="A99" s="1" t="s">
        <v>1407</v>
      </c>
      <c r="B99" s="1" t="s">
        <v>73</v>
      </c>
      <c r="C99" s="1">
        <v>151301781</v>
      </c>
      <c r="D99" s="1" t="s">
        <v>3209</v>
      </c>
      <c r="E99" s="1" t="s">
        <v>1969</v>
      </c>
      <c r="F99" s="1">
        <v>1</v>
      </c>
      <c r="G99" s="1"/>
      <c r="H99" s="1"/>
      <c r="I99" s="1"/>
      <c r="J99" s="1" t="str">
        <f t="shared" si="1"/>
        <v/>
      </c>
    </row>
    <row r="100" spans="1:10" ht="14.25" customHeight="1" x14ac:dyDescent="0.2">
      <c r="A100" s="1" t="s">
        <v>1393</v>
      </c>
      <c r="B100" s="1" t="s">
        <v>73</v>
      </c>
      <c r="C100" s="1">
        <v>101137259</v>
      </c>
      <c r="D100" s="1" t="s">
        <v>3195</v>
      </c>
      <c r="E100" s="1" t="s">
        <v>1964</v>
      </c>
      <c r="F100" s="1">
        <v>1</v>
      </c>
      <c r="G100" s="1"/>
      <c r="H100" s="1"/>
      <c r="I100" s="1"/>
      <c r="J100" s="1" t="str">
        <f t="shared" si="1"/>
        <v/>
      </c>
    </row>
    <row r="101" spans="1:10" ht="14.25" customHeight="1" x14ac:dyDescent="0.2">
      <c r="A101" s="1" t="s">
        <v>328</v>
      </c>
      <c r="B101" s="1" t="s">
        <v>139</v>
      </c>
      <c r="C101" s="1">
        <v>17907047</v>
      </c>
      <c r="D101" s="1" t="s">
        <v>2307</v>
      </c>
      <c r="E101" s="1" t="s">
        <v>1464</v>
      </c>
      <c r="F101" s="1">
        <v>1</v>
      </c>
      <c r="G101" s="1"/>
      <c r="H101" s="1"/>
      <c r="I101" s="1"/>
      <c r="J101" s="1" t="str">
        <f t="shared" si="1"/>
        <v/>
      </c>
    </row>
    <row r="102" spans="1:10" ht="14.25" customHeight="1" x14ac:dyDescent="0.2">
      <c r="A102" s="1" t="s">
        <v>1361</v>
      </c>
      <c r="B102" s="1" t="s">
        <v>73</v>
      </c>
      <c r="C102" s="1">
        <v>1314868</v>
      </c>
      <c r="D102" s="1" t="s">
        <v>3300</v>
      </c>
      <c r="E102" s="1" t="s">
        <v>2016</v>
      </c>
      <c r="F102" s="1">
        <v>5</v>
      </c>
      <c r="G102" s="1"/>
      <c r="H102" s="1" t="s">
        <v>3813</v>
      </c>
      <c r="I102" s="1"/>
      <c r="J102" s="1" t="str">
        <f t="shared" si="1"/>
        <v>无rs号验证，氨基酸加1个chrX:1314875-1314998</v>
      </c>
    </row>
    <row r="103" spans="1:10" ht="14.25" customHeight="1" x14ac:dyDescent="0.2">
      <c r="A103" s="1" t="s">
        <v>1361</v>
      </c>
      <c r="B103" s="1" t="s">
        <v>1409</v>
      </c>
      <c r="C103" s="1">
        <v>1264868</v>
      </c>
      <c r="D103" s="1" t="s">
        <v>3301</v>
      </c>
      <c r="E103" s="1" t="s">
        <v>2016</v>
      </c>
      <c r="F103" s="1">
        <v>5</v>
      </c>
      <c r="G103" s="1"/>
      <c r="H103" s="1" t="s">
        <v>3814</v>
      </c>
      <c r="I103" s="1"/>
      <c r="J103" s="1" t="str">
        <f t="shared" si="1"/>
        <v>无rs号验证，氨基酸加1个chrY:1264871-1264998</v>
      </c>
    </row>
    <row r="104" spans="1:10" ht="14.25" customHeight="1" x14ac:dyDescent="0.2">
      <c r="A104" s="1" t="s">
        <v>897</v>
      </c>
      <c r="B104" s="1" t="s">
        <v>36</v>
      </c>
      <c r="C104" s="1">
        <v>417929</v>
      </c>
      <c r="D104" s="1" t="s">
        <v>2798</v>
      </c>
      <c r="E104" s="1" t="s">
        <v>1731</v>
      </c>
      <c r="F104" s="1">
        <v>1</v>
      </c>
      <c r="G104" s="1"/>
      <c r="H104" s="1"/>
      <c r="I104" s="1"/>
      <c r="J104" s="1" t="str">
        <f t="shared" si="1"/>
        <v/>
      </c>
    </row>
    <row r="105" spans="1:10" ht="14.25" customHeight="1" x14ac:dyDescent="0.2">
      <c r="A105" s="1" t="s">
        <v>838</v>
      </c>
      <c r="B105" s="1" t="s">
        <v>33</v>
      </c>
      <c r="C105" s="1">
        <v>138585252</v>
      </c>
      <c r="D105" s="1" t="s">
        <v>2746</v>
      </c>
      <c r="E105" s="1" t="s">
        <v>1708</v>
      </c>
      <c r="F105" s="1">
        <v>1</v>
      </c>
      <c r="G105" s="1"/>
      <c r="H105" s="1"/>
      <c r="I105" s="1"/>
      <c r="J105" s="1" t="str">
        <f t="shared" si="1"/>
        <v/>
      </c>
    </row>
    <row r="106" spans="1:10" ht="14.25" customHeight="1" x14ac:dyDescent="0.2">
      <c r="A106" s="1" t="s">
        <v>636</v>
      </c>
      <c r="B106" s="1" t="s">
        <v>186</v>
      </c>
      <c r="C106" s="1">
        <v>33945970</v>
      </c>
      <c r="D106" s="1" t="s">
        <v>2576</v>
      </c>
      <c r="E106" s="1" t="s">
        <v>1603</v>
      </c>
      <c r="F106" s="1">
        <v>1</v>
      </c>
      <c r="G106" s="1"/>
      <c r="H106" s="1"/>
      <c r="I106" s="1"/>
      <c r="J106" s="1" t="str">
        <f t="shared" si="1"/>
        <v/>
      </c>
    </row>
    <row r="107" spans="1:10" ht="14.25" customHeight="1" x14ac:dyDescent="0.2">
      <c r="A107" s="1" t="s">
        <v>8807</v>
      </c>
      <c r="B107" s="1" t="s">
        <v>36</v>
      </c>
      <c r="C107" s="1">
        <v>1642187</v>
      </c>
      <c r="D107" s="1" t="s">
        <v>3863</v>
      </c>
      <c r="E107" s="1" t="s">
        <v>1440</v>
      </c>
      <c r="F107" s="1" t="s">
        <v>3406</v>
      </c>
      <c r="G107" s="1"/>
      <c r="H107" s="1"/>
      <c r="I107" s="1" t="s">
        <v>8390</v>
      </c>
      <c r="J107" s="1" t="str">
        <f>IF(H107="",IF(I107="","",I107),H107)</f>
        <v>纠后正确,加60个氨基酸chr11:1642637-1642939</v>
      </c>
    </row>
    <row r="108" spans="1:10" ht="14.25" customHeight="1" x14ac:dyDescent="0.2">
      <c r="A108" s="1" t="s">
        <v>1025</v>
      </c>
      <c r="B108" s="1" t="s">
        <v>212</v>
      </c>
      <c r="C108" s="1">
        <v>38710556</v>
      </c>
      <c r="D108" s="1" t="s">
        <v>2902</v>
      </c>
      <c r="E108" s="1" t="s">
        <v>1782</v>
      </c>
      <c r="F108" s="1">
        <v>1</v>
      </c>
      <c r="G108" s="1"/>
      <c r="H108" s="1"/>
      <c r="I108" s="1"/>
      <c r="J108" s="1" t="str">
        <f t="shared" si="1"/>
        <v/>
      </c>
    </row>
    <row r="109" spans="1:10" ht="14.25" customHeight="1" x14ac:dyDescent="0.2">
      <c r="A109" s="1" t="s">
        <v>335</v>
      </c>
      <c r="B109" s="1" t="s">
        <v>139</v>
      </c>
      <c r="C109" s="1">
        <v>27320194</v>
      </c>
      <c r="D109" s="1" t="s">
        <v>2314</v>
      </c>
      <c r="E109" s="1" t="s">
        <v>1468</v>
      </c>
      <c r="F109" s="1">
        <v>1</v>
      </c>
      <c r="G109" s="1"/>
      <c r="H109" s="1"/>
      <c r="I109" s="1"/>
      <c r="J109" s="1" t="str">
        <f t="shared" si="1"/>
        <v/>
      </c>
    </row>
    <row r="110" spans="1:10" ht="14.25" customHeight="1" x14ac:dyDescent="0.2">
      <c r="A110" s="1" t="s">
        <v>190</v>
      </c>
      <c r="B110" s="1" t="s">
        <v>73</v>
      </c>
      <c r="C110" s="1">
        <v>50111878</v>
      </c>
      <c r="D110" s="1" t="s">
        <v>2163</v>
      </c>
      <c r="E110" s="1" t="s">
        <v>275</v>
      </c>
      <c r="F110" s="1" t="s">
        <v>2062</v>
      </c>
      <c r="G110" s="1"/>
      <c r="H110" s="1" t="s">
        <v>3763</v>
      </c>
      <c r="I110" s="1"/>
      <c r="J110" s="1" t="str">
        <f t="shared" si="1"/>
        <v>纠后正确</v>
      </c>
    </row>
    <row r="111" spans="1:10" ht="14.25" customHeight="1" x14ac:dyDescent="0.2">
      <c r="A111" s="1" t="s">
        <v>584</v>
      </c>
      <c r="B111" s="1" t="s">
        <v>569</v>
      </c>
      <c r="C111" s="1">
        <v>8594386</v>
      </c>
      <c r="D111" s="1" t="s">
        <v>3228</v>
      </c>
      <c r="E111" s="1" t="s">
        <v>1575</v>
      </c>
      <c r="F111" s="1">
        <v>2</v>
      </c>
      <c r="G111" s="1"/>
      <c r="H111" s="1"/>
      <c r="I111" s="1"/>
      <c r="J111" s="1" t="str">
        <f t="shared" si="1"/>
        <v/>
      </c>
    </row>
    <row r="112" spans="1:10" ht="14.25" customHeight="1" x14ac:dyDescent="0.2">
      <c r="A112" s="1" t="s">
        <v>583</v>
      </c>
      <c r="B112" s="1" t="s">
        <v>569</v>
      </c>
      <c r="C112" s="1">
        <v>8594386</v>
      </c>
      <c r="D112" s="1" t="s">
        <v>2526</v>
      </c>
      <c r="E112" s="1" t="s">
        <v>1575</v>
      </c>
      <c r="F112" s="1">
        <v>1</v>
      </c>
      <c r="G112" s="1"/>
      <c r="H112" s="1"/>
      <c r="I112" s="1"/>
      <c r="J112" s="1" t="str">
        <f t="shared" si="1"/>
        <v/>
      </c>
    </row>
    <row r="113" spans="1:10" ht="14.25" customHeight="1" x14ac:dyDescent="0.2">
      <c r="A113" s="1" t="s">
        <v>1154</v>
      </c>
      <c r="B113" s="1" t="s">
        <v>47</v>
      </c>
      <c r="C113" s="1">
        <v>4692253</v>
      </c>
      <c r="D113" s="1" t="s">
        <v>3267</v>
      </c>
      <c r="E113" s="1" t="s">
        <v>2002</v>
      </c>
      <c r="F113" s="1">
        <v>2</v>
      </c>
      <c r="G113" s="1"/>
      <c r="H113" s="1"/>
      <c r="I113" s="1"/>
      <c r="J113" s="1" t="str">
        <f t="shared" si="1"/>
        <v/>
      </c>
    </row>
    <row r="114" spans="1:10" ht="14.25" customHeight="1" x14ac:dyDescent="0.2">
      <c r="A114" s="1" t="s">
        <v>454</v>
      </c>
      <c r="B114" s="1" t="s">
        <v>1</v>
      </c>
      <c r="C114" s="1">
        <v>174771186</v>
      </c>
      <c r="D114" s="1" t="s">
        <v>2418</v>
      </c>
      <c r="E114" s="1" t="s">
        <v>1524</v>
      </c>
      <c r="F114" s="1">
        <v>1</v>
      </c>
      <c r="G114" s="1"/>
      <c r="H114" s="1"/>
      <c r="I114" s="1"/>
      <c r="J114" s="1" t="str">
        <f t="shared" si="1"/>
        <v/>
      </c>
    </row>
    <row r="115" spans="1:10" ht="14.25" customHeight="1" x14ac:dyDescent="0.2">
      <c r="A115" s="1" t="s">
        <v>431</v>
      </c>
      <c r="B115" s="1" t="s">
        <v>1</v>
      </c>
      <c r="C115" s="1">
        <v>95831182</v>
      </c>
      <c r="D115" s="1" t="s">
        <v>2230</v>
      </c>
      <c r="E115" s="1" t="s">
        <v>1416</v>
      </c>
      <c r="F115" s="1" t="s">
        <v>3406</v>
      </c>
      <c r="G115" s="1"/>
      <c r="H115" s="1" t="s">
        <v>3815</v>
      </c>
      <c r="I115" s="1"/>
      <c r="J115" s="1" t="str">
        <f t="shared" si="1"/>
        <v>纠后正确，氨基酸少1个，chr2：95847047-95847854</v>
      </c>
    </row>
    <row r="116" spans="1:10" ht="14.25" customHeight="1" x14ac:dyDescent="0.2">
      <c r="A116" s="1" t="s">
        <v>1342</v>
      </c>
      <c r="B116" s="1" t="s">
        <v>43</v>
      </c>
      <c r="C116" s="1">
        <v>30752626</v>
      </c>
      <c r="D116" s="1" t="s">
        <v>3161</v>
      </c>
      <c r="E116" s="1" t="s">
        <v>1948</v>
      </c>
      <c r="F116" s="1">
        <v>1</v>
      </c>
      <c r="G116" s="1"/>
      <c r="H116" s="1"/>
      <c r="I116" s="1"/>
      <c r="J116" s="1" t="str">
        <f t="shared" si="1"/>
        <v/>
      </c>
    </row>
    <row r="117" spans="1:10" ht="14.25" customHeight="1" x14ac:dyDescent="0.2">
      <c r="A117" s="1" t="s">
        <v>3749</v>
      </c>
      <c r="B117" s="1" t="s">
        <v>1</v>
      </c>
      <c r="C117" s="1">
        <v>233925035</v>
      </c>
      <c r="D117" s="1" t="s">
        <v>2212</v>
      </c>
      <c r="E117" s="1" t="s">
        <v>1410</v>
      </c>
      <c r="F117" s="1">
        <v>10</v>
      </c>
      <c r="G117" s="1" t="s">
        <v>8391</v>
      </c>
      <c r="H117" s="1"/>
      <c r="I117" s="1"/>
      <c r="J117" s="1" t="str">
        <f t="shared" si="1"/>
        <v/>
      </c>
    </row>
    <row r="118" spans="1:10" ht="14.25" customHeight="1" x14ac:dyDescent="0.2">
      <c r="A118" s="1" t="s">
        <v>244</v>
      </c>
      <c r="B118" s="1" t="s">
        <v>1</v>
      </c>
      <c r="C118" s="1">
        <v>234054794</v>
      </c>
      <c r="D118" s="1" t="s">
        <v>2214</v>
      </c>
      <c r="E118" s="1" t="s">
        <v>1410</v>
      </c>
      <c r="F118" s="1" t="s">
        <v>2062</v>
      </c>
      <c r="G118" s="1" t="s">
        <v>8391</v>
      </c>
      <c r="H118" s="1"/>
      <c r="I118" s="1"/>
      <c r="J118" s="1" t="str">
        <f t="shared" si="1"/>
        <v/>
      </c>
    </row>
    <row r="119" spans="1:10" ht="14.25" customHeight="1" x14ac:dyDescent="0.2">
      <c r="A119" s="1" t="s">
        <v>859</v>
      </c>
      <c r="B119" s="1" t="s">
        <v>93</v>
      </c>
      <c r="C119" s="1">
        <v>49364601</v>
      </c>
      <c r="D119" s="1" t="s">
        <v>2765</v>
      </c>
      <c r="E119" s="1" t="s">
        <v>1717</v>
      </c>
      <c r="F119" s="1">
        <v>1</v>
      </c>
      <c r="G119" s="1"/>
      <c r="H119" s="1"/>
      <c r="I119" s="1"/>
      <c r="J119" s="1" t="str">
        <f t="shared" si="1"/>
        <v/>
      </c>
    </row>
    <row r="120" spans="1:10" ht="14.25" customHeight="1" x14ac:dyDescent="0.2">
      <c r="A120" s="1" t="s">
        <v>174</v>
      </c>
      <c r="B120" s="1" t="s">
        <v>175</v>
      </c>
      <c r="C120" s="1">
        <v>28234787</v>
      </c>
      <c r="D120" s="1" t="s">
        <v>2152</v>
      </c>
      <c r="E120" s="1" t="s">
        <v>173</v>
      </c>
      <c r="F120" s="1" t="s">
        <v>2062</v>
      </c>
      <c r="G120" s="1"/>
      <c r="H120" s="1" t="s">
        <v>3763</v>
      </c>
      <c r="I120" s="1"/>
      <c r="J120" s="1" t="str">
        <f t="shared" si="1"/>
        <v>纠后正确</v>
      </c>
    </row>
    <row r="121" spans="1:10" ht="14.25" customHeight="1" x14ac:dyDescent="0.2">
      <c r="A121" s="1" t="s">
        <v>857</v>
      </c>
      <c r="B121" s="1" t="s">
        <v>93</v>
      </c>
      <c r="C121" s="1">
        <v>33486546</v>
      </c>
      <c r="D121" s="1" t="s">
        <v>2764</v>
      </c>
      <c r="E121" s="1" t="s">
        <v>1716</v>
      </c>
      <c r="F121" s="1">
        <v>1</v>
      </c>
      <c r="G121" s="1"/>
      <c r="H121" s="1"/>
      <c r="I121" s="1"/>
      <c r="J121" s="1" t="str">
        <f t="shared" si="1"/>
        <v/>
      </c>
    </row>
    <row r="122" spans="1:10" ht="14.25" customHeight="1" x14ac:dyDescent="0.2">
      <c r="A122" s="1" t="s">
        <v>856</v>
      </c>
      <c r="B122" s="1" t="s">
        <v>93</v>
      </c>
      <c r="C122" s="1">
        <v>33486546</v>
      </c>
      <c r="D122" s="1" t="s">
        <v>2763</v>
      </c>
      <c r="E122" s="1" t="s">
        <v>1716</v>
      </c>
      <c r="F122" s="1">
        <v>1</v>
      </c>
      <c r="G122" s="1"/>
      <c r="H122" s="1"/>
      <c r="I122" s="1"/>
      <c r="J122" s="1" t="str">
        <f t="shared" si="1"/>
        <v/>
      </c>
    </row>
    <row r="123" spans="1:10" ht="14.25" customHeight="1" x14ac:dyDescent="0.2">
      <c r="A123" s="1" t="s">
        <v>434</v>
      </c>
      <c r="B123" s="1" t="s">
        <v>1</v>
      </c>
      <c r="C123" s="1">
        <v>100163714</v>
      </c>
      <c r="D123" s="1" t="s">
        <v>2399</v>
      </c>
      <c r="E123" s="1" t="s">
        <v>1514</v>
      </c>
      <c r="F123" s="1">
        <v>1</v>
      </c>
      <c r="G123" s="1"/>
      <c r="H123" s="1"/>
      <c r="I123" s="1"/>
      <c r="J123" s="1" t="str">
        <f t="shared" si="1"/>
        <v/>
      </c>
    </row>
    <row r="124" spans="1:10" ht="14.25" customHeight="1" x14ac:dyDescent="0.2">
      <c r="A124" s="1" t="s">
        <v>1350</v>
      </c>
      <c r="B124" s="1" t="s">
        <v>43</v>
      </c>
      <c r="C124" s="1">
        <v>42522500</v>
      </c>
      <c r="D124" s="1" t="s">
        <v>3284</v>
      </c>
      <c r="E124" s="1" t="s">
        <v>2011</v>
      </c>
      <c r="F124" s="1">
        <v>2</v>
      </c>
      <c r="G124" s="1"/>
      <c r="H124" s="1"/>
      <c r="I124" s="1"/>
      <c r="J124" s="1" t="str">
        <f t="shared" si="1"/>
        <v/>
      </c>
    </row>
    <row r="125" spans="1:10" ht="14.25" customHeight="1" x14ac:dyDescent="0.2">
      <c r="A125" s="1" t="s">
        <v>678</v>
      </c>
      <c r="B125" s="1" t="s">
        <v>175</v>
      </c>
      <c r="C125" s="1">
        <v>43737945</v>
      </c>
      <c r="D125" s="1" t="s">
        <v>2614</v>
      </c>
      <c r="E125" s="1" t="s">
        <v>1634</v>
      </c>
      <c r="F125" s="1">
        <v>1</v>
      </c>
      <c r="G125" s="1"/>
      <c r="H125" s="1"/>
      <c r="I125" s="1"/>
      <c r="J125" s="1" t="str">
        <f t="shared" si="1"/>
        <v/>
      </c>
    </row>
    <row r="126" spans="1:10" ht="14.25" customHeight="1" x14ac:dyDescent="0.2">
      <c r="A126" s="1" t="s">
        <v>681</v>
      </c>
      <c r="B126" s="1" t="s">
        <v>175</v>
      </c>
      <c r="C126" s="1">
        <v>43737945</v>
      </c>
      <c r="D126" s="1" t="s">
        <v>2617</v>
      </c>
      <c r="E126" s="1" t="s">
        <v>1634</v>
      </c>
      <c r="F126" s="1">
        <v>1</v>
      </c>
      <c r="G126" s="1"/>
      <c r="H126" s="1"/>
      <c r="I126" s="1"/>
      <c r="J126" s="1" t="str">
        <f t="shared" si="1"/>
        <v/>
      </c>
    </row>
    <row r="127" spans="1:10" ht="14.25" customHeight="1" x14ac:dyDescent="0.2">
      <c r="A127" s="1" t="s">
        <v>682</v>
      </c>
      <c r="B127" s="1" t="s">
        <v>175</v>
      </c>
      <c r="C127" s="1">
        <v>43737945</v>
      </c>
      <c r="D127" s="1" t="s">
        <v>2618</v>
      </c>
      <c r="E127" s="1" t="s">
        <v>1634</v>
      </c>
      <c r="F127" s="1">
        <v>1</v>
      </c>
      <c r="G127" s="1"/>
      <c r="H127" s="1"/>
      <c r="I127" s="1"/>
      <c r="J127" s="1" t="str">
        <f t="shared" si="1"/>
        <v/>
      </c>
    </row>
    <row r="128" spans="1:10" ht="14.25" customHeight="1" x14ac:dyDescent="0.2">
      <c r="A128" s="1" t="s">
        <v>684</v>
      </c>
      <c r="B128" s="1" t="s">
        <v>175</v>
      </c>
      <c r="C128" s="1">
        <v>43737945</v>
      </c>
      <c r="D128" s="1" t="s">
        <v>2620</v>
      </c>
      <c r="E128" s="1" t="s">
        <v>1634</v>
      </c>
      <c r="F128" s="1">
        <v>1</v>
      </c>
      <c r="G128" s="1"/>
      <c r="H128" s="1"/>
      <c r="I128" s="1"/>
      <c r="J128" s="1" t="str">
        <f t="shared" si="1"/>
        <v/>
      </c>
    </row>
    <row r="129" spans="1:10" ht="14.25" customHeight="1" x14ac:dyDescent="0.2">
      <c r="A129" s="1" t="s">
        <v>685</v>
      </c>
      <c r="B129" s="1" t="s">
        <v>175</v>
      </c>
      <c r="C129" s="1">
        <v>43737945</v>
      </c>
      <c r="D129" s="1" t="s">
        <v>2621</v>
      </c>
      <c r="E129" s="1" t="s">
        <v>1634</v>
      </c>
      <c r="F129" s="1">
        <v>1</v>
      </c>
      <c r="G129" s="1"/>
      <c r="H129" s="1"/>
      <c r="I129" s="1"/>
      <c r="J129" s="1" t="str">
        <f t="shared" si="1"/>
        <v/>
      </c>
    </row>
    <row r="130" spans="1:10" ht="14.25" customHeight="1" x14ac:dyDescent="0.2">
      <c r="A130" s="1" t="s">
        <v>191</v>
      </c>
      <c r="B130" s="1" t="s">
        <v>36</v>
      </c>
      <c r="C130" s="1">
        <v>67777789</v>
      </c>
      <c r="D130" s="1" t="s">
        <v>2157</v>
      </c>
      <c r="E130" s="1" t="s">
        <v>269</v>
      </c>
      <c r="F130" s="1" t="s">
        <v>2062</v>
      </c>
      <c r="G130" s="1"/>
      <c r="H130" s="1" t="s">
        <v>3763</v>
      </c>
      <c r="I130" s="1"/>
      <c r="J130" s="1" t="str">
        <f t="shared" si="1"/>
        <v>纠后正确</v>
      </c>
    </row>
    <row r="131" spans="1:10" ht="14.25" customHeight="1" x14ac:dyDescent="0.2">
      <c r="A131" s="1" t="s">
        <v>956</v>
      </c>
      <c r="B131" s="1" t="s">
        <v>36</v>
      </c>
      <c r="C131" s="1">
        <v>67429632</v>
      </c>
      <c r="D131" s="1" t="s">
        <v>3247</v>
      </c>
      <c r="E131" s="1" t="s">
        <v>1989</v>
      </c>
      <c r="F131" s="1">
        <v>2</v>
      </c>
      <c r="G131" s="1"/>
      <c r="H131" s="1"/>
      <c r="I131" s="1"/>
      <c r="J131" s="1" t="str">
        <f t="shared" ref="J131:J194" si="2">IF(H131="",IF(I131="","",I131),H131)</f>
        <v/>
      </c>
    </row>
    <row r="132" spans="1:10" ht="14.25" customHeight="1" x14ac:dyDescent="0.2">
      <c r="A132" s="1" t="s">
        <v>1094</v>
      </c>
      <c r="B132" s="1" t="s">
        <v>113</v>
      </c>
      <c r="C132" s="1">
        <v>67547137</v>
      </c>
      <c r="D132" s="1" t="s">
        <v>2963</v>
      </c>
      <c r="E132" s="1" t="s">
        <v>1828</v>
      </c>
      <c r="F132" s="1">
        <v>1</v>
      </c>
      <c r="G132" s="1"/>
      <c r="H132" s="1"/>
      <c r="I132" s="1"/>
      <c r="J132" s="1" t="str">
        <f t="shared" si="2"/>
        <v/>
      </c>
    </row>
    <row r="133" spans="1:10" ht="14.25" customHeight="1" x14ac:dyDescent="0.2">
      <c r="A133" s="1" t="s">
        <v>501</v>
      </c>
      <c r="B133" s="1" t="s">
        <v>86</v>
      </c>
      <c r="C133" s="1">
        <v>9975524</v>
      </c>
      <c r="D133" s="1" t="s">
        <v>2456</v>
      </c>
      <c r="E133" s="1" t="s">
        <v>1543</v>
      </c>
      <c r="F133" s="1">
        <v>1</v>
      </c>
      <c r="G133" s="1"/>
      <c r="H133" s="1"/>
      <c r="I133" s="1"/>
      <c r="J133" s="1" t="str">
        <f t="shared" si="2"/>
        <v/>
      </c>
    </row>
    <row r="134" spans="1:10" ht="14.25" customHeight="1" x14ac:dyDescent="0.2">
      <c r="A134" s="1" t="s">
        <v>707</v>
      </c>
      <c r="B134" s="1" t="s">
        <v>175</v>
      </c>
      <c r="C134" s="1">
        <v>142623055</v>
      </c>
      <c r="D134" s="1" t="s">
        <v>2640</v>
      </c>
      <c r="E134" s="1" t="s">
        <v>1645</v>
      </c>
      <c r="F134" s="1">
        <v>1</v>
      </c>
      <c r="G134" s="1"/>
      <c r="H134" s="1"/>
      <c r="I134" s="1"/>
      <c r="J134" s="1" t="str">
        <f t="shared" si="2"/>
        <v/>
      </c>
    </row>
    <row r="135" spans="1:10" ht="14.25" customHeight="1" x14ac:dyDescent="0.2">
      <c r="A135" s="1" t="s">
        <v>708</v>
      </c>
      <c r="B135" s="1" t="s">
        <v>175</v>
      </c>
      <c r="C135" s="1">
        <v>142623055</v>
      </c>
      <c r="D135" s="1" t="s">
        <v>2641</v>
      </c>
      <c r="E135" s="1" t="s">
        <v>1645</v>
      </c>
      <c r="F135" s="1">
        <v>1</v>
      </c>
      <c r="G135" s="1"/>
      <c r="H135" s="1"/>
      <c r="I135" s="1"/>
      <c r="J135" s="1" t="str">
        <f t="shared" si="2"/>
        <v/>
      </c>
    </row>
    <row r="136" spans="1:10" ht="14.25" customHeight="1" x14ac:dyDescent="0.2">
      <c r="A136" s="1" t="s">
        <v>683</v>
      </c>
      <c r="B136" s="1" t="s">
        <v>175</v>
      </c>
      <c r="C136" s="1">
        <v>43737945</v>
      </c>
      <c r="D136" s="1" t="s">
        <v>2619</v>
      </c>
      <c r="E136" s="1" t="s">
        <v>1634</v>
      </c>
      <c r="F136" s="1">
        <v>1</v>
      </c>
      <c r="G136" s="1"/>
      <c r="H136" s="1"/>
      <c r="I136" s="1"/>
      <c r="J136" s="1" t="str">
        <f t="shared" si="2"/>
        <v/>
      </c>
    </row>
    <row r="137" spans="1:10" ht="14.25" customHeight="1" x14ac:dyDescent="0.2">
      <c r="A137" s="1" t="s">
        <v>916</v>
      </c>
      <c r="B137" s="1" t="s">
        <v>36</v>
      </c>
      <c r="C137" s="1">
        <v>14990046</v>
      </c>
      <c r="D137" s="1" t="s">
        <v>2816</v>
      </c>
      <c r="E137" s="1" t="s">
        <v>1739</v>
      </c>
      <c r="F137" s="1">
        <v>1</v>
      </c>
      <c r="G137" s="1"/>
      <c r="H137" s="1"/>
      <c r="I137" s="1"/>
      <c r="J137" s="1" t="str">
        <f t="shared" si="2"/>
        <v/>
      </c>
    </row>
    <row r="138" spans="1:10" ht="14.25" customHeight="1" x14ac:dyDescent="0.2">
      <c r="A138" s="1" t="s">
        <v>914</v>
      </c>
      <c r="B138" s="1" t="s">
        <v>36</v>
      </c>
      <c r="C138" s="1">
        <v>14988214</v>
      </c>
      <c r="D138" s="1" t="s">
        <v>2814</v>
      </c>
      <c r="E138" s="1" t="s">
        <v>1739</v>
      </c>
      <c r="F138" s="1">
        <v>1</v>
      </c>
      <c r="G138" s="1"/>
      <c r="H138" s="1"/>
      <c r="I138" s="1"/>
      <c r="J138" s="1" t="str">
        <f t="shared" si="2"/>
        <v/>
      </c>
    </row>
    <row r="139" spans="1:10" ht="14.25" customHeight="1" x14ac:dyDescent="0.2">
      <c r="A139" s="1" t="s">
        <v>883</v>
      </c>
      <c r="B139" s="1" t="s">
        <v>93</v>
      </c>
      <c r="C139" s="1">
        <v>97071529</v>
      </c>
      <c r="D139" s="1" t="s">
        <v>2788</v>
      </c>
      <c r="E139" s="1" t="s">
        <v>1725</v>
      </c>
      <c r="F139" s="1">
        <v>1</v>
      </c>
      <c r="G139" s="1"/>
      <c r="H139" s="1"/>
      <c r="I139" s="1"/>
      <c r="J139" s="1" t="str">
        <f t="shared" si="2"/>
        <v/>
      </c>
    </row>
    <row r="140" spans="1:10" ht="14.25" customHeight="1" x14ac:dyDescent="0.2">
      <c r="A140" s="1" t="s">
        <v>882</v>
      </c>
      <c r="B140" s="1" t="s">
        <v>93</v>
      </c>
      <c r="C140" s="1">
        <v>97071529</v>
      </c>
      <c r="D140" s="1" t="s">
        <v>2787</v>
      </c>
      <c r="E140" s="1" t="s">
        <v>1725</v>
      </c>
      <c r="F140" s="1">
        <v>1</v>
      </c>
      <c r="G140" s="1"/>
      <c r="H140" s="1"/>
      <c r="I140" s="1"/>
      <c r="J140" s="1" t="str">
        <f t="shared" si="2"/>
        <v/>
      </c>
    </row>
    <row r="141" spans="1:10" ht="14.25" customHeight="1" x14ac:dyDescent="0.2">
      <c r="A141" s="1" t="s">
        <v>881</v>
      </c>
      <c r="B141" s="1" t="s">
        <v>93</v>
      </c>
      <c r="C141" s="1">
        <v>97071529</v>
      </c>
      <c r="D141" s="1" t="s">
        <v>2786</v>
      </c>
      <c r="E141" s="1" t="s">
        <v>1725</v>
      </c>
      <c r="F141" s="1">
        <v>1</v>
      </c>
      <c r="G141" s="1"/>
      <c r="H141" s="1"/>
      <c r="I141" s="1"/>
      <c r="J141" s="1" t="str">
        <f t="shared" si="2"/>
        <v/>
      </c>
    </row>
    <row r="142" spans="1:10" ht="14.25" customHeight="1" x14ac:dyDescent="0.2">
      <c r="A142" s="1" t="s">
        <v>880</v>
      </c>
      <c r="B142" s="1" t="s">
        <v>93</v>
      </c>
      <c r="C142" s="1">
        <v>97071529</v>
      </c>
      <c r="D142" s="1" t="s">
        <v>2785</v>
      </c>
      <c r="E142" s="1" t="s">
        <v>1725</v>
      </c>
      <c r="F142" s="1">
        <v>1</v>
      </c>
      <c r="G142" s="1"/>
      <c r="H142" s="1"/>
      <c r="I142" s="1"/>
      <c r="J142" s="1" t="str">
        <f t="shared" si="2"/>
        <v/>
      </c>
    </row>
    <row r="143" spans="1:10" ht="14.25" customHeight="1" x14ac:dyDescent="0.2">
      <c r="A143" s="1" t="s">
        <v>1248</v>
      </c>
      <c r="B143" s="1" t="s">
        <v>50</v>
      </c>
      <c r="C143" s="1">
        <v>35988118</v>
      </c>
      <c r="D143" s="1" t="s">
        <v>3084</v>
      </c>
      <c r="E143" s="1" t="s">
        <v>1905</v>
      </c>
      <c r="F143" s="1">
        <v>1</v>
      </c>
      <c r="G143" s="1"/>
      <c r="H143" s="1"/>
      <c r="I143" s="1"/>
      <c r="J143" s="1" t="str">
        <f t="shared" si="2"/>
        <v/>
      </c>
    </row>
    <row r="144" spans="1:10" ht="14.25" customHeight="1" x14ac:dyDescent="0.2">
      <c r="A144" s="1" t="s">
        <v>978</v>
      </c>
      <c r="B144" s="1" t="s">
        <v>36</v>
      </c>
      <c r="C144" s="1">
        <v>112047088</v>
      </c>
      <c r="D144" s="1" t="s">
        <v>3250</v>
      </c>
      <c r="E144" s="1" t="s">
        <v>1764</v>
      </c>
      <c r="F144" s="1">
        <v>2</v>
      </c>
      <c r="G144" s="1"/>
      <c r="H144" s="1"/>
      <c r="I144" s="1"/>
      <c r="J144" s="1" t="str">
        <f t="shared" si="2"/>
        <v/>
      </c>
    </row>
    <row r="145" spans="1:10" ht="14.25" customHeight="1" x14ac:dyDescent="0.2">
      <c r="A145" s="1" t="s">
        <v>3928</v>
      </c>
      <c r="B145" s="1" t="s">
        <v>139</v>
      </c>
      <c r="C145" s="1">
        <v>144811742</v>
      </c>
      <c r="D145" s="1" t="s">
        <v>3864</v>
      </c>
      <c r="E145" s="1" t="s">
        <v>2019</v>
      </c>
      <c r="F145" s="1" t="s">
        <v>2062</v>
      </c>
      <c r="G145" s="1" t="s">
        <v>8392</v>
      </c>
      <c r="H145" s="1"/>
      <c r="I145" s="1"/>
      <c r="J145" s="1" t="str">
        <f t="shared" si="2"/>
        <v/>
      </c>
    </row>
    <row r="146" spans="1:10" ht="14.25" customHeight="1" x14ac:dyDescent="0.2">
      <c r="A146" s="1" t="s">
        <v>68</v>
      </c>
      <c r="B146" s="1" t="s">
        <v>36</v>
      </c>
      <c r="C146" s="1">
        <v>111807926</v>
      </c>
      <c r="D146" s="1" t="s">
        <v>3840</v>
      </c>
      <c r="E146" s="1" t="s">
        <v>67</v>
      </c>
      <c r="F146" s="1" t="s">
        <v>2062</v>
      </c>
      <c r="G146" s="1"/>
      <c r="H146" s="1" t="s">
        <v>8393</v>
      </c>
      <c r="I146" s="1"/>
      <c r="J146" s="1" t="str">
        <f t="shared" si="2"/>
        <v>纠后正确，utr略有变化，版本不一致</v>
      </c>
    </row>
    <row r="147" spans="1:10" ht="14.25" customHeight="1" x14ac:dyDescent="0.2">
      <c r="A147" s="1" t="s">
        <v>1189</v>
      </c>
      <c r="B147" s="1" t="s">
        <v>47</v>
      </c>
      <c r="C147" s="1">
        <v>56618947</v>
      </c>
      <c r="D147" s="1" t="s">
        <v>3041</v>
      </c>
      <c r="E147" s="1" t="s">
        <v>1878</v>
      </c>
      <c r="F147" s="1">
        <v>1</v>
      </c>
      <c r="G147" s="1"/>
      <c r="H147" s="1"/>
      <c r="I147" s="1"/>
      <c r="J147" s="1" t="str">
        <f t="shared" si="2"/>
        <v/>
      </c>
    </row>
    <row r="148" spans="1:10" ht="14.25" customHeight="1" x14ac:dyDescent="0.2">
      <c r="A148" s="1" t="s">
        <v>8737</v>
      </c>
      <c r="B148" s="1" t="s">
        <v>569</v>
      </c>
      <c r="C148" s="1">
        <v>124419</v>
      </c>
      <c r="D148" s="1" t="s">
        <v>3865</v>
      </c>
      <c r="E148" s="1" t="s">
        <v>1423</v>
      </c>
      <c r="F148" s="1" t="s">
        <v>3406</v>
      </c>
      <c r="G148" s="1"/>
      <c r="H148" s="1"/>
      <c r="I148" s="1" t="s">
        <v>8809</v>
      </c>
      <c r="J148" s="1" t="str">
        <f t="shared" si="2"/>
        <v>纠后区间有变化（版本不一致）与Browers相匹配，chr4:133711-136743之前有5个氨基酸不对，其他正确</v>
      </c>
    </row>
    <row r="149" spans="1:10" ht="14.25" customHeight="1" x14ac:dyDescent="0.2">
      <c r="A149" s="1" t="s">
        <v>245</v>
      </c>
      <c r="B149" s="1" t="s">
        <v>40</v>
      </c>
      <c r="C149" s="1">
        <v>154400204</v>
      </c>
      <c r="D149" s="1" t="s">
        <v>2255</v>
      </c>
      <c r="E149" s="1" t="s">
        <v>1433</v>
      </c>
      <c r="F149" s="1" t="s">
        <v>3406</v>
      </c>
      <c r="G149" s="1" t="s">
        <v>8391</v>
      </c>
      <c r="H149" s="1" t="s">
        <v>3822</v>
      </c>
      <c r="I149" s="1"/>
      <c r="J149" s="1" t="str">
        <f t="shared" si="2"/>
        <v>错误</v>
      </c>
    </row>
    <row r="150" spans="1:10" ht="14.25" customHeight="1" x14ac:dyDescent="0.2">
      <c r="A150" s="1" t="s">
        <v>245</v>
      </c>
      <c r="B150" s="1" t="s">
        <v>40</v>
      </c>
      <c r="C150" s="1">
        <v>153584418</v>
      </c>
      <c r="D150" s="1" t="s">
        <v>2252</v>
      </c>
      <c r="E150" s="1" t="s">
        <v>1433</v>
      </c>
      <c r="F150" s="1">
        <v>6</v>
      </c>
      <c r="G150" s="1" t="s">
        <v>8391</v>
      </c>
      <c r="H150" s="1" t="s">
        <v>3763</v>
      </c>
      <c r="I150" s="1"/>
      <c r="J150" s="1" t="str">
        <f t="shared" si="2"/>
        <v>纠后正确</v>
      </c>
    </row>
    <row r="151" spans="1:10" ht="14.25" customHeight="1" x14ac:dyDescent="0.2">
      <c r="A151" s="1" t="s">
        <v>345</v>
      </c>
      <c r="B151" s="1" t="s">
        <v>139</v>
      </c>
      <c r="C151" s="1">
        <v>55107426</v>
      </c>
      <c r="D151" s="1" t="s">
        <v>2321</v>
      </c>
      <c r="E151" s="1" t="s">
        <v>1473</v>
      </c>
      <c r="F151" s="1">
        <v>1</v>
      </c>
      <c r="G151" s="1"/>
      <c r="H151" s="1"/>
      <c r="I151" s="1"/>
      <c r="J151" s="1" t="str">
        <f t="shared" si="2"/>
        <v/>
      </c>
    </row>
    <row r="152" spans="1:10" ht="14.25" customHeight="1" x14ac:dyDescent="0.2">
      <c r="A152" s="1" t="s">
        <v>192</v>
      </c>
      <c r="B152" s="1" t="s">
        <v>121</v>
      </c>
      <c r="C152" s="1">
        <v>135799</v>
      </c>
      <c r="D152" s="1" t="s">
        <v>2179</v>
      </c>
      <c r="E152" s="1" t="s">
        <v>290</v>
      </c>
      <c r="F152" s="1" t="s">
        <v>2062</v>
      </c>
      <c r="G152" s="1"/>
      <c r="H152" s="1" t="s">
        <v>3763</v>
      </c>
      <c r="I152" s="1"/>
      <c r="J152" s="1" t="str">
        <f t="shared" si="2"/>
        <v>纠后正确</v>
      </c>
    </row>
    <row r="153" spans="1:10" ht="14.25" customHeight="1" x14ac:dyDescent="0.2">
      <c r="A153" s="1" t="s">
        <v>1201</v>
      </c>
      <c r="B153" s="1" t="s">
        <v>47</v>
      </c>
      <c r="C153" s="1">
        <v>75137004</v>
      </c>
      <c r="D153" s="1" t="s">
        <v>3052</v>
      </c>
      <c r="E153" s="1" t="s">
        <v>1884</v>
      </c>
      <c r="F153" s="1">
        <v>1</v>
      </c>
      <c r="G153" s="1"/>
      <c r="H153" s="1"/>
      <c r="I153" s="1"/>
      <c r="J153" s="1" t="str">
        <f t="shared" si="2"/>
        <v/>
      </c>
    </row>
    <row r="154" spans="1:10" ht="14.25" customHeight="1" x14ac:dyDescent="0.2">
      <c r="A154" s="1" t="s">
        <v>49</v>
      </c>
      <c r="B154" s="1" t="s">
        <v>50</v>
      </c>
      <c r="C154" s="1">
        <v>36249043</v>
      </c>
      <c r="D154" s="1" t="s">
        <v>2080</v>
      </c>
      <c r="E154" s="1" t="s">
        <v>48</v>
      </c>
      <c r="F154" s="1" t="s">
        <v>2062</v>
      </c>
      <c r="G154" s="1"/>
      <c r="H154" s="1" t="s">
        <v>3763</v>
      </c>
      <c r="I154" s="1"/>
      <c r="J154" s="1" t="str">
        <f t="shared" si="2"/>
        <v>纠后正确</v>
      </c>
    </row>
    <row r="155" spans="1:10" ht="14.25" customHeight="1" x14ac:dyDescent="0.2">
      <c r="A155" s="1" t="s">
        <v>773</v>
      </c>
      <c r="B155" s="1" t="s">
        <v>103</v>
      </c>
      <c r="C155" s="1">
        <v>10530146</v>
      </c>
      <c r="D155" s="1" t="s">
        <v>2694</v>
      </c>
      <c r="E155" s="1" t="s">
        <v>1676</v>
      </c>
      <c r="F155" s="1">
        <v>1</v>
      </c>
      <c r="G155" s="1"/>
      <c r="H155" s="1"/>
      <c r="I155" s="1"/>
      <c r="J155" s="1" t="str">
        <f t="shared" si="2"/>
        <v/>
      </c>
    </row>
    <row r="156" spans="1:10" ht="14.25" customHeight="1" x14ac:dyDescent="0.2">
      <c r="A156" s="1" t="s">
        <v>385</v>
      </c>
      <c r="B156" s="1" t="s">
        <v>139</v>
      </c>
      <c r="C156" s="1">
        <v>150969300</v>
      </c>
      <c r="D156" s="1" t="s">
        <v>2361</v>
      </c>
      <c r="E156" s="1" t="s">
        <v>1488</v>
      </c>
      <c r="F156" s="1">
        <v>1</v>
      </c>
      <c r="G156" s="1"/>
      <c r="H156" s="1"/>
      <c r="I156" s="1"/>
      <c r="J156" s="1" t="str">
        <f t="shared" si="2"/>
        <v/>
      </c>
    </row>
    <row r="157" spans="1:10" ht="14.25" customHeight="1" x14ac:dyDescent="0.2">
      <c r="A157" s="1" t="s">
        <v>1106</v>
      </c>
      <c r="B157" s="1" t="s">
        <v>113</v>
      </c>
      <c r="C157" s="1">
        <v>101109427</v>
      </c>
      <c r="D157" s="1" t="s">
        <v>2973</v>
      </c>
      <c r="E157" s="1" t="s">
        <v>1831</v>
      </c>
      <c r="F157" s="1">
        <v>1</v>
      </c>
      <c r="G157" s="1"/>
      <c r="H157" s="1"/>
      <c r="I157" s="1"/>
      <c r="J157" s="1" t="str">
        <f t="shared" si="2"/>
        <v/>
      </c>
    </row>
    <row r="158" spans="1:10" ht="14.25" customHeight="1" x14ac:dyDescent="0.2">
      <c r="A158" s="1" t="s">
        <v>737</v>
      </c>
      <c r="B158" s="1" t="s">
        <v>40</v>
      </c>
      <c r="C158" s="1">
        <v>56131916</v>
      </c>
      <c r="D158" s="1" t="s">
        <v>2664</v>
      </c>
      <c r="E158" s="1" t="s">
        <v>1657</v>
      </c>
      <c r="F158" s="1">
        <v>1</v>
      </c>
      <c r="G158" s="1"/>
      <c r="H158" s="1"/>
      <c r="I158" s="1"/>
      <c r="J158" s="1" t="str">
        <f t="shared" si="2"/>
        <v/>
      </c>
    </row>
    <row r="159" spans="1:10" ht="14.25" customHeight="1" x14ac:dyDescent="0.2">
      <c r="A159" s="1" t="s">
        <v>738</v>
      </c>
      <c r="B159" s="1" t="s">
        <v>40</v>
      </c>
      <c r="C159" s="1">
        <v>56131916</v>
      </c>
      <c r="D159" s="1" t="s">
        <v>2665</v>
      </c>
      <c r="E159" s="1" t="s">
        <v>1657</v>
      </c>
      <c r="F159" s="1">
        <v>1</v>
      </c>
      <c r="G159" s="1"/>
      <c r="H159" s="1"/>
      <c r="I159" s="1"/>
      <c r="J159" s="1" t="str">
        <f t="shared" si="2"/>
        <v/>
      </c>
    </row>
    <row r="160" spans="1:10" ht="14.25" customHeight="1" x14ac:dyDescent="0.2">
      <c r="A160" s="1" t="s">
        <v>860</v>
      </c>
      <c r="B160" s="1" t="s">
        <v>93</v>
      </c>
      <c r="C160" s="1">
        <v>49364601</v>
      </c>
      <c r="D160" s="1" t="s">
        <v>2766</v>
      </c>
      <c r="E160" s="1" t="s">
        <v>1717</v>
      </c>
      <c r="F160" s="1">
        <v>1</v>
      </c>
      <c r="G160" s="1"/>
      <c r="H160" s="1"/>
      <c r="I160" s="1"/>
      <c r="J160" s="1" t="str">
        <f t="shared" si="2"/>
        <v/>
      </c>
    </row>
    <row r="161" spans="1:10" ht="14.25" customHeight="1" x14ac:dyDescent="0.2">
      <c r="A161" s="1" t="s">
        <v>98</v>
      </c>
      <c r="B161" s="1" t="s">
        <v>50</v>
      </c>
      <c r="C161" s="1">
        <v>41103140</v>
      </c>
      <c r="D161" s="1" t="s">
        <v>2105</v>
      </c>
      <c r="E161" s="1" t="s">
        <v>97</v>
      </c>
      <c r="F161" s="1" t="s">
        <v>2062</v>
      </c>
      <c r="G161" s="1"/>
      <c r="H161" s="1" t="s">
        <v>3763</v>
      </c>
      <c r="I161" s="1"/>
      <c r="J161" s="1" t="str">
        <f t="shared" si="2"/>
        <v>纠后正确</v>
      </c>
    </row>
    <row r="162" spans="1:10" ht="14.25" customHeight="1" x14ac:dyDescent="0.2">
      <c r="A162" s="1" t="s">
        <v>99</v>
      </c>
      <c r="B162" s="1" t="s">
        <v>50</v>
      </c>
      <c r="C162" s="1">
        <v>41107276</v>
      </c>
      <c r="D162" s="1" t="s">
        <v>2106</v>
      </c>
      <c r="E162" s="1" t="s">
        <v>97</v>
      </c>
      <c r="F162" s="1" t="s">
        <v>2062</v>
      </c>
      <c r="G162" s="1"/>
      <c r="H162" s="1" t="s">
        <v>3763</v>
      </c>
      <c r="I162" s="1"/>
      <c r="J162" s="1" t="str">
        <f t="shared" si="2"/>
        <v>纠后正确</v>
      </c>
    </row>
    <row r="163" spans="1:10" ht="14.25" customHeight="1" x14ac:dyDescent="0.2">
      <c r="A163" s="1" t="s">
        <v>910</v>
      </c>
      <c r="B163" s="1" t="s">
        <v>36</v>
      </c>
      <c r="C163" s="1">
        <v>10818592</v>
      </c>
      <c r="D163" s="1" t="s">
        <v>2810</v>
      </c>
      <c r="E163" s="1" t="s">
        <v>1737</v>
      </c>
      <c r="F163" s="1">
        <v>1</v>
      </c>
      <c r="G163" s="1"/>
      <c r="H163" s="1"/>
      <c r="I163" s="1"/>
      <c r="J163" s="1" t="str">
        <f t="shared" si="2"/>
        <v/>
      </c>
    </row>
    <row r="164" spans="1:10" ht="14.25" customHeight="1" x14ac:dyDescent="0.2">
      <c r="A164" s="1" t="s">
        <v>1294</v>
      </c>
      <c r="B164" s="1" t="s">
        <v>53</v>
      </c>
      <c r="C164" s="1">
        <v>17594322</v>
      </c>
      <c r="D164" s="1" t="s">
        <v>3120</v>
      </c>
      <c r="E164" s="1" t="s">
        <v>1925</v>
      </c>
      <c r="F164" s="1">
        <v>1</v>
      </c>
      <c r="G164" s="1"/>
      <c r="H164" s="1"/>
      <c r="I164" s="1"/>
      <c r="J164" s="1" t="str">
        <f t="shared" si="2"/>
        <v/>
      </c>
    </row>
    <row r="165" spans="1:10" ht="14.25" customHeight="1" x14ac:dyDescent="0.2">
      <c r="A165" s="1" t="s">
        <v>1250</v>
      </c>
      <c r="B165" s="1" t="s">
        <v>50</v>
      </c>
      <c r="C165" s="1">
        <v>36486089</v>
      </c>
      <c r="D165" s="1" t="s">
        <v>3086</v>
      </c>
      <c r="E165" s="1" t="s">
        <v>1907</v>
      </c>
      <c r="F165" s="1">
        <v>1</v>
      </c>
      <c r="G165" s="1"/>
      <c r="H165" s="1"/>
      <c r="I165" s="1"/>
      <c r="J165" s="1" t="str">
        <f t="shared" si="2"/>
        <v/>
      </c>
    </row>
    <row r="166" spans="1:10" ht="14.25" customHeight="1" x14ac:dyDescent="0.2">
      <c r="A166" s="1" t="s">
        <v>3927</v>
      </c>
      <c r="B166" s="1" t="s">
        <v>139</v>
      </c>
      <c r="C166" s="1">
        <v>206516196</v>
      </c>
      <c r="D166" s="1" t="s">
        <v>3867</v>
      </c>
      <c r="E166" s="1" t="s">
        <v>3715</v>
      </c>
      <c r="F166" s="1" t="s">
        <v>2062</v>
      </c>
      <c r="G166" s="4" t="s">
        <v>8754</v>
      </c>
      <c r="H166" s="4"/>
      <c r="I166" s="1"/>
      <c r="J166" s="1" t="str">
        <f t="shared" si="2"/>
        <v/>
      </c>
    </row>
    <row r="167" spans="1:10" ht="14.25" customHeight="1" x14ac:dyDescent="0.2">
      <c r="A167" s="1" t="s">
        <v>193</v>
      </c>
      <c r="B167" s="1" t="s">
        <v>50</v>
      </c>
      <c r="C167" s="1">
        <v>4909509</v>
      </c>
      <c r="D167" s="1" t="s">
        <v>2202</v>
      </c>
      <c r="E167" s="1" t="s">
        <v>305</v>
      </c>
      <c r="F167" s="1" t="s">
        <v>2062</v>
      </c>
      <c r="G167" s="1"/>
      <c r="H167" s="1" t="s">
        <v>3763</v>
      </c>
      <c r="I167" s="1"/>
      <c r="J167" s="1" t="str">
        <f t="shared" si="2"/>
        <v>纠后正确</v>
      </c>
    </row>
    <row r="168" spans="1:10" ht="14.25" customHeight="1" x14ac:dyDescent="0.2">
      <c r="A168" s="1" t="s">
        <v>1071</v>
      </c>
      <c r="B168" s="1" t="s">
        <v>81</v>
      </c>
      <c r="C168" s="1">
        <v>24641233</v>
      </c>
      <c r="D168" s="1" t="s">
        <v>2275</v>
      </c>
      <c r="E168" s="1" t="s">
        <v>1445</v>
      </c>
      <c r="F168" s="1" t="s">
        <v>3406</v>
      </c>
      <c r="G168" s="1"/>
      <c r="H168" s="1" t="s">
        <v>3816</v>
      </c>
      <c r="I168" s="1"/>
      <c r="J168" s="1" t="str">
        <f t="shared" si="2"/>
        <v>纠后正确，加1个氨基酸chr14:24646414-24649301</v>
      </c>
    </row>
    <row r="169" spans="1:10" ht="14.25" customHeight="1" x14ac:dyDescent="0.2">
      <c r="A169" s="1" t="s">
        <v>1128</v>
      </c>
      <c r="B169" s="1" t="s">
        <v>121</v>
      </c>
      <c r="C169" s="1">
        <v>28603263</v>
      </c>
      <c r="D169" s="1" t="s">
        <v>2990</v>
      </c>
      <c r="E169" s="1" t="s">
        <v>1845</v>
      </c>
      <c r="F169" s="1">
        <v>1</v>
      </c>
      <c r="G169" s="1"/>
      <c r="H169" s="1"/>
      <c r="I169" s="1"/>
      <c r="J169" s="1" t="str">
        <f t="shared" si="2"/>
        <v/>
      </c>
    </row>
    <row r="170" spans="1:10" ht="14.25" customHeight="1" x14ac:dyDescent="0.2">
      <c r="A170" s="1" t="s">
        <v>764</v>
      </c>
      <c r="B170" s="1" t="s">
        <v>40</v>
      </c>
      <c r="C170" s="1">
        <v>139528951</v>
      </c>
      <c r="D170" s="1" t="s">
        <v>2686</v>
      </c>
      <c r="E170" s="1" t="s">
        <v>1671</v>
      </c>
      <c r="F170" s="1">
        <v>1</v>
      </c>
      <c r="G170" s="1"/>
      <c r="H170" s="1"/>
      <c r="I170" s="1"/>
      <c r="J170" s="1" t="str">
        <f t="shared" si="2"/>
        <v/>
      </c>
    </row>
    <row r="171" spans="1:10" ht="14.25" customHeight="1" x14ac:dyDescent="0.2">
      <c r="A171" s="1" t="s">
        <v>557</v>
      </c>
      <c r="B171" s="1" t="s">
        <v>86</v>
      </c>
      <c r="C171" s="1">
        <v>133464976</v>
      </c>
      <c r="D171" s="1" t="s">
        <v>2504</v>
      </c>
      <c r="E171" s="1" t="s">
        <v>1564</v>
      </c>
      <c r="F171" s="1">
        <v>1</v>
      </c>
      <c r="G171" s="1"/>
      <c r="H171" s="1"/>
      <c r="I171" s="1"/>
      <c r="J171" s="1" t="str">
        <f t="shared" si="2"/>
        <v/>
      </c>
    </row>
    <row r="172" spans="1:10" ht="14.25" customHeight="1" x14ac:dyDescent="0.2">
      <c r="A172" s="1" t="s">
        <v>984</v>
      </c>
      <c r="B172" s="1" t="s">
        <v>36</v>
      </c>
      <c r="C172" s="1">
        <v>112831968</v>
      </c>
      <c r="D172" s="1" t="s">
        <v>3364</v>
      </c>
      <c r="E172" s="1" t="s">
        <v>2038</v>
      </c>
      <c r="F172" s="1" t="s">
        <v>2062</v>
      </c>
      <c r="G172" s="1"/>
      <c r="H172" s="1" t="s">
        <v>3763</v>
      </c>
      <c r="I172" s="1"/>
      <c r="J172" s="1" t="str">
        <f t="shared" si="2"/>
        <v>纠后正确</v>
      </c>
    </row>
    <row r="173" spans="1:10" ht="14.25" customHeight="1" x14ac:dyDescent="0.2">
      <c r="A173" s="1" t="s">
        <v>158</v>
      </c>
      <c r="B173" s="1" t="s">
        <v>50</v>
      </c>
      <c r="C173" s="1">
        <v>2328628</v>
      </c>
      <c r="D173" s="1" t="s">
        <v>2142</v>
      </c>
      <c r="E173" s="1" t="s">
        <v>157</v>
      </c>
      <c r="F173" s="1" t="s">
        <v>2062</v>
      </c>
      <c r="G173" s="1"/>
      <c r="H173" s="1" t="s">
        <v>3763</v>
      </c>
      <c r="I173" s="1"/>
      <c r="J173" s="1" t="str">
        <f t="shared" si="2"/>
        <v>纠后正确</v>
      </c>
    </row>
    <row r="174" spans="1:10" ht="14.25" customHeight="1" x14ac:dyDescent="0.2">
      <c r="A174" s="1" t="s">
        <v>971</v>
      </c>
      <c r="B174" s="1" t="s">
        <v>36</v>
      </c>
      <c r="C174" s="1">
        <v>105480799</v>
      </c>
      <c r="D174" s="1" t="s">
        <v>2862</v>
      </c>
      <c r="E174" s="1" t="s">
        <v>1761</v>
      </c>
      <c r="F174" s="1">
        <v>1</v>
      </c>
      <c r="G174" s="1"/>
      <c r="H174" s="1"/>
      <c r="I174" s="1"/>
      <c r="J174" s="1" t="str">
        <f t="shared" si="2"/>
        <v/>
      </c>
    </row>
    <row r="175" spans="1:10" ht="14.25" customHeight="1" x14ac:dyDescent="0.2">
      <c r="A175" s="1" t="s">
        <v>194</v>
      </c>
      <c r="B175" s="1" t="s">
        <v>121</v>
      </c>
      <c r="C175" s="1">
        <v>135799</v>
      </c>
      <c r="D175" s="1" t="s">
        <v>2180</v>
      </c>
      <c r="E175" s="1" t="s">
        <v>290</v>
      </c>
      <c r="F175" s="1" t="s">
        <v>2062</v>
      </c>
      <c r="G175" s="1"/>
      <c r="H175" s="1" t="s">
        <v>3763</v>
      </c>
      <c r="I175" s="1"/>
      <c r="J175" s="1" t="str">
        <f t="shared" si="2"/>
        <v>纠后正确</v>
      </c>
    </row>
    <row r="176" spans="1:10" ht="14.25" customHeight="1" x14ac:dyDescent="0.2">
      <c r="A176" s="1" t="s">
        <v>502</v>
      </c>
      <c r="B176" s="1" t="s">
        <v>86</v>
      </c>
      <c r="C176" s="1">
        <v>9975524</v>
      </c>
      <c r="D176" s="1" t="s">
        <v>2457</v>
      </c>
      <c r="E176" s="1" t="s">
        <v>1543</v>
      </c>
      <c r="F176" s="1">
        <v>1</v>
      </c>
      <c r="G176" s="1"/>
      <c r="H176" s="1"/>
      <c r="I176" s="1"/>
      <c r="J176" s="1" t="str">
        <f t="shared" si="2"/>
        <v/>
      </c>
    </row>
    <row r="177" spans="1:10" ht="14.25" customHeight="1" x14ac:dyDescent="0.2">
      <c r="A177" s="1" t="s">
        <v>1277</v>
      </c>
      <c r="B177" s="1" t="s">
        <v>50</v>
      </c>
      <c r="C177" s="1">
        <v>51446558</v>
      </c>
      <c r="D177" s="1" t="s">
        <v>3107</v>
      </c>
      <c r="E177" s="1" t="s">
        <v>1918</v>
      </c>
      <c r="F177" s="1">
        <v>1</v>
      </c>
      <c r="G177" s="1"/>
      <c r="H177" s="1"/>
      <c r="I177" s="1"/>
      <c r="J177" s="1" t="str">
        <f t="shared" si="2"/>
        <v/>
      </c>
    </row>
    <row r="178" spans="1:10" ht="14.25" customHeight="1" x14ac:dyDescent="0.2">
      <c r="A178" s="1" t="s">
        <v>1276</v>
      </c>
      <c r="B178" s="1" t="s">
        <v>50</v>
      </c>
      <c r="C178" s="1">
        <v>51446558</v>
      </c>
      <c r="D178" s="1" t="s">
        <v>3106</v>
      </c>
      <c r="E178" s="1" t="s">
        <v>1918</v>
      </c>
      <c r="F178" s="1">
        <v>1</v>
      </c>
      <c r="G178" s="1"/>
      <c r="H178" s="1"/>
      <c r="I178" s="1"/>
      <c r="J178" s="1" t="str">
        <f t="shared" si="2"/>
        <v/>
      </c>
    </row>
    <row r="179" spans="1:10" ht="14.25" customHeight="1" x14ac:dyDescent="0.2">
      <c r="A179" s="1" t="s">
        <v>3926</v>
      </c>
      <c r="B179" s="1" t="s">
        <v>103</v>
      </c>
      <c r="C179" s="1">
        <v>143738873</v>
      </c>
      <c r="D179" s="1" t="s">
        <v>3353</v>
      </c>
      <c r="E179" s="1" t="s">
        <v>2033</v>
      </c>
      <c r="F179" s="1" t="s">
        <v>2062</v>
      </c>
      <c r="G179" s="1"/>
      <c r="H179" s="1"/>
      <c r="I179" s="1" t="s">
        <v>8376</v>
      </c>
      <c r="J179" s="1" t="str">
        <f t="shared" si="2"/>
        <v>纠后正确，版本不一致，utr略有变化</v>
      </c>
    </row>
    <row r="180" spans="1:10" ht="14.25" customHeight="1" x14ac:dyDescent="0.2">
      <c r="A180" s="1" t="s">
        <v>35</v>
      </c>
      <c r="B180" s="1" t="s">
        <v>36</v>
      </c>
      <c r="C180" s="1">
        <v>111652918</v>
      </c>
      <c r="D180" s="1" t="s">
        <v>2074</v>
      </c>
      <c r="E180" s="1" t="s">
        <v>34</v>
      </c>
      <c r="F180" s="1" t="s">
        <v>2062</v>
      </c>
      <c r="G180" s="1"/>
      <c r="H180" s="1" t="s">
        <v>8394</v>
      </c>
      <c r="I180" s="1"/>
      <c r="J180" s="1" t="str">
        <f t="shared" si="2"/>
        <v>纠后正确</v>
      </c>
    </row>
    <row r="181" spans="1:10" ht="14.25" customHeight="1" x14ac:dyDescent="0.2">
      <c r="A181" s="1" t="s">
        <v>246</v>
      </c>
      <c r="B181" s="1" t="s">
        <v>186</v>
      </c>
      <c r="C181" s="1">
        <v>138784244</v>
      </c>
      <c r="D181" s="1" t="s">
        <v>3868</v>
      </c>
      <c r="E181" s="1" t="s">
        <v>3740</v>
      </c>
      <c r="F181" s="1" t="s">
        <v>2062</v>
      </c>
      <c r="G181" s="1" t="s">
        <v>8391</v>
      </c>
      <c r="H181" s="1"/>
      <c r="I181" s="1"/>
      <c r="J181" s="1" t="str">
        <f t="shared" si="2"/>
        <v/>
      </c>
    </row>
    <row r="182" spans="1:10" ht="14.25" customHeight="1" x14ac:dyDescent="0.2">
      <c r="A182" s="1" t="s">
        <v>246</v>
      </c>
      <c r="B182" s="1" t="s">
        <v>186</v>
      </c>
      <c r="C182" s="1">
        <v>138837128</v>
      </c>
      <c r="D182" s="1" t="s">
        <v>3323</v>
      </c>
      <c r="E182" s="1" t="s">
        <v>2028</v>
      </c>
      <c r="F182" s="1" t="s">
        <v>2062</v>
      </c>
      <c r="G182" s="1" t="s">
        <v>8391</v>
      </c>
      <c r="H182" s="1"/>
      <c r="I182" s="1"/>
      <c r="J182" s="1" t="str">
        <f t="shared" si="2"/>
        <v/>
      </c>
    </row>
    <row r="183" spans="1:10" ht="14.25" customHeight="1" x14ac:dyDescent="0.2">
      <c r="A183" s="1" t="s">
        <v>507</v>
      </c>
      <c r="B183" s="1" t="s">
        <v>86</v>
      </c>
      <c r="C183" s="1">
        <v>33038099</v>
      </c>
      <c r="D183" s="1" t="s">
        <v>2462</v>
      </c>
      <c r="E183" s="1" t="s">
        <v>1545</v>
      </c>
      <c r="F183" s="1">
        <v>1</v>
      </c>
      <c r="G183" s="1"/>
      <c r="H183" s="1"/>
      <c r="I183" s="1"/>
      <c r="J183" s="1" t="str">
        <f t="shared" si="2"/>
        <v/>
      </c>
    </row>
    <row r="184" spans="1:10" ht="14.25" customHeight="1" x14ac:dyDescent="0.2">
      <c r="A184" s="1" t="s">
        <v>699</v>
      </c>
      <c r="B184" s="1" t="s">
        <v>175</v>
      </c>
      <c r="C184" s="1">
        <v>129204285</v>
      </c>
      <c r="D184" s="1" t="s">
        <v>2632</v>
      </c>
      <c r="E184" s="1" t="s">
        <v>1641</v>
      </c>
      <c r="F184" s="1">
        <v>1</v>
      </c>
      <c r="G184" s="1"/>
      <c r="H184" s="1"/>
      <c r="I184" s="1"/>
      <c r="J184" s="1" t="str">
        <f t="shared" si="2"/>
        <v/>
      </c>
    </row>
    <row r="185" spans="1:10" ht="14.25" customHeight="1" x14ac:dyDescent="0.2">
      <c r="A185" s="1" t="s">
        <v>783</v>
      </c>
      <c r="B185" s="1" t="s">
        <v>103</v>
      </c>
      <c r="C185" s="1">
        <v>77892493</v>
      </c>
      <c r="D185" s="1" t="s">
        <v>2703</v>
      </c>
      <c r="E185" s="1" t="s">
        <v>1683</v>
      </c>
      <c r="F185" s="1">
        <v>1</v>
      </c>
      <c r="G185" s="1"/>
      <c r="H185" s="1"/>
      <c r="I185" s="1"/>
      <c r="J185" s="1" t="str">
        <f t="shared" si="2"/>
        <v/>
      </c>
    </row>
    <row r="186" spans="1:10" ht="14.25" customHeight="1" x14ac:dyDescent="0.2">
      <c r="A186" s="1" t="s">
        <v>1267</v>
      </c>
      <c r="B186" s="1" t="s">
        <v>50</v>
      </c>
      <c r="C186" s="1">
        <v>47177572</v>
      </c>
      <c r="D186" s="1" t="s">
        <v>3100</v>
      </c>
      <c r="E186" s="1" t="s">
        <v>1915</v>
      </c>
      <c r="F186" s="1">
        <v>1</v>
      </c>
      <c r="G186" s="1"/>
      <c r="H186" s="1"/>
      <c r="I186" s="1"/>
      <c r="J186" s="1" t="str">
        <f t="shared" si="2"/>
        <v/>
      </c>
    </row>
    <row r="187" spans="1:10" ht="14.25" customHeight="1" x14ac:dyDescent="0.2">
      <c r="A187" s="1" t="s">
        <v>1266</v>
      </c>
      <c r="B187" s="1" t="s">
        <v>50</v>
      </c>
      <c r="C187" s="1">
        <v>47177572</v>
      </c>
      <c r="D187" s="1" t="s">
        <v>3099</v>
      </c>
      <c r="E187" s="1" t="s">
        <v>1915</v>
      </c>
      <c r="F187" s="1">
        <v>1</v>
      </c>
      <c r="G187" s="1"/>
      <c r="H187" s="1"/>
      <c r="I187" s="1"/>
      <c r="J187" s="1" t="str">
        <f t="shared" si="2"/>
        <v/>
      </c>
    </row>
    <row r="188" spans="1:10" ht="14.25" customHeight="1" x14ac:dyDescent="0.2">
      <c r="A188" s="1" t="s">
        <v>1269</v>
      </c>
      <c r="B188" s="1" t="s">
        <v>50</v>
      </c>
      <c r="C188" s="1">
        <v>47177572</v>
      </c>
      <c r="D188" s="1" t="s">
        <v>3102</v>
      </c>
      <c r="E188" s="1" t="s">
        <v>1915</v>
      </c>
      <c r="F188" s="1">
        <v>1</v>
      </c>
      <c r="G188" s="1"/>
      <c r="H188" s="1"/>
      <c r="I188" s="1"/>
      <c r="J188" s="1" t="str">
        <f t="shared" si="2"/>
        <v/>
      </c>
    </row>
    <row r="189" spans="1:10" ht="14.25" customHeight="1" x14ac:dyDescent="0.2">
      <c r="A189" s="1" t="s">
        <v>85</v>
      </c>
      <c r="B189" s="1" t="s">
        <v>86</v>
      </c>
      <c r="C189" s="1">
        <v>14530618</v>
      </c>
      <c r="D189" s="1" t="s">
        <v>2099</v>
      </c>
      <c r="E189" s="1" t="s">
        <v>84</v>
      </c>
      <c r="F189" s="1" t="s">
        <v>2062</v>
      </c>
      <c r="G189" s="1"/>
      <c r="H189" s="1" t="s">
        <v>3763</v>
      </c>
      <c r="I189" s="1"/>
      <c r="J189" s="1" t="str">
        <f t="shared" si="2"/>
        <v>纠后正确</v>
      </c>
    </row>
    <row r="190" spans="1:10" ht="14.25" customHeight="1" x14ac:dyDescent="0.2">
      <c r="A190" s="1" t="s">
        <v>565</v>
      </c>
      <c r="B190" s="1" t="s">
        <v>86</v>
      </c>
      <c r="C190" s="1">
        <v>194060493</v>
      </c>
      <c r="D190" s="1" t="s">
        <v>2512</v>
      </c>
      <c r="E190" s="1" t="s">
        <v>1568</v>
      </c>
      <c r="F190" s="1">
        <v>1</v>
      </c>
      <c r="G190" s="1"/>
      <c r="H190" s="1"/>
      <c r="I190" s="1"/>
      <c r="J190" s="1" t="str">
        <f t="shared" si="2"/>
        <v/>
      </c>
    </row>
    <row r="191" spans="1:10" ht="14.25" customHeight="1" x14ac:dyDescent="0.2">
      <c r="A191" s="1" t="s">
        <v>3925</v>
      </c>
      <c r="B191" s="1" t="s">
        <v>47</v>
      </c>
      <c r="C191" s="1">
        <v>79373539</v>
      </c>
      <c r="D191" s="1" t="s">
        <v>2280</v>
      </c>
      <c r="E191" s="1" t="s">
        <v>1448</v>
      </c>
      <c r="F191" s="1" t="s">
        <v>3406</v>
      </c>
      <c r="G191" s="1"/>
      <c r="H191" s="1"/>
      <c r="I191" s="1" t="s">
        <v>8377</v>
      </c>
      <c r="J191" s="1" t="str">
        <f t="shared" si="2"/>
        <v>纠后正确,区间略有变化，加57个氨基酸chr8:79394663-79433358</v>
      </c>
    </row>
    <row r="192" spans="1:10" ht="14.25" customHeight="1" x14ac:dyDescent="0.2">
      <c r="A192" s="1" t="s">
        <v>133</v>
      </c>
      <c r="B192" s="1" t="s">
        <v>103</v>
      </c>
      <c r="C192" s="1">
        <v>48685668</v>
      </c>
      <c r="D192" s="1" t="s">
        <v>2126</v>
      </c>
      <c r="E192" s="1" t="s">
        <v>132</v>
      </c>
      <c r="F192" s="1" t="s">
        <v>2062</v>
      </c>
      <c r="G192" s="1"/>
      <c r="H192" s="1" t="s">
        <v>3763</v>
      </c>
      <c r="I192" s="1"/>
      <c r="J192" s="1" t="str">
        <f t="shared" si="2"/>
        <v>纠后正确</v>
      </c>
    </row>
    <row r="193" spans="1:10" ht="14.25" customHeight="1" x14ac:dyDescent="0.2">
      <c r="A193" s="1" t="s">
        <v>798</v>
      </c>
      <c r="B193" s="1" t="s">
        <v>103</v>
      </c>
      <c r="C193" s="1">
        <v>144718331</v>
      </c>
      <c r="D193" s="1" t="s">
        <v>2712</v>
      </c>
      <c r="E193" s="1" t="s">
        <v>1689</v>
      </c>
      <c r="F193" s="1">
        <v>1</v>
      </c>
      <c r="G193" s="1"/>
      <c r="H193" s="1"/>
      <c r="I193" s="1"/>
      <c r="J193" s="1" t="str">
        <f t="shared" si="2"/>
        <v/>
      </c>
    </row>
    <row r="194" spans="1:10" ht="14.25" customHeight="1" x14ac:dyDescent="0.2">
      <c r="A194" s="1" t="s">
        <v>1344</v>
      </c>
      <c r="B194" s="1" t="s">
        <v>43</v>
      </c>
      <c r="C194" s="1">
        <v>36134782</v>
      </c>
      <c r="D194" s="1" t="s">
        <v>3163</v>
      </c>
      <c r="E194" s="1" t="s">
        <v>1949</v>
      </c>
      <c r="F194" s="1">
        <v>1</v>
      </c>
      <c r="G194" s="1"/>
      <c r="H194" s="1"/>
      <c r="I194" s="1"/>
      <c r="J194" s="1" t="str">
        <f t="shared" si="2"/>
        <v/>
      </c>
    </row>
    <row r="195" spans="1:10" ht="14.25" customHeight="1" x14ac:dyDescent="0.2">
      <c r="A195" s="1" t="s">
        <v>1343</v>
      </c>
      <c r="B195" s="1" t="s">
        <v>43</v>
      </c>
      <c r="C195" s="1">
        <v>36134782</v>
      </c>
      <c r="D195" s="1" t="s">
        <v>3162</v>
      </c>
      <c r="E195" s="1" t="s">
        <v>1949</v>
      </c>
      <c r="F195" s="1">
        <v>1</v>
      </c>
      <c r="G195" s="1"/>
      <c r="H195" s="1"/>
      <c r="I195" s="1"/>
      <c r="J195" s="1" t="str">
        <f t="shared" ref="J195:J258" si="3">IF(H195="",IF(I195="","",I195),H195)</f>
        <v/>
      </c>
    </row>
    <row r="196" spans="1:10" ht="14.25" customHeight="1" x14ac:dyDescent="0.2">
      <c r="A196" s="1" t="s">
        <v>728</v>
      </c>
      <c r="B196" s="1" t="s">
        <v>40</v>
      </c>
      <c r="C196" s="1">
        <v>50526133</v>
      </c>
      <c r="D196" s="1" t="s">
        <v>2655</v>
      </c>
      <c r="E196" s="1" t="s">
        <v>1656</v>
      </c>
      <c r="F196" s="1">
        <v>1</v>
      </c>
      <c r="G196" s="1"/>
      <c r="H196" s="1"/>
      <c r="I196" s="1"/>
      <c r="J196" s="1" t="str">
        <f t="shared" si="3"/>
        <v/>
      </c>
    </row>
    <row r="197" spans="1:10" ht="14.25" customHeight="1" x14ac:dyDescent="0.2">
      <c r="A197" s="1" t="s">
        <v>1018</v>
      </c>
      <c r="B197" s="1" t="s">
        <v>212</v>
      </c>
      <c r="C197" s="1">
        <v>25261222</v>
      </c>
      <c r="D197" s="1" t="s">
        <v>2895</v>
      </c>
      <c r="E197" s="1" t="s">
        <v>1779</v>
      </c>
      <c r="F197" s="1">
        <v>1</v>
      </c>
      <c r="G197" s="1"/>
      <c r="H197" s="1"/>
      <c r="I197" s="1"/>
      <c r="J197" s="1" t="str">
        <f t="shared" si="3"/>
        <v/>
      </c>
    </row>
    <row r="198" spans="1:10" ht="14.25" customHeight="1" x14ac:dyDescent="0.2">
      <c r="A198" s="1" t="s">
        <v>1297</v>
      </c>
      <c r="B198" s="1" t="s">
        <v>53</v>
      </c>
      <c r="C198" s="1">
        <v>18269120</v>
      </c>
      <c r="D198" s="1" t="s">
        <v>3123</v>
      </c>
      <c r="E198" s="1" t="s">
        <v>1927</v>
      </c>
      <c r="F198" s="1">
        <v>1</v>
      </c>
      <c r="G198" s="1"/>
      <c r="H198" s="1"/>
      <c r="I198" s="1"/>
      <c r="J198" s="1" t="str">
        <f t="shared" si="3"/>
        <v/>
      </c>
    </row>
    <row r="199" spans="1:10" ht="14.25" customHeight="1" x14ac:dyDescent="0.2">
      <c r="A199" s="1" t="s">
        <v>628</v>
      </c>
      <c r="B199" s="1" t="s">
        <v>569</v>
      </c>
      <c r="C199" s="1">
        <v>158141735</v>
      </c>
      <c r="D199" s="1" t="s">
        <v>2569</v>
      </c>
      <c r="E199" s="1" t="s">
        <v>1599</v>
      </c>
      <c r="F199" s="1">
        <v>1</v>
      </c>
      <c r="G199" s="1"/>
      <c r="H199" s="1"/>
      <c r="I199" s="1"/>
      <c r="J199" s="1" t="str">
        <f t="shared" si="3"/>
        <v/>
      </c>
    </row>
    <row r="200" spans="1:10" ht="14.25" customHeight="1" x14ac:dyDescent="0.2">
      <c r="A200" s="1" t="s">
        <v>630</v>
      </c>
      <c r="B200" s="1" t="s">
        <v>569</v>
      </c>
      <c r="C200" s="1">
        <v>158141819</v>
      </c>
      <c r="D200" s="1" t="s">
        <v>2571</v>
      </c>
      <c r="E200" s="1" t="s">
        <v>1599</v>
      </c>
      <c r="F200" s="1">
        <v>1</v>
      </c>
      <c r="G200" s="1"/>
      <c r="H200" s="1"/>
      <c r="I200" s="1"/>
      <c r="J200" s="1" t="str">
        <f t="shared" si="3"/>
        <v/>
      </c>
    </row>
    <row r="201" spans="1:10" ht="14.25" customHeight="1" x14ac:dyDescent="0.2">
      <c r="A201" s="1" t="s">
        <v>826</v>
      </c>
      <c r="B201" s="1" t="s">
        <v>33</v>
      </c>
      <c r="C201" s="1">
        <v>117164359</v>
      </c>
      <c r="D201" s="1" t="s">
        <v>2734</v>
      </c>
      <c r="E201" s="1" t="s">
        <v>1700</v>
      </c>
      <c r="F201" s="1">
        <v>1</v>
      </c>
      <c r="G201" s="1"/>
      <c r="H201" s="1"/>
      <c r="I201" s="1"/>
      <c r="J201" s="1" t="str">
        <f t="shared" si="3"/>
        <v/>
      </c>
    </row>
    <row r="202" spans="1:10" ht="14.25" customHeight="1" x14ac:dyDescent="0.2">
      <c r="A202" s="1" t="s">
        <v>1283</v>
      </c>
      <c r="B202" s="1" t="s">
        <v>50</v>
      </c>
      <c r="C202" s="1">
        <v>55525072</v>
      </c>
      <c r="D202" s="1" t="s">
        <v>3111</v>
      </c>
      <c r="E202" s="1" t="s">
        <v>1921</v>
      </c>
      <c r="F202" s="1">
        <v>1</v>
      </c>
      <c r="G202" s="1"/>
      <c r="H202" s="1"/>
      <c r="I202" s="1"/>
      <c r="J202" s="1" t="str">
        <f t="shared" si="3"/>
        <v/>
      </c>
    </row>
    <row r="203" spans="1:10" ht="14.25" customHeight="1" x14ac:dyDescent="0.2">
      <c r="A203" s="1" t="s">
        <v>610</v>
      </c>
      <c r="B203" s="1" t="s">
        <v>569</v>
      </c>
      <c r="C203" s="1">
        <v>102734982</v>
      </c>
      <c r="D203" s="1" t="s">
        <v>2552</v>
      </c>
      <c r="E203" s="1" t="s">
        <v>1588</v>
      </c>
      <c r="F203" s="1">
        <v>1</v>
      </c>
      <c r="G203" s="1"/>
      <c r="H203" s="1"/>
      <c r="I203" s="1"/>
      <c r="J203" s="1" t="str">
        <f t="shared" si="3"/>
        <v/>
      </c>
    </row>
    <row r="204" spans="1:10" ht="14.25" customHeight="1" x14ac:dyDescent="0.2">
      <c r="A204" s="1" t="s">
        <v>993</v>
      </c>
      <c r="B204" s="1" t="s">
        <v>36</v>
      </c>
      <c r="C204" s="1">
        <v>117947726</v>
      </c>
      <c r="D204" s="1" t="s">
        <v>2874</v>
      </c>
      <c r="E204" s="1" t="s">
        <v>1766</v>
      </c>
      <c r="F204" s="1">
        <v>1</v>
      </c>
      <c r="G204" s="1"/>
      <c r="H204" s="1"/>
      <c r="I204" s="1"/>
      <c r="J204" s="1" t="str">
        <f t="shared" si="3"/>
        <v/>
      </c>
    </row>
    <row r="205" spans="1:10" ht="14.25" customHeight="1" x14ac:dyDescent="0.2">
      <c r="A205" s="1" t="s">
        <v>830</v>
      </c>
      <c r="B205" s="1" t="s">
        <v>33</v>
      </c>
      <c r="C205" s="1">
        <v>130493802</v>
      </c>
      <c r="D205" s="1" t="s">
        <v>2738</v>
      </c>
      <c r="E205" s="1" t="s">
        <v>1702</v>
      </c>
      <c r="F205" s="1">
        <v>1</v>
      </c>
      <c r="G205" s="1"/>
      <c r="H205" s="1"/>
      <c r="I205" s="1"/>
      <c r="J205" s="1" t="str">
        <f t="shared" si="3"/>
        <v/>
      </c>
    </row>
    <row r="206" spans="1:10" ht="14.25" customHeight="1" x14ac:dyDescent="0.2">
      <c r="A206" s="1" t="s">
        <v>649</v>
      </c>
      <c r="B206" s="1" t="s">
        <v>186</v>
      </c>
      <c r="C206" s="1">
        <v>112357795</v>
      </c>
      <c r="D206" s="1" t="s">
        <v>2587</v>
      </c>
      <c r="E206" s="1" t="s">
        <v>1613</v>
      </c>
      <c r="F206" s="1">
        <v>1</v>
      </c>
      <c r="G206" s="1"/>
      <c r="H206" s="1"/>
      <c r="I206" s="1"/>
      <c r="J206" s="1" t="str">
        <f t="shared" si="3"/>
        <v/>
      </c>
    </row>
    <row r="207" spans="1:10" ht="14.25" customHeight="1" x14ac:dyDescent="0.2">
      <c r="A207" s="1" t="s">
        <v>752</v>
      </c>
      <c r="B207" s="1" t="s">
        <v>40</v>
      </c>
      <c r="C207" s="1">
        <v>102613883</v>
      </c>
      <c r="D207" s="1" t="s">
        <v>2676</v>
      </c>
      <c r="E207" s="1" t="s">
        <v>1665</v>
      </c>
      <c r="F207" s="1">
        <v>1</v>
      </c>
      <c r="G207" s="1"/>
      <c r="H207" s="1"/>
      <c r="I207" s="1"/>
      <c r="J207" s="1" t="str">
        <f t="shared" si="3"/>
        <v/>
      </c>
    </row>
    <row r="208" spans="1:10" ht="14.25" customHeight="1" x14ac:dyDescent="0.2">
      <c r="A208" s="1" t="s">
        <v>8756</v>
      </c>
      <c r="B208" s="1" t="s">
        <v>47</v>
      </c>
      <c r="C208" s="1">
        <v>62461566</v>
      </c>
      <c r="D208" s="1" t="s">
        <v>3869</v>
      </c>
      <c r="E208" s="1" t="s">
        <v>8808</v>
      </c>
      <c r="F208" s="1" t="s">
        <v>2062</v>
      </c>
      <c r="G208" s="4" t="s">
        <v>8794</v>
      </c>
      <c r="H208" s="1"/>
      <c r="I208" s="1"/>
      <c r="J208" s="1" t="str">
        <f t="shared" si="3"/>
        <v/>
      </c>
    </row>
    <row r="209" spans="1:10" ht="14.25" customHeight="1" x14ac:dyDescent="0.2">
      <c r="A209" s="1" t="s">
        <v>406</v>
      </c>
      <c r="B209" s="1" t="s">
        <v>139</v>
      </c>
      <c r="C209" s="1">
        <v>248902715</v>
      </c>
      <c r="D209" s="1" t="s">
        <v>3312</v>
      </c>
      <c r="E209" s="1" t="s">
        <v>2022</v>
      </c>
      <c r="F209" s="1" t="s">
        <v>2062</v>
      </c>
      <c r="G209" s="1" t="s">
        <v>8387</v>
      </c>
      <c r="H209" s="1"/>
      <c r="I209" s="1"/>
      <c r="J209" s="1" t="str">
        <f t="shared" si="3"/>
        <v/>
      </c>
    </row>
    <row r="210" spans="1:10" ht="14.25" customHeight="1" x14ac:dyDescent="0.2">
      <c r="A210" s="1" t="s">
        <v>1216</v>
      </c>
      <c r="B210" s="1" t="s">
        <v>179</v>
      </c>
      <c r="C210" s="1">
        <v>66382490</v>
      </c>
      <c r="D210" s="1" t="s">
        <v>3063</v>
      </c>
      <c r="E210" s="1" t="s">
        <v>1892</v>
      </c>
      <c r="F210" s="1">
        <v>1</v>
      </c>
      <c r="G210" s="1"/>
      <c r="H210" s="1"/>
      <c r="I210" s="1"/>
      <c r="J210" s="1" t="str">
        <f t="shared" si="3"/>
        <v/>
      </c>
    </row>
    <row r="211" spans="1:10" ht="14.25" customHeight="1" x14ac:dyDescent="0.2">
      <c r="A211" s="1" t="s">
        <v>1232</v>
      </c>
      <c r="B211" s="1" t="s">
        <v>50</v>
      </c>
      <c r="C211" s="1">
        <v>5842898</v>
      </c>
      <c r="D211" s="1" t="s">
        <v>3271</v>
      </c>
      <c r="E211" s="1" t="s">
        <v>2004</v>
      </c>
      <c r="F211" s="1">
        <v>2</v>
      </c>
      <c r="G211" s="1"/>
      <c r="H211" s="1"/>
      <c r="I211" s="1"/>
      <c r="J211" s="1" t="str">
        <f t="shared" si="3"/>
        <v/>
      </c>
    </row>
    <row r="212" spans="1:10" ht="14.25" customHeight="1" x14ac:dyDescent="0.2">
      <c r="A212" s="1" t="s">
        <v>1231</v>
      </c>
      <c r="B212" s="1" t="s">
        <v>50</v>
      </c>
      <c r="C212" s="1">
        <v>5842898</v>
      </c>
      <c r="D212" s="1" t="s">
        <v>3270</v>
      </c>
      <c r="E212" s="1" t="s">
        <v>2004</v>
      </c>
      <c r="F212" s="1">
        <v>2</v>
      </c>
      <c r="G212" s="1"/>
      <c r="H212" s="1"/>
      <c r="I212" s="1"/>
      <c r="J212" s="1" t="str">
        <f t="shared" si="3"/>
        <v/>
      </c>
    </row>
    <row r="213" spans="1:10" ht="14.25" customHeight="1" x14ac:dyDescent="0.2">
      <c r="A213" s="1" t="s">
        <v>1230</v>
      </c>
      <c r="B213" s="1" t="s">
        <v>50</v>
      </c>
      <c r="C213" s="1">
        <v>5842898</v>
      </c>
      <c r="D213" s="1" t="s">
        <v>3269</v>
      </c>
      <c r="E213" s="1" t="s">
        <v>2004</v>
      </c>
      <c r="F213" s="1">
        <v>2</v>
      </c>
      <c r="G213" s="1"/>
      <c r="H213" s="1"/>
      <c r="I213" s="1"/>
      <c r="J213" s="1" t="str">
        <f t="shared" si="3"/>
        <v/>
      </c>
    </row>
    <row r="214" spans="1:10" ht="14.25" customHeight="1" x14ac:dyDescent="0.2">
      <c r="A214" s="1" t="s">
        <v>1346</v>
      </c>
      <c r="B214" s="1" t="s">
        <v>43</v>
      </c>
      <c r="C214" s="1">
        <v>38879442</v>
      </c>
      <c r="D214" s="1" t="s">
        <v>3165</v>
      </c>
      <c r="E214" s="1" t="s">
        <v>1950</v>
      </c>
      <c r="F214" s="1">
        <v>1</v>
      </c>
      <c r="G214" s="1"/>
      <c r="H214" s="1"/>
      <c r="I214" s="1"/>
      <c r="J214" s="1" t="str">
        <f t="shared" si="3"/>
        <v/>
      </c>
    </row>
    <row r="215" spans="1:10" ht="14.25" customHeight="1" x14ac:dyDescent="0.2">
      <c r="A215" s="1" t="s">
        <v>1254</v>
      </c>
      <c r="B215" s="1" t="s">
        <v>50</v>
      </c>
      <c r="C215" s="1">
        <v>42082530</v>
      </c>
      <c r="D215" s="1" t="s">
        <v>3275</v>
      </c>
      <c r="E215" s="1" t="s">
        <v>2007</v>
      </c>
      <c r="F215" s="1">
        <v>2</v>
      </c>
      <c r="G215" s="1"/>
      <c r="H215" s="1"/>
      <c r="I215" s="1"/>
      <c r="J215" s="1" t="str">
        <f t="shared" si="3"/>
        <v/>
      </c>
    </row>
    <row r="216" spans="1:10" ht="14.25" customHeight="1" x14ac:dyDescent="0.2">
      <c r="A216" s="1" t="s">
        <v>1240</v>
      </c>
      <c r="B216" s="1" t="s">
        <v>50</v>
      </c>
      <c r="C216" s="1">
        <v>17634109</v>
      </c>
      <c r="D216" s="1" t="s">
        <v>3079</v>
      </c>
      <c r="E216" s="1" t="s">
        <v>1904</v>
      </c>
      <c r="F216" s="1">
        <v>1</v>
      </c>
      <c r="G216" s="1"/>
      <c r="H216" s="1"/>
      <c r="I216" s="1"/>
      <c r="J216" s="1" t="str">
        <f t="shared" si="3"/>
        <v/>
      </c>
    </row>
    <row r="217" spans="1:10" ht="14.25" customHeight="1" x14ac:dyDescent="0.2">
      <c r="A217" s="1" t="s">
        <v>1028</v>
      </c>
      <c r="B217" s="1" t="s">
        <v>212</v>
      </c>
      <c r="C217" s="1">
        <v>48128452</v>
      </c>
      <c r="D217" s="1" t="s">
        <v>2904</v>
      </c>
      <c r="E217" s="1" t="s">
        <v>1784</v>
      </c>
      <c r="F217" s="1">
        <v>1</v>
      </c>
      <c r="G217" s="1"/>
      <c r="H217" s="1"/>
      <c r="I217" s="1"/>
      <c r="J217" s="1" t="str">
        <f t="shared" si="3"/>
        <v/>
      </c>
    </row>
    <row r="218" spans="1:10" ht="14.25" customHeight="1" x14ac:dyDescent="0.2">
      <c r="A218" s="1" t="s">
        <v>1030</v>
      </c>
      <c r="B218" s="1" t="s">
        <v>212</v>
      </c>
      <c r="C218" s="1">
        <v>48128452</v>
      </c>
      <c r="D218" s="1" t="s">
        <v>2906</v>
      </c>
      <c r="E218" s="1" t="s">
        <v>1784</v>
      </c>
      <c r="F218" s="1">
        <v>1</v>
      </c>
      <c r="G218" s="1"/>
      <c r="H218" s="1"/>
      <c r="I218" s="1"/>
      <c r="J218" s="1" t="str">
        <f t="shared" si="3"/>
        <v/>
      </c>
    </row>
    <row r="219" spans="1:10" ht="14.25" customHeight="1" x14ac:dyDescent="0.2">
      <c r="A219" s="1" t="s">
        <v>806</v>
      </c>
      <c r="B219" s="1" t="s">
        <v>103</v>
      </c>
      <c r="C219" s="1">
        <v>145202918</v>
      </c>
      <c r="D219" s="1" t="s">
        <v>2719</v>
      </c>
      <c r="E219" s="1" t="s">
        <v>1693</v>
      </c>
      <c r="F219" s="1">
        <v>1</v>
      </c>
      <c r="G219" s="1"/>
      <c r="H219" s="1"/>
      <c r="I219" s="1"/>
      <c r="J219" s="1" t="str">
        <f t="shared" si="3"/>
        <v/>
      </c>
    </row>
    <row r="220" spans="1:10" ht="14.25" customHeight="1" x14ac:dyDescent="0.2">
      <c r="A220" s="1" t="s">
        <v>807</v>
      </c>
      <c r="B220" s="1" t="s">
        <v>103</v>
      </c>
      <c r="C220" s="1">
        <v>145202918</v>
      </c>
      <c r="D220" s="1" t="s">
        <v>2720</v>
      </c>
      <c r="E220" s="1" t="s">
        <v>1693</v>
      </c>
      <c r="F220" s="1">
        <v>1</v>
      </c>
      <c r="G220" s="1"/>
      <c r="H220" s="1"/>
      <c r="I220" s="1"/>
      <c r="J220" s="1" t="str">
        <f t="shared" si="3"/>
        <v/>
      </c>
    </row>
    <row r="221" spans="1:10" ht="14.25" customHeight="1" x14ac:dyDescent="0.2">
      <c r="A221" s="1" t="s">
        <v>247</v>
      </c>
      <c r="B221" s="1" t="s">
        <v>1</v>
      </c>
      <c r="C221" s="1">
        <v>109745996</v>
      </c>
      <c r="D221" s="1" t="s">
        <v>3313</v>
      </c>
      <c r="E221" s="1" t="s">
        <v>3736</v>
      </c>
      <c r="F221" s="1" t="s">
        <v>2062</v>
      </c>
      <c r="G221" s="1" t="s">
        <v>8395</v>
      </c>
      <c r="H221" s="1"/>
      <c r="I221" s="1"/>
      <c r="J221" s="1" t="str">
        <f t="shared" si="3"/>
        <v/>
      </c>
    </row>
    <row r="222" spans="1:10" ht="14.25" customHeight="1" x14ac:dyDescent="0.2">
      <c r="A222" s="1" t="s">
        <v>247</v>
      </c>
      <c r="B222" s="1" t="s">
        <v>1</v>
      </c>
      <c r="C222" s="1">
        <v>110259066</v>
      </c>
      <c r="D222" s="1" t="s">
        <v>3314</v>
      </c>
      <c r="E222" s="1" t="s">
        <v>3818</v>
      </c>
      <c r="F222" s="1" t="s">
        <v>2062</v>
      </c>
      <c r="G222" s="1" t="s">
        <v>8395</v>
      </c>
      <c r="H222" s="1"/>
      <c r="I222" s="1"/>
      <c r="J222" s="1" t="str">
        <f t="shared" si="3"/>
        <v/>
      </c>
    </row>
    <row r="223" spans="1:10" ht="14.25" customHeight="1" x14ac:dyDescent="0.2">
      <c r="A223" s="1" t="s">
        <v>469</v>
      </c>
      <c r="B223" s="1" t="s">
        <v>1</v>
      </c>
      <c r="C223" s="1">
        <v>209030070</v>
      </c>
      <c r="D223" s="1" t="s">
        <v>2433</v>
      </c>
      <c r="E223" s="1" t="s">
        <v>1532</v>
      </c>
      <c r="F223" s="1">
        <v>1</v>
      </c>
      <c r="G223" s="1"/>
      <c r="H223" s="1"/>
      <c r="I223" s="1"/>
      <c r="J223" s="1" t="str">
        <f t="shared" si="3"/>
        <v/>
      </c>
    </row>
    <row r="224" spans="1:10" ht="14.25" customHeight="1" x14ac:dyDescent="0.2">
      <c r="A224" s="1" t="s">
        <v>1110</v>
      </c>
      <c r="B224" s="1" t="s">
        <v>121</v>
      </c>
      <c r="C224" s="1">
        <v>2069520</v>
      </c>
      <c r="D224" s="1" t="s">
        <v>2975</v>
      </c>
      <c r="E224" s="1" t="s">
        <v>1833</v>
      </c>
      <c r="F224" s="1">
        <v>1</v>
      </c>
      <c r="G224" s="1"/>
      <c r="H224" s="1"/>
      <c r="I224" s="1"/>
      <c r="J224" s="1" t="str">
        <f t="shared" si="3"/>
        <v/>
      </c>
    </row>
    <row r="225" spans="1:10" ht="14.25" customHeight="1" x14ac:dyDescent="0.2">
      <c r="A225" s="1" t="s">
        <v>788</v>
      </c>
      <c r="B225" s="1" t="s">
        <v>103</v>
      </c>
      <c r="C225" s="1">
        <v>86126287</v>
      </c>
      <c r="D225" s="1" t="s">
        <v>2219</v>
      </c>
      <c r="E225" s="1" t="s">
        <v>1411</v>
      </c>
      <c r="F225" s="1">
        <v>10</v>
      </c>
      <c r="G225" s="1"/>
      <c r="H225" s="1" t="s">
        <v>8676</v>
      </c>
      <c r="I225" s="1"/>
      <c r="J225" s="1" t="str">
        <f t="shared" si="3"/>
        <v>纠后正确，加2个氨基酸chr8:86126795-86126826</v>
      </c>
    </row>
    <row r="226" spans="1:10" ht="14.25" customHeight="1" x14ac:dyDescent="0.2">
      <c r="A226" s="1" t="s">
        <v>3484</v>
      </c>
      <c r="B226" s="1" t="s">
        <v>103</v>
      </c>
      <c r="C226" s="1">
        <v>86126287</v>
      </c>
      <c r="D226" s="1" t="s">
        <v>2217</v>
      </c>
      <c r="E226" s="1" t="s">
        <v>1411</v>
      </c>
      <c r="F226" s="1">
        <v>10</v>
      </c>
      <c r="G226" s="1"/>
      <c r="H226" s="1" t="s">
        <v>8676</v>
      </c>
      <c r="I226" s="1"/>
      <c r="J226" s="1" t="str">
        <f t="shared" si="3"/>
        <v>纠后正确，加2个氨基酸chr8:86126795-86126826</v>
      </c>
    </row>
    <row r="227" spans="1:10" ht="14.25" customHeight="1" x14ac:dyDescent="0.2">
      <c r="A227" s="1" t="s">
        <v>787</v>
      </c>
      <c r="B227" s="1" t="s">
        <v>103</v>
      </c>
      <c r="C227" s="1">
        <v>86126287</v>
      </c>
      <c r="D227" s="1" t="s">
        <v>2218</v>
      </c>
      <c r="E227" s="1" t="s">
        <v>1411</v>
      </c>
      <c r="F227" s="1">
        <v>10</v>
      </c>
      <c r="G227" s="1"/>
      <c r="H227" s="1" t="s">
        <v>8676</v>
      </c>
      <c r="I227" s="1"/>
      <c r="J227" s="1" t="str">
        <f t="shared" si="3"/>
        <v>纠后正确，加2个氨基酸chr8:86126795-86126826</v>
      </c>
    </row>
    <row r="228" spans="1:10" ht="14.25" customHeight="1" x14ac:dyDescent="0.2">
      <c r="A228" s="1" t="s">
        <v>3483</v>
      </c>
      <c r="B228" s="1" t="s">
        <v>103</v>
      </c>
      <c r="C228" s="1">
        <v>86126287</v>
      </c>
      <c r="D228" s="1" t="s">
        <v>2216</v>
      </c>
      <c r="E228" s="1" t="s">
        <v>1411</v>
      </c>
      <c r="F228" s="1">
        <v>10</v>
      </c>
      <c r="G228" s="1"/>
      <c r="H228" s="1" t="s">
        <v>8676</v>
      </c>
      <c r="I228" s="1"/>
      <c r="J228" s="1" t="str">
        <f t="shared" si="3"/>
        <v>纠后正确，加2个氨基酸chr8:86126795-86126826</v>
      </c>
    </row>
    <row r="229" spans="1:10" ht="14.25" customHeight="1" x14ac:dyDescent="0.2">
      <c r="A229" s="1" t="s">
        <v>1386</v>
      </c>
      <c r="B229" s="1" t="s">
        <v>73</v>
      </c>
      <c r="C229" s="1">
        <v>49020269</v>
      </c>
      <c r="D229" s="1" t="s">
        <v>3297</v>
      </c>
      <c r="E229" s="1" t="s">
        <v>2012</v>
      </c>
      <c r="F229" s="1">
        <v>3</v>
      </c>
      <c r="G229" s="1"/>
      <c r="H229" s="1"/>
      <c r="I229" s="1"/>
      <c r="J229" s="1" t="str">
        <f t="shared" si="3"/>
        <v/>
      </c>
    </row>
    <row r="230" spans="1:10" ht="14.25" customHeight="1" x14ac:dyDescent="0.2">
      <c r="A230" s="1" t="s">
        <v>1384</v>
      </c>
      <c r="B230" s="1" t="s">
        <v>73</v>
      </c>
      <c r="C230" s="1">
        <v>49019180</v>
      </c>
      <c r="D230" s="1" t="s">
        <v>3288</v>
      </c>
      <c r="E230" s="1" t="s">
        <v>2012</v>
      </c>
      <c r="F230" s="1">
        <v>2</v>
      </c>
      <c r="G230" s="1"/>
      <c r="H230" s="1"/>
      <c r="I230" s="1"/>
      <c r="J230" s="1" t="str">
        <f t="shared" si="3"/>
        <v/>
      </c>
    </row>
    <row r="231" spans="1:10" ht="14.25" customHeight="1" x14ac:dyDescent="0.2">
      <c r="A231" s="1" t="s">
        <v>1385</v>
      </c>
      <c r="B231" s="1" t="s">
        <v>73</v>
      </c>
      <c r="C231" s="1">
        <v>49019180</v>
      </c>
      <c r="D231" s="1" t="s">
        <v>3289</v>
      </c>
      <c r="E231" s="1" t="s">
        <v>2012</v>
      </c>
      <c r="F231" s="1">
        <v>2</v>
      </c>
      <c r="G231" s="1"/>
      <c r="H231" s="1"/>
      <c r="I231" s="1"/>
      <c r="J231" s="1" t="str">
        <f t="shared" si="3"/>
        <v/>
      </c>
    </row>
    <row r="232" spans="1:10" ht="14.25" customHeight="1" x14ac:dyDescent="0.2">
      <c r="A232" s="1" t="s">
        <v>909</v>
      </c>
      <c r="B232" s="1" t="s">
        <v>36</v>
      </c>
      <c r="C232" s="1">
        <v>10594637</v>
      </c>
      <c r="D232" s="1" t="s">
        <v>2809</v>
      </c>
      <c r="E232" s="1" t="s">
        <v>1736</v>
      </c>
      <c r="F232" s="1">
        <v>1</v>
      </c>
      <c r="G232" s="1"/>
      <c r="H232" s="1"/>
      <c r="I232" s="1"/>
      <c r="J232" s="1" t="str">
        <f t="shared" si="3"/>
        <v/>
      </c>
    </row>
    <row r="233" spans="1:10" ht="14.25" customHeight="1" x14ac:dyDescent="0.2">
      <c r="A233" s="1" t="s">
        <v>1196</v>
      </c>
      <c r="B233" s="1" t="s">
        <v>47</v>
      </c>
      <c r="C233" s="1">
        <v>71228775</v>
      </c>
      <c r="D233" s="1" t="s">
        <v>3047</v>
      </c>
      <c r="E233" s="1" t="s">
        <v>1883</v>
      </c>
      <c r="F233" s="1">
        <v>1</v>
      </c>
      <c r="G233" s="1"/>
      <c r="H233" s="1"/>
      <c r="I233" s="1"/>
      <c r="J233" s="1" t="str">
        <f t="shared" si="3"/>
        <v/>
      </c>
    </row>
    <row r="234" spans="1:10" ht="14.25" customHeight="1" x14ac:dyDescent="0.2">
      <c r="A234" s="1" t="s">
        <v>1197</v>
      </c>
      <c r="B234" s="1" t="s">
        <v>47</v>
      </c>
      <c r="C234" s="1">
        <v>71228775</v>
      </c>
      <c r="D234" s="1" t="s">
        <v>3048</v>
      </c>
      <c r="E234" s="1" t="s">
        <v>1883</v>
      </c>
      <c r="F234" s="1">
        <v>1</v>
      </c>
      <c r="G234" s="1"/>
      <c r="H234" s="1"/>
      <c r="I234" s="1"/>
      <c r="J234" s="1" t="str">
        <f t="shared" si="3"/>
        <v/>
      </c>
    </row>
    <row r="235" spans="1:10" ht="14.25" customHeight="1" x14ac:dyDescent="0.2">
      <c r="A235" s="1" t="s">
        <v>611</v>
      </c>
      <c r="B235" s="1" t="s">
        <v>569</v>
      </c>
      <c r="C235" s="1">
        <v>103806204</v>
      </c>
      <c r="D235" s="1" t="s">
        <v>2553</v>
      </c>
      <c r="E235" s="1" t="s">
        <v>1589</v>
      </c>
      <c r="F235" s="1">
        <v>1</v>
      </c>
      <c r="G235" s="1"/>
      <c r="H235" s="1"/>
      <c r="I235" s="1"/>
      <c r="J235" s="1" t="str">
        <f t="shared" si="3"/>
        <v/>
      </c>
    </row>
    <row r="236" spans="1:10" ht="14.25" customHeight="1" x14ac:dyDescent="0.2">
      <c r="A236" s="1" t="s">
        <v>837</v>
      </c>
      <c r="B236" s="1" t="s">
        <v>33</v>
      </c>
      <c r="C236" s="1">
        <v>138585252</v>
      </c>
      <c r="D236" s="1" t="s">
        <v>2745</v>
      </c>
      <c r="E236" s="1" t="s">
        <v>1708</v>
      </c>
      <c r="F236" s="1">
        <v>1</v>
      </c>
      <c r="G236" s="1"/>
      <c r="H236" s="1"/>
      <c r="I236" s="1"/>
      <c r="J236" s="1" t="str">
        <f t="shared" si="3"/>
        <v/>
      </c>
    </row>
    <row r="237" spans="1:10" ht="14.25" customHeight="1" x14ac:dyDescent="0.2">
      <c r="A237" s="1" t="s">
        <v>605</v>
      </c>
      <c r="B237" s="1" t="s">
        <v>569</v>
      </c>
      <c r="C237" s="1">
        <v>100123794</v>
      </c>
      <c r="D237" s="1" t="s">
        <v>2547</v>
      </c>
      <c r="E237" s="1" t="s">
        <v>1586</v>
      </c>
      <c r="F237" s="1">
        <v>1</v>
      </c>
      <c r="G237" s="1"/>
      <c r="H237" s="1"/>
      <c r="I237" s="1"/>
      <c r="J237" s="1" t="str">
        <f t="shared" si="3"/>
        <v/>
      </c>
    </row>
    <row r="238" spans="1:10" ht="14.25" customHeight="1" x14ac:dyDescent="0.2">
      <c r="A238" s="1" t="s">
        <v>57</v>
      </c>
      <c r="B238" s="1" t="s">
        <v>50</v>
      </c>
      <c r="C238" s="1">
        <v>45010210</v>
      </c>
      <c r="D238" s="1" t="s">
        <v>2084</v>
      </c>
      <c r="E238" s="1" t="s">
        <v>56</v>
      </c>
      <c r="F238" s="1" t="s">
        <v>2062</v>
      </c>
      <c r="G238" s="1"/>
      <c r="H238" s="1" t="s">
        <v>3763</v>
      </c>
      <c r="I238" s="1"/>
      <c r="J238" s="1" t="str">
        <f t="shared" si="3"/>
        <v>纠后正确</v>
      </c>
    </row>
    <row r="239" spans="1:10" ht="14.25" customHeight="1" x14ac:dyDescent="0.2">
      <c r="A239" s="1" t="s">
        <v>58</v>
      </c>
      <c r="B239" s="1" t="s">
        <v>50</v>
      </c>
      <c r="C239" s="1">
        <v>45010210</v>
      </c>
      <c r="D239" s="1" t="s">
        <v>2085</v>
      </c>
      <c r="E239" s="1" t="s">
        <v>56</v>
      </c>
      <c r="F239" s="1" t="s">
        <v>2062</v>
      </c>
      <c r="G239" s="1"/>
      <c r="H239" s="1" t="s">
        <v>3763</v>
      </c>
      <c r="I239" s="1"/>
      <c r="J239" s="1" t="str">
        <f t="shared" si="3"/>
        <v>纠后正确</v>
      </c>
    </row>
    <row r="240" spans="1:10" ht="14.25" customHeight="1" x14ac:dyDescent="0.2">
      <c r="A240" s="1" t="s">
        <v>59</v>
      </c>
      <c r="B240" s="1" t="s">
        <v>50</v>
      </c>
      <c r="C240" s="1">
        <v>45010210</v>
      </c>
      <c r="D240" s="1" t="s">
        <v>2086</v>
      </c>
      <c r="E240" s="1" t="s">
        <v>56</v>
      </c>
      <c r="F240" s="1" t="s">
        <v>2062</v>
      </c>
      <c r="G240" s="1"/>
      <c r="H240" s="1" t="s">
        <v>3763</v>
      </c>
      <c r="I240" s="1"/>
      <c r="J240" s="1" t="str">
        <f t="shared" si="3"/>
        <v>纠后正确</v>
      </c>
    </row>
    <row r="241" spans="1:10" ht="14.25" customHeight="1" x14ac:dyDescent="0.2">
      <c r="A241" s="1" t="s">
        <v>60</v>
      </c>
      <c r="B241" s="1" t="s">
        <v>50</v>
      </c>
      <c r="C241" s="1">
        <v>45010210</v>
      </c>
      <c r="D241" s="1" t="s">
        <v>2087</v>
      </c>
      <c r="E241" s="1" t="s">
        <v>56</v>
      </c>
      <c r="F241" s="1" t="s">
        <v>2062</v>
      </c>
      <c r="G241" s="1"/>
      <c r="H241" s="1" t="s">
        <v>3763</v>
      </c>
      <c r="I241" s="1"/>
      <c r="J241" s="1" t="str">
        <f t="shared" si="3"/>
        <v>纠后正确</v>
      </c>
    </row>
    <row r="242" spans="1:10" ht="14.25" customHeight="1" x14ac:dyDescent="0.2">
      <c r="A242" s="1" t="s">
        <v>382</v>
      </c>
      <c r="B242" s="1" t="s">
        <v>139</v>
      </c>
      <c r="C242" s="1">
        <v>148739441</v>
      </c>
      <c r="D242" s="1" t="s">
        <v>2358</v>
      </c>
      <c r="E242" s="1" t="s">
        <v>1487</v>
      </c>
      <c r="F242" s="1">
        <v>1</v>
      </c>
      <c r="G242" s="1"/>
      <c r="H242" s="1"/>
      <c r="I242" s="1"/>
      <c r="J242" s="1" t="str">
        <f t="shared" si="3"/>
        <v/>
      </c>
    </row>
    <row r="243" spans="1:10" ht="14.25" customHeight="1" x14ac:dyDescent="0.2">
      <c r="A243" s="1" t="s">
        <v>696</v>
      </c>
      <c r="B243" s="1" t="s">
        <v>175</v>
      </c>
      <c r="C243" s="1">
        <v>112429133</v>
      </c>
      <c r="D243" s="1" t="s">
        <v>2629</v>
      </c>
      <c r="E243" s="1" t="s">
        <v>1640</v>
      </c>
      <c r="F243" s="1">
        <v>1</v>
      </c>
      <c r="G243" s="1"/>
      <c r="H243" s="1"/>
      <c r="I243" s="1"/>
      <c r="J243" s="1" t="str">
        <f t="shared" si="3"/>
        <v/>
      </c>
    </row>
    <row r="244" spans="1:10" ht="14.25" customHeight="1" x14ac:dyDescent="0.2">
      <c r="A244" s="1" t="s">
        <v>697</v>
      </c>
      <c r="B244" s="1" t="s">
        <v>175</v>
      </c>
      <c r="C244" s="1">
        <v>112429133</v>
      </c>
      <c r="D244" s="1" t="s">
        <v>2630</v>
      </c>
      <c r="E244" s="1" t="s">
        <v>1640</v>
      </c>
      <c r="F244" s="1">
        <v>1</v>
      </c>
      <c r="G244" s="1"/>
      <c r="H244" s="1"/>
      <c r="I244" s="1"/>
      <c r="J244" s="1" t="str">
        <f t="shared" si="3"/>
        <v/>
      </c>
    </row>
    <row r="245" spans="1:10" ht="14.25" customHeight="1" x14ac:dyDescent="0.2">
      <c r="A245" s="1" t="s">
        <v>642</v>
      </c>
      <c r="B245" s="1" t="s">
        <v>186</v>
      </c>
      <c r="C245" s="1">
        <v>79703837</v>
      </c>
      <c r="D245" s="1" t="s">
        <v>3231</v>
      </c>
      <c r="E245" s="1" t="s">
        <v>1980</v>
      </c>
      <c r="F245" s="1">
        <v>2</v>
      </c>
      <c r="G245" s="1"/>
      <c r="H245" s="1"/>
      <c r="I245" s="1"/>
      <c r="J245" s="1" t="str">
        <f t="shared" si="3"/>
        <v/>
      </c>
    </row>
    <row r="246" spans="1:10" ht="14.25" customHeight="1" x14ac:dyDescent="0.2">
      <c r="A246" s="1" t="s">
        <v>46</v>
      </c>
      <c r="B246" s="1" t="s">
        <v>47</v>
      </c>
      <c r="C246" s="1">
        <v>6555058</v>
      </c>
      <c r="D246" s="1" t="s">
        <v>2079</v>
      </c>
      <c r="E246" s="1" t="s">
        <v>45</v>
      </c>
      <c r="F246" s="1" t="s">
        <v>2062</v>
      </c>
      <c r="G246" s="1"/>
      <c r="H246" s="1" t="s">
        <v>3763</v>
      </c>
      <c r="I246" s="1"/>
      <c r="J246" s="1" t="str">
        <f t="shared" si="3"/>
        <v>纠后正确</v>
      </c>
    </row>
    <row r="247" spans="1:10" ht="14.25" customHeight="1" x14ac:dyDescent="0.2">
      <c r="A247" s="1" t="s">
        <v>341</v>
      </c>
      <c r="B247" s="1" t="s">
        <v>139</v>
      </c>
      <c r="C247" s="1">
        <v>40506254</v>
      </c>
      <c r="D247" s="1" t="s">
        <v>3303</v>
      </c>
      <c r="E247" s="1" t="s">
        <v>2017</v>
      </c>
      <c r="F247" s="1">
        <v>6</v>
      </c>
      <c r="G247" s="1"/>
      <c r="H247" s="1"/>
      <c r="I247" s="1"/>
      <c r="J247" s="1" t="str">
        <f t="shared" si="3"/>
        <v/>
      </c>
    </row>
    <row r="248" spans="1:10" ht="14.25" x14ac:dyDescent="0.2">
      <c r="A248" s="1" t="s">
        <v>3714</v>
      </c>
      <c r="B248" s="1" t="s">
        <v>50</v>
      </c>
      <c r="C248" s="1">
        <v>52655843</v>
      </c>
      <c r="D248" s="1" t="s">
        <v>3402</v>
      </c>
      <c r="E248" s="1" t="s">
        <v>2061</v>
      </c>
      <c r="F248" s="1" t="s">
        <v>2067</v>
      </c>
      <c r="G248" s="1"/>
      <c r="H248" s="1" t="s">
        <v>8383</v>
      </c>
      <c r="I248" s="1"/>
      <c r="J248" s="1" t="str">
        <f t="shared" si="3"/>
        <v>无此变体，新增其他变体chr19:53115616</v>
      </c>
    </row>
    <row r="249" spans="1:10" ht="14.25" customHeight="1" x14ac:dyDescent="0.2">
      <c r="A249" s="1" t="s">
        <v>195</v>
      </c>
      <c r="B249" s="1" t="s">
        <v>40</v>
      </c>
      <c r="C249" s="1">
        <v>75831215</v>
      </c>
      <c r="D249" s="1" t="s">
        <v>2198</v>
      </c>
      <c r="E249" s="1" t="s">
        <v>301</v>
      </c>
      <c r="F249" s="1" t="s">
        <v>2062</v>
      </c>
      <c r="G249" s="1"/>
      <c r="H249" s="1" t="s">
        <v>3763</v>
      </c>
      <c r="I249" s="1"/>
      <c r="J249" s="1" t="str">
        <f t="shared" si="3"/>
        <v>纠后正确</v>
      </c>
    </row>
    <row r="250" spans="1:10" ht="14.25" customHeight="1" x14ac:dyDescent="0.2">
      <c r="A250" s="1" t="s">
        <v>347</v>
      </c>
      <c r="B250" s="1" t="s">
        <v>139</v>
      </c>
      <c r="C250" s="1">
        <v>55271735</v>
      </c>
      <c r="D250" s="1" t="s">
        <v>2323</v>
      </c>
      <c r="E250" s="1" t="s">
        <v>1474</v>
      </c>
      <c r="F250" s="1">
        <v>1</v>
      </c>
      <c r="G250" s="1"/>
      <c r="H250" s="1"/>
      <c r="I250" s="1"/>
      <c r="J250" s="1" t="str">
        <f t="shared" si="3"/>
        <v/>
      </c>
    </row>
    <row r="251" spans="1:10" ht="14.25" customHeight="1" x14ac:dyDescent="0.2">
      <c r="A251" s="1" t="s">
        <v>391</v>
      </c>
      <c r="B251" s="1" t="s">
        <v>139</v>
      </c>
      <c r="C251" s="1">
        <v>154554532</v>
      </c>
      <c r="D251" s="1" t="s">
        <v>2367</v>
      </c>
      <c r="E251" s="1" t="s">
        <v>1490</v>
      </c>
      <c r="F251" s="1">
        <v>1</v>
      </c>
      <c r="G251" s="1"/>
      <c r="H251" s="1"/>
      <c r="I251" s="1"/>
      <c r="J251" s="1" t="str">
        <f t="shared" si="3"/>
        <v/>
      </c>
    </row>
    <row r="252" spans="1:10" ht="14.25" customHeight="1" x14ac:dyDescent="0.2">
      <c r="A252" s="1" t="s">
        <v>176</v>
      </c>
      <c r="B252" s="1" t="s">
        <v>175</v>
      </c>
      <c r="C252" s="1">
        <v>28234787</v>
      </c>
      <c r="D252" s="1" t="s">
        <v>2153</v>
      </c>
      <c r="E252" s="1" t="s">
        <v>173</v>
      </c>
      <c r="F252" s="1" t="s">
        <v>2062</v>
      </c>
      <c r="G252" s="1"/>
      <c r="H252" s="1" t="s">
        <v>3763</v>
      </c>
      <c r="I252" s="1"/>
      <c r="J252" s="1" t="str">
        <f t="shared" si="3"/>
        <v>纠后正确</v>
      </c>
    </row>
    <row r="253" spans="1:10" ht="14.25" customHeight="1" x14ac:dyDescent="0.2">
      <c r="A253" s="1" t="s">
        <v>1038</v>
      </c>
      <c r="B253" s="1" t="s">
        <v>212</v>
      </c>
      <c r="C253" s="1">
        <v>58003962</v>
      </c>
      <c r="D253" s="1" t="s">
        <v>2914</v>
      </c>
      <c r="E253" s="1" t="s">
        <v>1790</v>
      </c>
      <c r="F253" s="1">
        <v>1</v>
      </c>
      <c r="G253" s="1"/>
      <c r="H253" s="1"/>
      <c r="I253" s="1"/>
      <c r="J253" s="1" t="str">
        <f t="shared" si="3"/>
        <v/>
      </c>
    </row>
    <row r="254" spans="1:10" ht="14.25" customHeight="1" x14ac:dyDescent="0.2">
      <c r="A254" s="1" t="s">
        <v>248</v>
      </c>
      <c r="B254" s="1" t="s">
        <v>40</v>
      </c>
      <c r="C254" s="1">
        <v>139246315</v>
      </c>
      <c r="D254" s="1" t="s">
        <v>2250</v>
      </c>
      <c r="E254" s="1" t="s">
        <v>3738</v>
      </c>
      <c r="F254" s="1" t="s">
        <v>3406</v>
      </c>
      <c r="G254" s="1" t="s">
        <v>8391</v>
      </c>
      <c r="H254" s="1" t="s">
        <v>3843</v>
      </c>
      <c r="I254" s="1"/>
      <c r="J254" s="1" t="str">
        <f t="shared" si="3"/>
        <v>多321个氨基酸，但rs号是多350个chr7:139257673-139316492</v>
      </c>
    </row>
    <row r="255" spans="1:10" ht="14.25" customHeight="1" x14ac:dyDescent="0.2">
      <c r="A255" s="1" t="s">
        <v>1299</v>
      </c>
      <c r="B255" s="1" t="s">
        <v>53</v>
      </c>
      <c r="C255" s="1">
        <v>25176338</v>
      </c>
      <c r="D255" s="1" t="s">
        <v>3125</v>
      </c>
      <c r="E255" s="1" t="s">
        <v>1928</v>
      </c>
      <c r="F255" s="1">
        <v>1</v>
      </c>
      <c r="G255" s="1"/>
      <c r="H255" s="1"/>
      <c r="I255" s="1"/>
      <c r="J255" s="1" t="str">
        <f t="shared" si="3"/>
        <v/>
      </c>
    </row>
    <row r="256" spans="1:10" ht="14.25" customHeight="1" x14ac:dyDescent="0.2">
      <c r="A256" s="1" t="s">
        <v>1009</v>
      </c>
      <c r="B256" s="1" t="s">
        <v>212</v>
      </c>
      <c r="C256" s="1">
        <v>10457049</v>
      </c>
      <c r="D256" s="1" t="s">
        <v>2886</v>
      </c>
      <c r="E256" s="1" t="s">
        <v>1775</v>
      </c>
      <c r="F256" s="1">
        <v>1</v>
      </c>
      <c r="G256" s="1"/>
      <c r="H256" s="1"/>
      <c r="I256" s="1"/>
      <c r="J256" s="1" t="str">
        <f t="shared" si="3"/>
        <v/>
      </c>
    </row>
    <row r="257" spans="1:10" ht="14.25" customHeight="1" x14ac:dyDescent="0.2">
      <c r="A257" s="1" t="s">
        <v>249</v>
      </c>
      <c r="B257" s="1" t="s">
        <v>212</v>
      </c>
      <c r="C257" s="1">
        <v>132680916</v>
      </c>
      <c r="D257" s="1" t="s">
        <v>2272</v>
      </c>
      <c r="E257" s="1" t="s">
        <v>3739</v>
      </c>
      <c r="F257" s="1" t="s">
        <v>3406</v>
      </c>
      <c r="G257" s="1" t="s">
        <v>8391</v>
      </c>
      <c r="H257" s="1"/>
      <c r="I257" s="1"/>
      <c r="J257" s="1" t="str">
        <f t="shared" si="3"/>
        <v/>
      </c>
    </row>
    <row r="258" spans="1:10" ht="14.25" customHeight="1" x14ac:dyDescent="0.2">
      <c r="A258" s="1" t="s">
        <v>1245</v>
      </c>
      <c r="B258" s="1" t="s">
        <v>50</v>
      </c>
      <c r="C258" s="1">
        <v>35988118</v>
      </c>
      <c r="D258" s="1" t="s">
        <v>3081</v>
      </c>
      <c r="E258" s="1" t="s">
        <v>1905</v>
      </c>
      <c r="F258" s="1">
        <v>1</v>
      </c>
      <c r="G258" s="1"/>
      <c r="H258" s="1"/>
      <c r="I258" s="1"/>
      <c r="J258" s="1" t="str">
        <f t="shared" si="3"/>
        <v/>
      </c>
    </row>
    <row r="259" spans="1:10" ht="14.25" customHeight="1" x14ac:dyDescent="0.2">
      <c r="A259" s="1" t="s">
        <v>1247</v>
      </c>
      <c r="B259" s="1" t="s">
        <v>50</v>
      </c>
      <c r="C259" s="1">
        <v>35988118</v>
      </c>
      <c r="D259" s="1" t="s">
        <v>3083</v>
      </c>
      <c r="E259" s="1" t="s">
        <v>1905</v>
      </c>
      <c r="F259" s="1">
        <v>1</v>
      </c>
      <c r="G259" s="1"/>
      <c r="H259" s="1"/>
      <c r="I259" s="1"/>
      <c r="J259" s="1" t="str">
        <f t="shared" ref="J259:J322" si="4">IF(H259="",IF(I259="","",I259),H259)</f>
        <v/>
      </c>
    </row>
    <row r="260" spans="1:10" ht="14.25" customHeight="1" x14ac:dyDescent="0.2">
      <c r="A260" s="1" t="s">
        <v>1147</v>
      </c>
      <c r="B260" s="1" t="s">
        <v>121</v>
      </c>
      <c r="C260" s="1">
        <v>56899118</v>
      </c>
      <c r="D260" s="1" t="s">
        <v>3007</v>
      </c>
      <c r="E260" s="1" t="s">
        <v>1853</v>
      </c>
      <c r="F260" s="1">
        <v>1</v>
      </c>
      <c r="G260" s="1"/>
      <c r="H260" s="1"/>
      <c r="I260" s="1"/>
      <c r="J260" s="1" t="str">
        <f t="shared" si="4"/>
        <v/>
      </c>
    </row>
    <row r="261" spans="1:10" ht="14.25" customHeight="1" x14ac:dyDescent="0.2">
      <c r="A261" s="1" t="s">
        <v>1146</v>
      </c>
      <c r="B261" s="1" t="s">
        <v>121</v>
      </c>
      <c r="C261" s="1">
        <v>56899118</v>
      </c>
      <c r="D261" s="1" t="s">
        <v>3006</v>
      </c>
      <c r="E261" s="1" t="s">
        <v>1853</v>
      </c>
      <c r="F261" s="1">
        <v>1</v>
      </c>
      <c r="G261" s="1"/>
      <c r="H261" s="1"/>
      <c r="I261" s="1"/>
      <c r="J261" s="1" t="str">
        <f t="shared" si="4"/>
        <v/>
      </c>
    </row>
    <row r="262" spans="1:10" ht="14.25" customHeight="1" x14ac:dyDescent="0.2">
      <c r="A262" s="1" t="s">
        <v>1341</v>
      </c>
      <c r="B262" s="1" t="s">
        <v>43</v>
      </c>
      <c r="C262" s="1">
        <v>29723668</v>
      </c>
      <c r="D262" s="1" t="s">
        <v>3160</v>
      </c>
      <c r="E262" s="1" t="s">
        <v>1947</v>
      </c>
      <c r="F262" s="1">
        <v>1</v>
      </c>
      <c r="G262" s="1"/>
      <c r="H262" s="1"/>
      <c r="I262" s="1"/>
      <c r="J262" s="1" t="str">
        <f t="shared" si="4"/>
        <v/>
      </c>
    </row>
    <row r="263" spans="1:10" ht="14.25" customHeight="1" x14ac:dyDescent="0.2">
      <c r="A263" s="1" t="s">
        <v>874</v>
      </c>
      <c r="B263" s="1" t="s">
        <v>93</v>
      </c>
      <c r="C263" s="1">
        <v>95256368</v>
      </c>
      <c r="D263" s="1" t="s">
        <v>2779</v>
      </c>
      <c r="E263" s="1" t="s">
        <v>1723</v>
      </c>
      <c r="F263" s="1">
        <v>1</v>
      </c>
      <c r="G263" s="1"/>
      <c r="H263" s="1"/>
      <c r="I263" s="1"/>
      <c r="J263" s="1" t="str">
        <f t="shared" si="4"/>
        <v/>
      </c>
    </row>
    <row r="264" spans="1:10" ht="14.25" customHeight="1" x14ac:dyDescent="0.2">
      <c r="A264" s="1" t="s">
        <v>1036</v>
      </c>
      <c r="B264" s="1" t="s">
        <v>212</v>
      </c>
      <c r="C264" s="1">
        <v>56710006</v>
      </c>
      <c r="D264" s="1" t="s">
        <v>2912</v>
      </c>
      <c r="E264" s="1" t="s">
        <v>1788</v>
      </c>
      <c r="F264" s="1">
        <v>1</v>
      </c>
      <c r="G264" s="1"/>
      <c r="H264" s="1"/>
      <c r="I264" s="1"/>
      <c r="J264" s="1" t="str">
        <f t="shared" si="4"/>
        <v/>
      </c>
    </row>
    <row r="265" spans="1:10" ht="14.25" customHeight="1" x14ac:dyDescent="0.2">
      <c r="A265" s="1" t="s">
        <v>609</v>
      </c>
      <c r="B265" s="1" t="s">
        <v>569</v>
      </c>
      <c r="C265" s="1">
        <v>102711763</v>
      </c>
      <c r="D265" s="1" t="s">
        <v>2551</v>
      </c>
      <c r="E265" s="1" t="s">
        <v>1588</v>
      </c>
      <c r="F265" s="1">
        <v>1</v>
      </c>
      <c r="G265" s="1"/>
      <c r="H265" s="1"/>
      <c r="I265" s="1"/>
      <c r="J265" s="1" t="str">
        <f t="shared" si="4"/>
        <v/>
      </c>
    </row>
    <row r="266" spans="1:10" ht="14.25" customHeight="1" x14ac:dyDescent="0.2">
      <c r="A266" s="1" t="s">
        <v>362</v>
      </c>
      <c r="B266" s="1" t="s">
        <v>139</v>
      </c>
      <c r="C266" s="1">
        <v>95699710</v>
      </c>
      <c r="D266" s="1" t="s">
        <v>2338</v>
      </c>
      <c r="E266" s="1" t="s">
        <v>1480</v>
      </c>
      <c r="F266" s="1">
        <v>1</v>
      </c>
      <c r="G266" s="1"/>
      <c r="H266" s="1"/>
      <c r="I266" s="1"/>
      <c r="J266" s="1" t="str">
        <f t="shared" si="4"/>
        <v/>
      </c>
    </row>
    <row r="267" spans="1:10" ht="14.25" customHeight="1" x14ac:dyDescent="0.2">
      <c r="A267" s="1" t="s">
        <v>621</v>
      </c>
      <c r="B267" s="1" t="s">
        <v>569</v>
      </c>
      <c r="C267" s="1">
        <v>115519610</v>
      </c>
      <c r="D267" s="1" t="s">
        <v>2563</v>
      </c>
      <c r="E267" s="1" t="s">
        <v>1594</v>
      </c>
      <c r="F267" s="1">
        <v>1</v>
      </c>
      <c r="G267" s="1"/>
      <c r="H267" s="1"/>
      <c r="I267" s="1"/>
      <c r="J267" s="1" t="str">
        <f t="shared" si="4"/>
        <v/>
      </c>
    </row>
    <row r="268" spans="1:10" ht="14.25" customHeight="1" x14ac:dyDescent="0.2">
      <c r="A268" s="1" t="s">
        <v>449</v>
      </c>
      <c r="B268" s="1" t="s">
        <v>1</v>
      </c>
      <c r="C268" s="1">
        <v>160092303</v>
      </c>
      <c r="D268" s="1" t="s">
        <v>2413</v>
      </c>
      <c r="E268" s="1" t="s">
        <v>1521</v>
      </c>
      <c r="F268" s="1">
        <v>1</v>
      </c>
      <c r="G268" s="1"/>
      <c r="H268" s="1"/>
      <c r="I268" s="1"/>
      <c r="J268" s="1" t="str">
        <f t="shared" si="4"/>
        <v/>
      </c>
    </row>
    <row r="269" spans="1:10" ht="14.25" customHeight="1" x14ac:dyDescent="0.2">
      <c r="A269" s="1" t="s">
        <v>450</v>
      </c>
      <c r="B269" s="1" t="s">
        <v>1</v>
      </c>
      <c r="C269" s="1">
        <v>160092303</v>
      </c>
      <c r="D269" s="1" t="s">
        <v>2414</v>
      </c>
      <c r="E269" s="1" t="s">
        <v>1521</v>
      </c>
      <c r="F269" s="1">
        <v>1</v>
      </c>
      <c r="G269" s="1"/>
      <c r="H269" s="1"/>
      <c r="I269" s="1"/>
      <c r="J269" s="1" t="str">
        <f t="shared" si="4"/>
        <v/>
      </c>
    </row>
    <row r="270" spans="1:10" ht="14.25" customHeight="1" x14ac:dyDescent="0.2">
      <c r="A270" s="1" t="s">
        <v>934</v>
      </c>
      <c r="B270" s="1" t="s">
        <v>36</v>
      </c>
      <c r="C270" s="1">
        <v>47430045</v>
      </c>
      <c r="D270" s="1" t="s">
        <v>2834</v>
      </c>
      <c r="E270" s="1" t="s">
        <v>1748</v>
      </c>
      <c r="F270" s="1">
        <v>1</v>
      </c>
      <c r="G270" s="1"/>
      <c r="H270" s="1"/>
      <c r="I270" s="1"/>
      <c r="J270" s="1" t="str">
        <f t="shared" si="4"/>
        <v/>
      </c>
    </row>
    <row r="271" spans="1:10" ht="14.25" customHeight="1" x14ac:dyDescent="0.2">
      <c r="A271" s="1" t="s">
        <v>575</v>
      </c>
      <c r="B271" s="1" t="s">
        <v>569</v>
      </c>
      <c r="C271" s="1">
        <v>1160719</v>
      </c>
      <c r="D271" s="1" t="s">
        <v>2519</v>
      </c>
      <c r="E271" s="1" t="s">
        <v>1571</v>
      </c>
      <c r="F271" s="1">
        <v>1</v>
      </c>
      <c r="G271" s="1"/>
      <c r="H271" s="1"/>
      <c r="I271" s="1"/>
      <c r="J271" s="1" t="str">
        <f t="shared" si="4"/>
        <v/>
      </c>
    </row>
    <row r="272" spans="1:10" ht="14.25" customHeight="1" x14ac:dyDescent="0.2">
      <c r="A272" s="1" t="s">
        <v>3699</v>
      </c>
      <c r="B272" s="1" t="s">
        <v>569</v>
      </c>
      <c r="C272" s="1">
        <v>22694547</v>
      </c>
      <c r="D272" s="1" t="s">
        <v>2528</v>
      </c>
      <c r="E272" s="1" t="s">
        <v>1576</v>
      </c>
      <c r="F272" s="1">
        <v>1</v>
      </c>
      <c r="G272" s="1"/>
      <c r="H272" s="1"/>
      <c r="I272" s="1"/>
      <c r="J272" s="1" t="str">
        <f t="shared" si="4"/>
        <v/>
      </c>
    </row>
    <row r="273" spans="1:10" ht="14.25" customHeight="1" x14ac:dyDescent="0.2">
      <c r="A273" s="1" t="s">
        <v>1080</v>
      </c>
      <c r="B273" s="1" t="s">
        <v>81</v>
      </c>
      <c r="C273" s="1">
        <v>92246265</v>
      </c>
      <c r="D273" s="1" t="s">
        <v>2946</v>
      </c>
      <c r="E273" s="1" t="s">
        <v>1815</v>
      </c>
      <c r="F273" s="1">
        <v>1</v>
      </c>
      <c r="G273" s="1"/>
      <c r="H273" s="1"/>
      <c r="I273" s="1"/>
      <c r="J273" s="1" t="str">
        <f t="shared" si="4"/>
        <v/>
      </c>
    </row>
    <row r="274" spans="1:10" ht="14.25" customHeight="1" x14ac:dyDescent="0.2">
      <c r="A274" s="1" t="s">
        <v>1079</v>
      </c>
      <c r="B274" s="1" t="s">
        <v>81</v>
      </c>
      <c r="C274" s="1">
        <v>92246265</v>
      </c>
      <c r="D274" s="1" t="s">
        <v>2945</v>
      </c>
      <c r="E274" s="1" t="s">
        <v>1815</v>
      </c>
      <c r="F274" s="1">
        <v>1</v>
      </c>
      <c r="G274" s="1"/>
      <c r="H274" s="1"/>
      <c r="I274" s="1"/>
      <c r="J274" s="1" t="str">
        <f t="shared" si="4"/>
        <v/>
      </c>
    </row>
    <row r="275" spans="1:10" ht="14.25" customHeight="1" x14ac:dyDescent="0.2">
      <c r="A275" s="1" t="s">
        <v>941</v>
      </c>
      <c r="B275" s="1" t="s">
        <v>36</v>
      </c>
      <c r="C275" s="1">
        <v>63993737</v>
      </c>
      <c r="D275" s="1" t="s">
        <v>3246</v>
      </c>
      <c r="E275" s="1" t="s">
        <v>1988</v>
      </c>
      <c r="F275" s="1">
        <v>2</v>
      </c>
      <c r="G275" s="1"/>
      <c r="H275" s="1"/>
      <c r="I275" s="1"/>
      <c r="J275" s="1" t="str">
        <f t="shared" si="4"/>
        <v/>
      </c>
    </row>
    <row r="276" spans="1:10" ht="14.25" customHeight="1" x14ac:dyDescent="0.2">
      <c r="A276" s="1" t="s">
        <v>940</v>
      </c>
      <c r="B276" s="1" t="s">
        <v>36</v>
      </c>
      <c r="C276" s="1">
        <v>63993737</v>
      </c>
      <c r="D276" s="1" t="s">
        <v>3245</v>
      </c>
      <c r="E276" s="1" t="s">
        <v>1988</v>
      </c>
      <c r="F276" s="1">
        <v>2</v>
      </c>
      <c r="G276" s="1"/>
      <c r="H276" s="1"/>
      <c r="I276" s="1"/>
      <c r="J276" s="1" t="str">
        <f t="shared" si="4"/>
        <v/>
      </c>
    </row>
    <row r="277" spans="1:10" ht="14.25" customHeight="1" x14ac:dyDescent="0.2">
      <c r="A277" s="1" t="s">
        <v>760</v>
      </c>
      <c r="B277" s="1" t="s">
        <v>40</v>
      </c>
      <c r="C277" s="1">
        <v>135611502</v>
      </c>
      <c r="D277" s="1" t="s">
        <v>2682</v>
      </c>
      <c r="E277" s="1" t="s">
        <v>1670</v>
      </c>
      <c r="F277" s="1">
        <v>1</v>
      </c>
      <c r="G277" s="1"/>
      <c r="H277" s="1"/>
      <c r="I277" s="1"/>
      <c r="J277" s="1" t="str">
        <f t="shared" si="4"/>
        <v/>
      </c>
    </row>
    <row r="278" spans="1:10" ht="14.25" customHeight="1" x14ac:dyDescent="0.2">
      <c r="A278" s="1" t="s">
        <v>594</v>
      </c>
      <c r="B278" s="1" t="s">
        <v>569</v>
      </c>
      <c r="C278" s="1">
        <v>69054241</v>
      </c>
      <c r="D278" s="1" t="s">
        <v>2537</v>
      </c>
      <c r="E278" s="1" t="s">
        <v>1581</v>
      </c>
      <c r="F278" s="1">
        <v>1</v>
      </c>
      <c r="G278" s="1"/>
      <c r="H278" s="1"/>
      <c r="I278" s="1"/>
      <c r="J278" s="1" t="str">
        <f t="shared" si="4"/>
        <v/>
      </c>
    </row>
    <row r="279" spans="1:10" ht="14.25" customHeight="1" x14ac:dyDescent="0.2">
      <c r="A279" s="1" t="s">
        <v>1118</v>
      </c>
      <c r="B279" s="1" t="s">
        <v>121</v>
      </c>
      <c r="C279" s="1">
        <v>11961984</v>
      </c>
      <c r="D279" s="1" t="s">
        <v>2982</v>
      </c>
      <c r="E279" s="1" t="s">
        <v>1839</v>
      </c>
      <c r="F279" s="1">
        <v>1</v>
      </c>
      <c r="G279" s="1"/>
      <c r="H279" s="1"/>
      <c r="I279" s="1"/>
      <c r="J279" s="1" t="str">
        <f t="shared" si="4"/>
        <v/>
      </c>
    </row>
    <row r="280" spans="1:10" ht="14.25" customHeight="1" x14ac:dyDescent="0.2">
      <c r="A280" s="1" t="s">
        <v>796</v>
      </c>
      <c r="B280" s="1" t="s">
        <v>103</v>
      </c>
      <c r="C280" s="1">
        <v>144661866</v>
      </c>
      <c r="D280" s="1" t="s">
        <v>2710</v>
      </c>
      <c r="E280" s="1" t="s">
        <v>1688</v>
      </c>
      <c r="F280" s="1">
        <v>1</v>
      </c>
      <c r="G280" s="1"/>
      <c r="H280" s="1"/>
      <c r="I280" s="1"/>
      <c r="J280" s="1" t="str">
        <f t="shared" si="4"/>
        <v/>
      </c>
    </row>
    <row r="281" spans="1:10" ht="14.25" customHeight="1" x14ac:dyDescent="0.2">
      <c r="A281" s="1" t="s">
        <v>736</v>
      </c>
      <c r="B281" s="1" t="s">
        <v>40</v>
      </c>
      <c r="C281" s="1">
        <v>56131916</v>
      </c>
      <c r="D281" s="1" t="s">
        <v>2663</v>
      </c>
      <c r="E281" s="1" t="s">
        <v>1657</v>
      </c>
      <c r="F281" s="1">
        <v>1</v>
      </c>
      <c r="G281" s="1"/>
      <c r="H281" s="1"/>
      <c r="I281" s="1"/>
      <c r="J281" s="1" t="str">
        <f t="shared" si="4"/>
        <v/>
      </c>
    </row>
    <row r="282" spans="1:10" ht="14.25" customHeight="1" x14ac:dyDescent="0.2">
      <c r="A282" s="1" t="s">
        <v>761</v>
      </c>
      <c r="B282" s="1" t="s">
        <v>40</v>
      </c>
      <c r="C282" s="1">
        <v>139478046</v>
      </c>
      <c r="D282" s="1" t="s">
        <v>2683</v>
      </c>
      <c r="E282" s="1" t="s">
        <v>1671</v>
      </c>
      <c r="F282" s="1">
        <v>1</v>
      </c>
      <c r="G282" s="1"/>
      <c r="H282" s="1"/>
      <c r="I282" s="1"/>
      <c r="J282" s="1" t="str">
        <f t="shared" si="4"/>
        <v/>
      </c>
    </row>
    <row r="283" spans="1:10" ht="14.25" customHeight="1" x14ac:dyDescent="0.2">
      <c r="A283" s="1" t="s">
        <v>72</v>
      </c>
      <c r="B283" s="1" t="s">
        <v>73</v>
      </c>
      <c r="C283" s="1">
        <v>152853382</v>
      </c>
      <c r="D283" s="1" t="s">
        <v>2093</v>
      </c>
      <c r="E283" s="1" t="s">
        <v>71</v>
      </c>
      <c r="F283" s="1" t="s">
        <v>2062</v>
      </c>
      <c r="G283" s="1"/>
      <c r="H283" s="1" t="s">
        <v>8396</v>
      </c>
      <c r="I283" s="1"/>
      <c r="J283" s="1" t="str">
        <f t="shared" si="4"/>
        <v>纠后正确</v>
      </c>
    </row>
    <row r="284" spans="1:10" ht="14.25" customHeight="1" x14ac:dyDescent="0.2">
      <c r="A284" s="1" t="s">
        <v>90</v>
      </c>
      <c r="B284" s="1" t="s">
        <v>86</v>
      </c>
      <c r="C284" s="1">
        <v>12938541</v>
      </c>
      <c r="D284" s="1" t="s">
        <v>2101</v>
      </c>
      <c r="E284" s="1" t="s">
        <v>89</v>
      </c>
      <c r="F284" s="1" t="s">
        <v>2062</v>
      </c>
      <c r="G284" s="1"/>
      <c r="H284" s="1" t="s">
        <v>8394</v>
      </c>
      <c r="I284" s="1"/>
      <c r="J284" s="1" t="str">
        <f t="shared" si="4"/>
        <v>纠后正确</v>
      </c>
    </row>
    <row r="285" spans="1:10" ht="14.25" customHeight="1" x14ac:dyDescent="0.2">
      <c r="A285" s="1" t="s">
        <v>8757</v>
      </c>
      <c r="B285" s="1" t="s">
        <v>139</v>
      </c>
      <c r="C285" s="1">
        <v>151735444</v>
      </c>
      <c r="D285" s="1" t="s">
        <v>3308</v>
      </c>
      <c r="E285" s="1" t="s">
        <v>2020</v>
      </c>
      <c r="F285" s="1" t="s">
        <v>2062</v>
      </c>
      <c r="G285" s="1"/>
      <c r="H285" s="1"/>
      <c r="I285" s="1"/>
      <c r="J285" s="1" t="str">
        <f t="shared" si="4"/>
        <v/>
      </c>
    </row>
    <row r="286" spans="1:10" ht="14.25" customHeight="1" x14ac:dyDescent="0.2">
      <c r="A286" s="1" t="s">
        <v>1186</v>
      </c>
      <c r="B286" s="1" t="s">
        <v>47</v>
      </c>
      <c r="C286" s="1">
        <v>47287588</v>
      </c>
      <c r="D286" s="1" t="s">
        <v>3039</v>
      </c>
      <c r="E286" s="1" t="s">
        <v>1876</v>
      </c>
      <c r="F286" s="1">
        <v>1</v>
      </c>
      <c r="G286" s="1"/>
      <c r="H286" s="1"/>
      <c r="I286" s="1"/>
      <c r="J286" s="1" t="str">
        <f t="shared" si="4"/>
        <v/>
      </c>
    </row>
    <row r="287" spans="1:10" ht="14.25" customHeight="1" x14ac:dyDescent="0.2">
      <c r="A287" s="1" t="s">
        <v>505</v>
      </c>
      <c r="B287" s="1" t="s">
        <v>86</v>
      </c>
      <c r="C287" s="1">
        <v>33038099</v>
      </c>
      <c r="D287" s="1" t="s">
        <v>2460</v>
      </c>
      <c r="E287" s="1" t="s">
        <v>1545</v>
      </c>
      <c r="F287" s="1">
        <v>1</v>
      </c>
      <c r="G287" s="1"/>
      <c r="H287" s="1"/>
      <c r="I287" s="1"/>
      <c r="J287" s="1" t="str">
        <f t="shared" si="4"/>
        <v/>
      </c>
    </row>
    <row r="288" spans="1:10" ht="14.25" customHeight="1" x14ac:dyDescent="0.2">
      <c r="A288" s="1" t="s">
        <v>78</v>
      </c>
      <c r="B288" s="1" t="s">
        <v>1</v>
      </c>
      <c r="C288" s="1">
        <v>88747725</v>
      </c>
      <c r="D288" s="1" t="s">
        <v>2096</v>
      </c>
      <c r="E288" s="1" t="s">
        <v>77</v>
      </c>
      <c r="F288" s="1" t="s">
        <v>2062</v>
      </c>
      <c r="G288" s="1"/>
      <c r="H288" s="1" t="s">
        <v>3763</v>
      </c>
      <c r="I288" s="1"/>
      <c r="J288" s="1" t="str">
        <f t="shared" si="4"/>
        <v>纠后正确</v>
      </c>
    </row>
    <row r="289" spans="1:10" ht="14.25" customHeight="1" x14ac:dyDescent="0.2">
      <c r="A289" s="1" t="s">
        <v>756</v>
      </c>
      <c r="B289" s="1" t="s">
        <v>40</v>
      </c>
      <c r="C289" s="1">
        <v>128516918</v>
      </c>
      <c r="D289" s="1" t="s">
        <v>2247</v>
      </c>
      <c r="E289" s="1" t="s">
        <v>1430</v>
      </c>
      <c r="F289" s="1" t="s">
        <v>3406</v>
      </c>
      <c r="G289" s="1"/>
      <c r="H289" s="1" t="s">
        <v>8394</v>
      </c>
      <c r="I289" s="1"/>
      <c r="J289" s="1" t="str">
        <f t="shared" si="4"/>
        <v>纠后正确</v>
      </c>
    </row>
    <row r="290" spans="1:10" ht="14.25" customHeight="1" x14ac:dyDescent="0.2">
      <c r="A290" s="1" t="s">
        <v>821</v>
      </c>
      <c r="B290" s="1" t="s">
        <v>33</v>
      </c>
      <c r="C290" s="1">
        <v>35538628</v>
      </c>
      <c r="D290" s="1" t="s">
        <v>2733</v>
      </c>
      <c r="E290" s="1" t="s">
        <v>1699</v>
      </c>
      <c r="F290" s="1">
        <v>1</v>
      </c>
      <c r="G290" s="1"/>
      <c r="H290" s="1"/>
      <c r="I290" s="1"/>
      <c r="J290" s="1" t="str">
        <f t="shared" si="4"/>
        <v/>
      </c>
    </row>
    <row r="291" spans="1:10" ht="14.25" customHeight="1" x14ac:dyDescent="0.2">
      <c r="A291" s="1" t="s">
        <v>692</v>
      </c>
      <c r="B291" s="1" t="s">
        <v>175</v>
      </c>
      <c r="C291" s="1">
        <v>90539618</v>
      </c>
      <c r="D291" s="1" t="s">
        <v>3236</v>
      </c>
      <c r="E291" s="1" t="s">
        <v>1983</v>
      </c>
      <c r="F291" s="1">
        <v>2</v>
      </c>
      <c r="G291" s="1"/>
      <c r="H291" s="1"/>
      <c r="I291" s="1"/>
      <c r="J291" s="1" t="str">
        <f t="shared" si="4"/>
        <v/>
      </c>
    </row>
    <row r="292" spans="1:10" ht="14.25" customHeight="1" x14ac:dyDescent="0.2">
      <c r="A292" s="1" t="s">
        <v>693</v>
      </c>
      <c r="B292" s="1" t="s">
        <v>175</v>
      </c>
      <c r="C292" s="1">
        <v>90539618</v>
      </c>
      <c r="D292" s="1" t="s">
        <v>3237</v>
      </c>
      <c r="E292" s="1" t="s">
        <v>1983</v>
      </c>
      <c r="F292" s="1">
        <v>2</v>
      </c>
      <c r="G292" s="1"/>
      <c r="H292" s="1"/>
      <c r="I292" s="1"/>
      <c r="J292" s="1" t="str">
        <f t="shared" si="4"/>
        <v/>
      </c>
    </row>
    <row r="293" spans="1:10" ht="14.25" customHeight="1" x14ac:dyDescent="0.2">
      <c r="A293" s="1" t="s">
        <v>578</v>
      </c>
      <c r="B293" s="1" t="s">
        <v>569</v>
      </c>
      <c r="C293" s="1">
        <v>2043776</v>
      </c>
      <c r="D293" s="1" t="s">
        <v>2522</v>
      </c>
      <c r="E293" s="1" t="s">
        <v>1572</v>
      </c>
      <c r="F293" s="1">
        <v>1</v>
      </c>
      <c r="G293" s="1"/>
      <c r="H293" s="1"/>
      <c r="I293" s="1"/>
      <c r="J293" s="1" t="str">
        <f t="shared" si="4"/>
        <v/>
      </c>
    </row>
    <row r="294" spans="1:10" ht="14.25" customHeight="1" x14ac:dyDescent="0.2">
      <c r="A294" s="1" t="s">
        <v>1090</v>
      </c>
      <c r="B294" s="1" t="s">
        <v>113</v>
      </c>
      <c r="C294" s="1">
        <v>52599479</v>
      </c>
      <c r="D294" s="1" t="s">
        <v>2958</v>
      </c>
      <c r="E294" s="1" t="s">
        <v>1824</v>
      </c>
      <c r="F294" s="1">
        <v>1</v>
      </c>
      <c r="G294" s="1"/>
      <c r="H294" s="1"/>
      <c r="I294" s="1"/>
      <c r="J294" s="1" t="str">
        <f t="shared" si="4"/>
        <v/>
      </c>
    </row>
    <row r="295" spans="1:10" ht="14.25" customHeight="1" x14ac:dyDescent="0.2">
      <c r="A295" s="1" t="s">
        <v>867</v>
      </c>
      <c r="B295" s="1" t="s">
        <v>93</v>
      </c>
      <c r="C295" s="1">
        <v>50822082</v>
      </c>
      <c r="D295" s="1" t="s">
        <v>2773</v>
      </c>
      <c r="E295" s="1" t="s">
        <v>1718</v>
      </c>
      <c r="F295" s="1">
        <v>1</v>
      </c>
      <c r="G295" s="1"/>
      <c r="H295" s="1"/>
      <c r="I295" s="1"/>
      <c r="J295" s="1" t="str">
        <f t="shared" si="4"/>
        <v/>
      </c>
    </row>
    <row r="296" spans="1:10" ht="14.25" customHeight="1" x14ac:dyDescent="0.2">
      <c r="A296" s="1" t="s">
        <v>864</v>
      </c>
      <c r="B296" s="1" t="s">
        <v>93</v>
      </c>
      <c r="C296" s="1">
        <v>50822082</v>
      </c>
      <c r="D296" s="1" t="s">
        <v>2770</v>
      </c>
      <c r="E296" s="1" t="s">
        <v>1718</v>
      </c>
      <c r="F296" s="1">
        <v>1</v>
      </c>
      <c r="G296" s="1"/>
      <c r="H296" s="1"/>
      <c r="I296" s="1"/>
      <c r="J296" s="1" t="str">
        <f t="shared" si="4"/>
        <v/>
      </c>
    </row>
    <row r="297" spans="1:10" ht="14.25" customHeight="1" x14ac:dyDescent="0.2">
      <c r="A297" s="1" t="s">
        <v>865</v>
      </c>
      <c r="B297" s="1" t="s">
        <v>93</v>
      </c>
      <c r="C297" s="1">
        <v>50822082</v>
      </c>
      <c r="D297" s="1" t="s">
        <v>2771</v>
      </c>
      <c r="E297" s="1" t="s">
        <v>1718</v>
      </c>
      <c r="F297" s="1">
        <v>1</v>
      </c>
      <c r="G297" s="1"/>
      <c r="H297" s="1"/>
      <c r="I297" s="1"/>
      <c r="J297" s="1" t="str">
        <f t="shared" si="4"/>
        <v/>
      </c>
    </row>
    <row r="298" spans="1:10" ht="14.25" customHeight="1" x14ac:dyDescent="0.2">
      <c r="A298" s="1" t="s">
        <v>969</v>
      </c>
      <c r="B298" s="1" t="s">
        <v>36</v>
      </c>
      <c r="C298" s="1">
        <v>89057520</v>
      </c>
      <c r="D298" s="1" t="s">
        <v>2860</v>
      </c>
      <c r="E298" s="1" t="s">
        <v>1760</v>
      </c>
      <c r="F298" s="1">
        <v>1</v>
      </c>
      <c r="G298" s="1"/>
      <c r="H298" s="1"/>
      <c r="I298" s="1"/>
      <c r="J298" s="1" t="str">
        <f t="shared" si="4"/>
        <v/>
      </c>
    </row>
    <row r="299" spans="1:10" ht="14.25" customHeight="1" x14ac:dyDescent="0.2">
      <c r="A299" s="1" t="s">
        <v>968</v>
      </c>
      <c r="B299" s="1" t="s">
        <v>36</v>
      </c>
      <c r="C299" s="1">
        <v>89057520</v>
      </c>
      <c r="D299" s="1" t="s">
        <v>2859</v>
      </c>
      <c r="E299" s="1" t="s">
        <v>1760</v>
      </c>
      <c r="F299" s="1">
        <v>1</v>
      </c>
      <c r="G299" s="1"/>
      <c r="H299" s="1"/>
      <c r="I299" s="1"/>
      <c r="J299" s="1" t="str">
        <f t="shared" si="4"/>
        <v/>
      </c>
    </row>
    <row r="300" spans="1:10" ht="14.25" customHeight="1" x14ac:dyDescent="0.2">
      <c r="A300" s="1" t="s">
        <v>3745</v>
      </c>
      <c r="B300" s="1" t="s">
        <v>139</v>
      </c>
      <c r="C300" s="1">
        <v>223714971</v>
      </c>
      <c r="D300" s="1" t="s">
        <v>2226</v>
      </c>
      <c r="E300" s="1" t="s">
        <v>1414</v>
      </c>
      <c r="F300" s="1" t="s">
        <v>3406</v>
      </c>
      <c r="G300" s="1"/>
      <c r="H300" s="1" t="s">
        <v>3841</v>
      </c>
      <c r="I300" s="1"/>
      <c r="J300" s="1" t="str">
        <f t="shared" si="4"/>
        <v>多98个氨基酸，但无法验证哪个正确，NCBIrs无氨基酸注释信息chr1:223715199-223743130</v>
      </c>
    </row>
    <row r="301" spans="1:10" ht="14.25" customHeight="1" x14ac:dyDescent="0.2">
      <c r="A301" s="1" t="s">
        <v>1200</v>
      </c>
      <c r="B301" s="1" t="s">
        <v>47</v>
      </c>
      <c r="C301" s="1">
        <v>75137004</v>
      </c>
      <c r="D301" s="1" t="s">
        <v>3051</v>
      </c>
      <c r="E301" s="1" t="s">
        <v>1884</v>
      </c>
      <c r="F301" s="1">
        <v>1</v>
      </c>
      <c r="G301" s="1"/>
      <c r="H301" s="1"/>
      <c r="I301" s="1"/>
      <c r="J301" s="1" t="str">
        <f t="shared" si="4"/>
        <v/>
      </c>
    </row>
    <row r="302" spans="1:10" ht="14.25" customHeight="1" x14ac:dyDescent="0.2">
      <c r="A302" s="1" t="s">
        <v>1202</v>
      </c>
      <c r="B302" s="1" t="s">
        <v>47</v>
      </c>
      <c r="C302" s="1">
        <v>75137004</v>
      </c>
      <c r="D302" s="1" t="s">
        <v>3053</v>
      </c>
      <c r="E302" s="1" t="s">
        <v>1884</v>
      </c>
      <c r="F302" s="1">
        <v>1</v>
      </c>
      <c r="G302" s="1"/>
      <c r="H302" s="1"/>
      <c r="I302" s="1"/>
      <c r="J302" s="1" t="str">
        <f t="shared" si="4"/>
        <v/>
      </c>
    </row>
    <row r="303" spans="1:10" ht="14.25" customHeight="1" x14ac:dyDescent="0.2">
      <c r="A303" s="1" t="s">
        <v>1204</v>
      </c>
      <c r="B303" s="1" t="s">
        <v>47</v>
      </c>
      <c r="C303" s="1">
        <v>75181294</v>
      </c>
      <c r="D303" s="1" t="s">
        <v>3055</v>
      </c>
      <c r="E303" s="1" t="s">
        <v>1884</v>
      </c>
      <c r="F303" s="1">
        <v>1</v>
      </c>
      <c r="G303" s="1"/>
      <c r="H303" s="1"/>
      <c r="I303" s="1"/>
      <c r="J303" s="1" t="str">
        <f t="shared" si="4"/>
        <v/>
      </c>
    </row>
    <row r="304" spans="1:10" ht="14.25" customHeight="1" x14ac:dyDescent="0.2">
      <c r="A304" s="1" t="s">
        <v>929</v>
      </c>
      <c r="B304" s="1" t="s">
        <v>36</v>
      </c>
      <c r="C304" s="1">
        <v>34127110</v>
      </c>
      <c r="D304" s="1" t="s">
        <v>2829</v>
      </c>
      <c r="E304" s="1" t="s">
        <v>1745</v>
      </c>
      <c r="F304" s="1">
        <v>1</v>
      </c>
      <c r="G304" s="1"/>
      <c r="H304" s="1"/>
      <c r="I304" s="1"/>
      <c r="J304" s="1" t="str">
        <f t="shared" si="4"/>
        <v/>
      </c>
    </row>
    <row r="305" spans="1:10" ht="14.25" customHeight="1" x14ac:dyDescent="0.2">
      <c r="A305" s="1" t="s">
        <v>8798</v>
      </c>
      <c r="B305" s="1" t="s">
        <v>86</v>
      </c>
      <c r="C305" s="1">
        <v>17051163</v>
      </c>
      <c r="D305" s="1" t="s">
        <v>3319</v>
      </c>
      <c r="E305" s="1" t="s">
        <v>2025</v>
      </c>
      <c r="F305" s="1" t="s">
        <v>2062</v>
      </c>
      <c r="G305" s="4" t="s">
        <v>8794</v>
      </c>
      <c r="H305" s="1"/>
      <c r="I305" s="1"/>
      <c r="J305" s="1" t="str">
        <f t="shared" si="4"/>
        <v/>
      </c>
    </row>
    <row r="306" spans="1:10" ht="14.25" customHeight="1" x14ac:dyDescent="0.2">
      <c r="A306" s="1" t="s">
        <v>458</v>
      </c>
      <c r="B306" s="1" t="s">
        <v>1</v>
      </c>
      <c r="C306" s="1">
        <v>187464931</v>
      </c>
      <c r="D306" s="1" t="s">
        <v>2422</v>
      </c>
      <c r="E306" s="1" t="s">
        <v>1526</v>
      </c>
      <c r="F306" s="1">
        <v>1</v>
      </c>
      <c r="G306" s="1"/>
      <c r="H306" s="1"/>
      <c r="I306" s="1"/>
      <c r="J306" s="1" t="str">
        <f t="shared" si="4"/>
        <v/>
      </c>
    </row>
    <row r="307" spans="1:10" ht="14.25" customHeight="1" x14ac:dyDescent="0.2">
      <c r="A307" s="1" t="s">
        <v>457</v>
      </c>
      <c r="B307" s="1" t="s">
        <v>1</v>
      </c>
      <c r="C307" s="1">
        <v>187454789</v>
      </c>
      <c r="D307" s="1" t="s">
        <v>2421</v>
      </c>
      <c r="E307" s="1" t="s">
        <v>1526</v>
      </c>
      <c r="F307" s="1">
        <v>1</v>
      </c>
      <c r="G307" s="1"/>
      <c r="H307" s="1"/>
      <c r="I307" s="1"/>
      <c r="J307" s="1" t="str">
        <f t="shared" si="4"/>
        <v/>
      </c>
    </row>
    <row r="308" spans="1:10" ht="14.25" customHeight="1" x14ac:dyDescent="0.2">
      <c r="A308" s="1" t="s">
        <v>1041</v>
      </c>
      <c r="B308" s="1" t="s">
        <v>212</v>
      </c>
      <c r="C308" s="1">
        <v>80838125</v>
      </c>
      <c r="D308" s="1" t="s">
        <v>3371</v>
      </c>
      <c r="E308" s="1" t="s">
        <v>2042</v>
      </c>
      <c r="F308" s="1" t="s">
        <v>2062</v>
      </c>
      <c r="G308" s="1"/>
      <c r="H308" s="1" t="s">
        <v>3845</v>
      </c>
      <c r="I308" s="1"/>
      <c r="J308" s="1" t="str">
        <f t="shared" si="4"/>
        <v>多149个氨基酸，但rs号是多152个（rs370185461）chr7:139257673-139316492</v>
      </c>
    </row>
    <row r="309" spans="1:10" ht="14.25" customHeight="1" x14ac:dyDescent="0.2">
      <c r="A309" s="1" t="s">
        <v>872</v>
      </c>
      <c r="B309" s="1" t="s">
        <v>93</v>
      </c>
      <c r="C309" s="1">
        <v>75670861</v>
      </c>
      <c r="D309" s="1" t="s">
        <v>2777</v>
      </c>
      <c r="E309" s="1" t="s">
        <v>1722</v>
      </c>
      <c r="F309" s="1">
        <v>1</v>
      </c>
      <c r="G309" s="1"/>
      <c r="H309" s="1"/>
      <c r="I309" s="1"/>
      <c r="J309" s="1" t="str">
        <f t="shared" si="4"/>
        <v/>
      </c>
    </row>
    <row r="310" spans="1:10" ht="14.25" customHeight="1" x14ac:dyDescent="0.2">
      <c r="A310" s="1" t="s">
        <v>8758</v>
      </c>
      <c r="B310" s="1" t="s">
        <v>1</v>
      </c>
      <c r="C310" s="1">
        <v>46706703</v>
      </c>
      <c r="D310" s="1" t="s">
        <v>3397</v>
      </c>
      <c r="E310" s="1" t="s">
        <v>2058</v>
      </c>
      <c r="F310" s="1" t="s">
        <v>2067</v>
      </c>
      <c r="G310" s="4" t="s">
        <v>8759</v>
      </c>
      <c r="H310" s="1"/>
      <c r="I310" s="1"/>
      <c r="J310" s="1" t="str">
        <f t="shared" si="4"/>
        <v/>
      </c>
    </row>
    <row r="311" spans="1:10" ht="14.25" customHeight="1" x14ac:dyDescent="0.2">
      <c r="A311" s="1" t="s">
        <v>1166</v>
      </c>
      <c r="B311" s="1" t="s">
        <v>47</v>
      </c>
      <c r="C311" s="1">
        <v>28256873</v>
      </c>
      <c r="D311" s="1" t="s">
        <v>3021</v>
      </c>
      <c r="E311" s="1" t="s">
        <v>1863</v>
      </c>
      <c r="F311" s="1">
        <v>1</v>
      </c>
      <c r="G311" s="1"/>
      <c r="H311" s="1"/>
      <c r="I311" s="1"/>
      <c r="J311" s="1" t="str">
        <f t="shared" si="4"/>
        <v/>
      </c>
    </row>
    <row r="312" spans="1:10" ht="14.25" customHeight="1" x14ac:dyDescent="0.2">
      <c r="A312" s="1" t="s">
        <v>423</v>
      </c>
      <c r="B312" s="1" t="s">
        <v>1</v>
      </c>
      <c r="C312" s="1">
        <v>42396489</v>
      </c>
      <c r="D312" s="1" t="s">
        <v>3215</v>
      </c>
      <c r="E312" s="1" t="s">
        <v>1973</v>
      </c>
      <c r="F312" s="1">
        <v>2</v>
      </c>
      <c r="G312" s="1"/>
      <c r="H312" s="1"/>
      <c r="I312" s="1"/>
      <c r="J312" s="1" t="str">
        <f t="shared" si="4"/>
        <v/>
      </c>
    </row>
    <row r="313" spans="1:10" ht="14.25" customHeight="1" x14ac:dyDescent="0.2">
      <c r="A313" s="1" t="s">
        <v>924</v>
      </c>
      <c r="B313" s="1" t="s">
        <v>36</v>
      </c>
      <c r="C313" s="1">
        <v>20409075</v>
      </c>
      <c r="D313" s="1" t="s">
        <v>2824</v>
      </c>
      <c r="E313" s="1" t="s">
        <v>1743</v>
      </c>
      <c r="F313" s="1">
        <v>1</v>
      </c>
      <c r="G313" s="1"/>
      <c r="H313" s="1"/>
      <c r="I313" s="1"/>
      <c r="J313" s="1" t="str">
        <f t="shared" si="4"/>
        <v/>
      </c>
    </row>
    <row r="314" spans="1:10" ht="14.25" customHeight="1" x14ac:dyDescent="0.2">
      <c r="A314" s="1" t="s">
        <v>923</v>
      </c>
      <c r="B314" s="1" t="s">
        <v>36</v>
      </c>
      <c r="C314" s="1">
        <v>20409075</v>
      </c>
      <c r="D314" s="1" t="s">
        <v>2823</v>
      </c>
      <c r="E314" s="1" t="s">
        <v>1743</v>
      </c>
      <c r="F314" s="1">
        <v>1</v>
      </c>
      <c r="G314" s="1"/>
      <c r="H314" s="1"/>
      <c r="I314" s="1"/>
      <c r="J314" s="1" t="str">
        <f t="shared" si="4"/>
        <v/>
      </c>
    </row>
    <row r="315" spans="1:10" ht="14.25" customHeight="1" x14ac:dyDescent="0.2">
      <c r="A315" s="1" t="s">
        <v>965</v>
      </c>
      <c r="B315" s="1" t="s">
        <v>36</v>
      </c>
      <c r="C315" s="1">
        <v>74870843</v>
      </c>
      <c r="D315" s="1" t="s">
        <v>2857</v>
      </c>
      <c r="E315" s="1" t="s">
        <v>1758</v>
      </c>
      <c r="F315" s="1">
        <v>1</v>
      </c>
      <c r="G315" s="1"/>
      <c r="H315" s="1"/>
      <c r="I315" s="1"/>
      <c r="J315" s="1" t="str">
        <f t="shared" si="4"/>
        <v/>
      </c>
    </row>
    <row r="316" spans="1:10" ht="14.25" customHeight="1" x14ac:dyDescent="0.2">
      <c r="A316" s="1" t="s">
        <v>964</v>
      </c>
      <c r="B316" s="1" t="s">
        <v>36</v>
      </c>
      <c r="C316" s="1">
        <v>74862031</v>
      </c>
      <c r="D316" s="1" t="s">
        <v>2856</v>
      </c>
      <c r="E316" s="1" t="s">
        <v>1758</v>
      </c>
      <c r="F316" s="1">
        <v>1</v>
      </c>
      <c r="G316" s="1"/>
      <c r="H316" s="1"/>
      <c r="I316" s="1"/>
      <c r="J316" s="1" t="str">
        <f t="shared" si="4"/>
        <v/>
      </c>
    </row>
    <row r="317" spans="1:10" ht="14.25" customHeight="1" x14ac:dyDescent="0.2">
      <c r="A317" s="1" t="s">
        <v>750</v>
      </c>
      <c r="B317" s="1" t="s">
        <v>40</v>
      </c>
      <c r="C317" s="1">
        <v>102389398</v>
      </c>
      <c r="D317" s="1" t="s">
        <v>2674</v>
      </c>
      <c r="E317" s="1" t="s">
        <v>1664</v>
      </c>
      <c r="F317" s="1">
        <v>1</v>
      </c>
      <c r="G317" s="1"/>
      <c r="H317" s="1"/>
      <c r="I317" s="1"/>
      <c r="J317" s="1" t="str">
        <f t="shared" si="4"/>
        <v/>
      </c>
    </row>
    <row r="318" spans="1:10" ht="14.25" customHeight="1" x14ac:dyDescent="0.2">
      <c r="A318" s="1" t="s">
        <v>751</v>
      </c>
      <c r="B318" s="1" t="s">
        <v>40</v>
      </c>
      <c r="C318" s="1">
        <v>102389398</v>
      </c>
      <c r="D318" s="1" t="s">
        <v>2675</v>
      </c>
      <c r="E318" s="1" t="s">
        <v>1664</v>
      </c>
      <c r="F318" s="1">
        <v>1</v>
      </c>
      <c r="G318" s="1"/>
      <c r="H318" s="1"/>
      <c r="I318" s="1"/>
      <c r="J318" s="1" t="str">
        <f t="shared" si="4"/>
        <v/>
      </c>
    </row>
    <row r="319" spans="1:10" ht="14.25" customHeight="1" x14ac:dyDescent="0.2">
      <c r="A319" s="1" t="s">
        <v>572</v>
      </c>
      <c r="B319" s="1" t="s">
        <v>569</v>
      </c>
      <c r="C319" s="1">
        <v>619362</v>
      </c>
      <c r="D319" s="1" t="s">
        <v>2516</v>
      </c>
      <c r="E319" s="1" t="s">
        <v>1570</v>
      </c>
      <c r="F319" s="1">
        <v>1</v>
      </c>
      <c r="G319" s="1"/>
      <c r="H319" s="1"/>
      <c r="I319" s="1"/>
      <c r="J319" s="1" t="str">
        <f t="shared" si="4"/>
        <v/>
      </c>
    </row>
    <row r="320" spans="1:10" ht="14.25" customHeight="1" x14ac:dyDescent="0.2">
      <c r="A320" s="1" t="s">
        <v>573</v>
      </c>
      <c r="B320" s="1" t="s">
        <v>569</v>
      </c>
      <c r="C320" s="1">
        <v>646965</v>
      </c>
      <c r="D320" s="1" t="s">
        <v>2517</v>
      </c>
      <c r="E320" s="1" t="s">
        <v>1570</v>
      </c>
      <c r="F320" s="1">
        <v>1</v>
      </c>
      <c r="G320" s="1"/>
      <c r="H320" s="1"/>
      <c r="I320" s="1"/>
      <c r="J320" s="1" t="str">
        <f t="shared" si="4"/>
        <v/>
      </c>
    </row>
    <row r="321" spans="1:10" ht="14.25" customHeight="1" x14ac:dyDescent="0.2">
      <c r="A321" s="1" t="s">
        <v>504</v>
      </c>
      <c r="B321" s="1" t="s">
        <v>86</v>
      </c>
      <c r="C321" s="1">
        <v>23987611</v>
      </c>
      <c r="D321" s="1" t="s">
        <v>2459</v>
      </c>
      <c r="E321" s="1" t="s">
        <v>1544</v>
      </c>
      <c r="F321" s="1">
        <v>1</v>
      </c>
      <c r="G321" s="1"/>
      <c r="H321" s="1"/>
      <c r="I321" s="1"/>
      <c r="J321" s="1" t="str">
        <f t="shared" si="4"/>
        <v/>
      </c>
    </row>
    <row r="322" spans="1:10" ht="14.25" customHeight="1" x14ac:dyDescent="0.2">
      <c r="A322" s="1" t="s">
        <v>172</v>
      </c>
      <c r="B322" s="1" t="s">
        <v>40</v>
      </c>
      <c r="C322" s="1">
        <v>72039491</v>
      </c>
      <c r="D322" s="1" t="s">
        <v>2151</v>
      </c>
      <c r="E322" s="1" t="s">
        <v>171</v>
      </c>
      <c r="F322" s="1" t="s">
        <v>2062</v>
      </c>
      <c r="G322" s="1"/>
      <c r="H322" s="1" t="s">
        <v>3763</v>
      </c>
      <c r="I322" s="1"/>
      <c r="J322" s="1" t="str">
        <f t="shared" si="4"/>
        <v>纠后正确</v>
      </c>
    </row>
    <row r="323" spans="1:10" ht="14.25" customHeight="1" x14ac:dyDescent="0.2">
      <c r="A323" s="1" t="s">
        <v>740</v>
      </c>
      <c r="B323" s="1" t="s">
        <v>40</v>
      </c>
      <c r="C323" s="1">
        <v>72023728</v>
      </c>
      <c r="D323" s="1" t="s">
        <v>3346</v>
      </c>
      <c r="E323" s="1" t="s">
        <v>171</v>
      </c>
      <c r="F323" s="1" t="s">
        <v>2062</v>
      </c>
      <c r="G323" s="1"/>
      <c r="H323" s="1" t="s">
        <v>3763</v>
      </c>
      <c r="I323" s="1"/>
      <c r="J323" s="1" t="str">
        <f t="shared" ref="J323:J386" si="5">IF(H323="",IF(I323="","",I323),H323)</f>
        <v>纠后正确</v>
      </c>
    </row>
    <row r="324" spans="1:10" ht="14.25" customHeight="1" x14ac:dyDescent="0.2">
      <c r="A324" s="1" t="s">
        <v>1336</v>
      </c>
      <c r="B324" s="1" t="s">
        <v>43</v>
      </c>
      <c r="C324" s="1">
        <v>24666789</v>
      </c>
      <c r="D324" s="1" t="s">
        <v>3155</v>
      </c>
      <c r="E324" s="1" t="s">
        <v>1946</v>
      </c>
      <c r="F324" s="1">
        <v>1</v>
      </c>
      <c r="G324" s="1"/>
      <c r="H324" s="1"/>
      <c r="I324" s="1"/>
      <c r="J324" s="1" t="str">
        <f t="shared" si="5"/>
        <v/>
      </c>
    </row>
    <row r="325" spans="1:10" ht="14.25" customHeight="1" x14ac:dyDescent="0.2">
      <c r="A325" s="1" t="s">
        <v>1127</v>
      </c>
      <c r="B325" s="1" t="s">
        <v>121</v>
      </c>
      <c r="C325" s="1">
        <v>27078218</v>
      </c>
      <c r="D325" s="1" t="s">
        <v>2989</v>
      </c>
      <c r="E325" s="1" t="s">
        <v>1844</v>
      </c>
      <c r="F325" s="1">
        <v>1</v>
      </c>
      <c r="G325" s="1"/>
      <c r="H325" s="1"/>
      <c r="I325" s="1"/>
      <c r="J325" s="1" t="str">
        <f t="shared" si="5"/>
        <v/>
      </c>
    </row>
    <row r="326" spans="1:10" ht="14.25" customHeight="1" x14ac:dyDescent="0.2">
      <c r="A326" s="1" t="s">
        <v>688</v>
      </c>
      <c r="B326" s="1" t="s">
        <v>175</v>
      </c>
      <c r="C326" s="1">
        <v>49518112</v>
      </c>
      <c r="D326" s="1" t="s">
        <v>2624</v>
      </c>
      <c r="E326" s="1" t="s">
        <v>1636</v>
      </c>
      <c r="F326" s="1">
        <v>1</v>
      </c>
      <c r="G326" s="1"/>
      <c r="H326" s="1"/>
      <c r="I326" s="1"/>
      <c r="J326" s="1" t="str">
        <f t="shared" si="5"/>
        <v/>
      </c>
    </row>
    <row r="327" spans="1:10" ht="14.25" customHeight="1" x14ac:dyDescent="0.2">
      <c r="A327" s="1" t="s">
        <v>435</v>
      </c>
      <c r="B327" s="1" t="s">
        <v>1</v>
      </c>
      <c r="C327" s="1">
        <v>102013822</v>
      </c>
      <c r="D327" s="1" t="s">
        <v>2400</v>
      </c>
      <c r="E327" s="1" t="s">
        <v>1515</v>
      </c>
      <c r="F327" s="1">
        <v>1</v>
      </c>
      <c r="G327" s="1"/>
      <c r="H327" s="1"/>
      <c r="I327" s="1"/>
      <c r="J327" s="1" t="str">
        <f t="shared" si="5"/>
        <v/>
      </c>
    </row>
    <row r="328" spans="1:10" ht="14.25" customHeight="1" x14ac:dyDescent="0.2">
      <c r="A328" s="1" t="s">
        <v>70</v>
      </c>
      <c r="B328" s="1" t="s">
        <v>1</v>
      </c>
      <c r="C328" s="1">
        <v>24346349</v>
      </c>
      <c r="D328" s="1" t="s">
        <v>2092</v>
      </c>
      <c r="E328" s="1" t="s">
        <v>69</v>
      </c>
      <c r="F328" s="1" t="s">
        <v>2062</v>
      </c>
      <c r="G328" s="1"/>
      <c r="H328" s="1" t="s">
        <v>3763</v>
      </c>
      <c r="I328" s="1"/>
      <c r="J328" s="1" t="str">
        <f t="shared" si="5"/>
        <v>纠后正确</v>
      </c>
    </row>
    <row r="329" spans="1:10" ht="14.25" customHeight="1" x14ac:dyDescent="0.2">
      <c r="A329" s="1" t="s">
        <v>581</v>
      </c>
      <c r="B329" s="1" t="s">
        <v>569</v>
      </c>
      <c r="C329" s="1">
        <v>4269427</v>
      </c>
      <c r="D329" s="1" t="s">
        <v>2524</v>
      </c>
      <c r="E329" s="1" t="s">
        <v>1573</v>
      </c>
      <c r="F329" s="1">
        <v>1</v>
      </c>
      <c r="G329" s="1"/>
      <c r="H329" s="1"/>
      <c r="I329" s="1"/>
      <c r="J329" s="1" t="str">
        <f t="shared" si="5"/>
        <v/>
      </c>
    </row>
    <row r="330" spans="1:10" ht="14.25" customHeight="1" x14ac:dyDescent="0.2">
      <c r="A330" s="1" t="s">
        <v>8760</v>
      </c>
      <c r="B330" s="1" t="s">
        <v>121</v>
      </c>
      <c r="C330" s="1">
        <v>8619501</v>
      </c>
      <c r="D330" s="1" t="s">
        <v>3380</v>
      </c>
      <c r="E330" s="1" t="s">
        <v>2045</v>
      </c>
      <c r="F330" s="1" t="s">
        <v>2062</v>
      </c>
      <c r="G330" s="4" t="s">
        <v>8790</v>
      </c>
      <c r="H330" s="1"/>
      <c r="I330" s="1"/>
      <c r="J330" s="1" t="str">
        <f t="shared" si="5"/>
        <v/>
      </c>
    </row>
    <row r="331" spans="1:10" ht="14.25" customHeight="1" x14ac:dyDescent="0.2">
      <c r="A331" s="1" t="s">
        <v>937</v>
      </c>
      <c r="B331" s="1" t="s">
        <v>36</v>
      </c>
      <c r="C331" s="1">
        <v>63228875</v>
      </c>
      <c r="D331" s="1" t="s">
        <v>2837</v>
      </c>
      <c r="E331" s="1" t="s">
        <v>1750</v>
      </c>
      <c r="F331" s="1">
        <v>1</v>
      </c>
      <c r="G331" s="1"/>
      <c r="H331" s="1"/>
      <c r="I331" s="1"/>
      <c r="J331" s="1" t="str">
        <f t="shared" si="5"/>
        <v/>
      </c>
    </row>
    <row r="332" spans="1:10" ht="14.25" customHeight="1" x14ac:dyDescent="0.2">
      <c r="A332" s="1" t="s">
        <v>936</v>
      </c>
      <c r="B332" s="1" t="s">
        <v>36</v>
      </c>
      <c r="C332" s="1">
        <v>63228875</v>
      </c>
      <c r="D332" s="1" t="s">
        <v>2836</v>
      </c>
      <c r="E332" s="1" t="s">
        <v>1750</v>
      </c>
      <c r="F332" s="1">
        <v>1</v>
      </c>
      <c r="G332" s="1"/>
      <c r="H332" s="1"/>
      <c r="I332" s="1"/>
      <c r="J332" s="1" t="str">
        <f t="shared" si="5"/>
        <v/>
      </c>
    </row>
    <row r="333" spans="1:10" ht="14.25" customHeight="1" x14ac:dyDescent="0.2">
      <c r="A333" s="1" t="s">
        <v>366</v>
      </c>
      <c r="B333" s="1" t="s">
        <v>139</v>
      </c>
      <c r="C333" s="1">
        <v>98185313</v>
      </c>
      <c r="D333" s="1" t="s">
        <v>2342</v>
      </c>
      <c r="E333" s="1" t="s">
        <v>1481</v>
      </c>
      <c r="F333" s="1">
        <v>1</v>
      </c>
      <c r="G333" s="1"/>
      <c r="H333" s="1"/>
      <c r="I333" s="1"/>
      <c r="J333" s="1" t="str">
        <f t="shared" si="5"/>
        <v/>
      </c>
    </row>
    <row r="334" spans="1:10" ht="14.25" customHeight="1" x14ac:dyDescent="0.2">
      <c r="A334" s="1" t="s">
        <v>958</v>
      </c>
      <c r="B334" s="1" t="s">
        <v>36</v>
      </c>
      <c r="C334" s="1">
        <v>67776047</v>
      </c>
      <c r="D334" s="1" t="s">
        <v>2267</v>
      </c>
      <c r="E334" s="1" t="s">
        <v>269</v>
      </c>
      <c r="F334" s="1" t="s">
        <v>3406</v>
      </c>
      <c r="G334" s="1"/>
      <c r="H334" s="1" t="s">
        <v>3763</v>
      </c>
      <c r="I334" s="1"/>
      <c r="J334" s="1" t="str">
        <f t="shared" si="5"/>
        <v>纠后正确</v>
      </c>
    </row>
    <row r="335" spans="1:10" ht="14.25" customHeight="1" x14ac:dyDescent="0.2">
      <c r="A335" s="1" t="s">
        <v>336</v>
      </c>
      <c r="B335" s="1" t="s">
        <v>139</v>
      </c>
      <c r="C335" s="1">
        <v>33145506</v>
      </c>
      <c r="D335" s="1" t="s">
        <v>2315</v>
      </c>
      <c r="E335" s="1" t="s">
        <v>1469</v>
      </c>
      <c r="F335" s="1">
        <v>1</v>
      </c>
      <c r="G335" s="1"/>
      <c r="H335" s="1"/>
      <c r="I335" s="1"/>
      <c r="J335" s="1" t="str">
        <f t="shared" si="5"/>
        <v/>
      </c>
    </row>
    <row r="336" spans="1:10" ht="14.25" customHeight="1" x14ac:dyDescent="0.2">
      <c r="A336" s="1" t="s">
        <v>722</v>
      </c>
      <c r="B336" s="1" t="s">
        <v>40</v>
      </c>
      <c r="C336" s="1">
        <v>50135681</v>
      </c>
      <c r="D336" s="1" t="s">
        <v>2654</v>
      </c>
      <c r="E336" s="1" t="s">
        <v>1655</v>
      </c>
      <c r="F336" s="1">
        <v>1</v>
      </c>
      <c r="G336" s="1"/>
      <c r="H336" s="1"/>
      <c r="I336" s="1"/>
      <c r="J336" s="1" t="str">
        <f t="shared" si="5"/>
        <v/>
      </c>
    </row>
    <row r="337" spans="1:10" ht="14.25" customHeight="1" x14ac:dyDescent="0.2">
      <c r="A337" s="1" t="s">
        <v>1319</v>
      </c>
      <c r="B337" s="1" t="s">
        <v>241</v>
      </c>
      <c r="C337" s="1">
        <v>34162983</v>
      </c>
      <c r="D337" s="1" t="s">
        <v>3143</v>
      </c>
      <c r="E337" s="1" t="s">
        <v>1939</v>
      </c>
      <c r="F337" s="1">
        <v>1</v>
      </c>
      <c r="G337" s="1"/>
      <c r="H337" s="1"/>
      <c r="I337" s="1"/>
      <c r="J337" s="1" t="str">
        <f t="shared" si="5"/>
        <v/>
      </c>
    </row>
    <row r="338" spans="1:10" ht="14.25" customHeight="1" x14ac:dyDescent="0.2">
      <c r="A338" s="1" t="s">
        <v>1317</v>
      </c>
      <c r="B338" s="1" t="s">
        <v>241</v>
      </c>
      <c r="C338" s="1">
        <v>34162983</v>
      </c>
      <c r="D338" s="1" t="s">
        <v>3141</v>
      </c>
      <c r="E338" s="1" t="s">
        <v>1939</v>
      </c>
      <c r="F338" s="1">
        <v>1</v>
      </c>
      <c r="G338" s="1"/>
      <c r="H338" s="1"/>
      <c r="I338" s="1"/>
      <c r="J338" s="1" t="str">
        <f t="shared" si="5"/>
        <v/>
      </c>
    </row>
    <row r="339" spans="1:10" ht="14.25" customHeight="1" x14ac:dyDescent="0.2">
      <c r="A339" s="1" t="s">
        <v>1305</v>
      </c>
      <c r="B339" s="1" t="s">
        <v>53</v>
      </c>
      <c r="C339" s="1">
        <v>48740273</v>
      </c>
      <c r="D339" s="1" t="s">
        <v>3131</v>
      </c>
      <c r="E339" s="1" t="s">
        <v>1933</v>
      </c>
      <c r="F339" s="1">
        <v>1</v>
      </c>
      <c r="G339" s="1"/>
      <c r="H339" s="1"/>
      <c r="I339" s="1"/>
      <c r="J339" s="1" t="str">
        <f t="shared" si="5"/>
        <v/>
      </c>
    </row>
    <row r="340" spans="1:10" ht="14.25" customHeight="1" x14ac:dyDescent="0.2">
      <c r="A340" s="1" t="s">
        <v>127</v>
      </c>
      <c r="B340" s="1" t="s">
        <v>53</v>
      </c>
      <c r="C340" s="1">
        <v>21106623</v>
      </c>
      <c r="D340" s="1" t="s">
        <v>2122</v>
      </c>
      <c r="E340" s="1" t="s">
        <v>126</v>
      </c>
      <c r="F340" s="1" t="s">
        <v>2062</v>
      </c>
      <c r="G340" s="1"/>
      <c r="H340" s="1" t="s">
        <v>3763</v>
      </c>
      <c r="I340" s="1"/>
      <c r="J340" s="1" t="str">
        <f t="shared" si="5"/>
        <v>纠后正确</v>
      </c>
    </row>
    <row r="341" spans="1:10" ht="14.25" customHeight="1" x14ac:dyDescent="0.2">
      <c r="A341" s="1" t="s">
        <v>128</v>
      </c>
      <c r="B341" s="1" t="s">
        <v>53</v>
      </c>
      <c r="C341" s="1">
        <v>21106623</v>
      </c>
      <c r="D341" s="1" t="s">
        <v>2123</v>
      </c>
      <c r="E341" s="1" t="s">
        <v>126</v>
      </c>
      <c r="F341" s="1" t="s">
        <v>2062</v>
      </c>
      <c r="G341" s="1"/>
      <c r="H341" s="1" t="s">
        <v>3763</v>
      </c>
      <c r="I341" s="1"/>
      <c r="J341" s="1" t="str">
        <f t="shared" si="5"/>
        <v>纠后正确</v>
      </c>
    </row>
    <row r="342" spans="1:10" ht="14.25" customHeight="1" x14ac:dyDescent="0.2">
      <c r="A342" s="1" t="s">
        <v>383</v>
      </c>
      <c r="B342" s="1" t="s">
        <v>139</v>
      </c>
      <c r="C342" s="1">
        <v>150969300</v>
      </c>
      <c r="D342" s="1" t="s">
        <v>2359</v>
      </c>
      <c r="E342" s="1" t="s">
        <v>1488</v>
      </c>
      <c r="F342" s="1">
        <v>1</v>
      </c>
      <c r="G342" s="1"/>
      <c r="H342" s="1"/>
      <c r="I342" s="1"/>
      <c r="J342" s="1" t="str">
        <f t="shared" si="5"/>
        <v/>
      </c>
    </row>
    <row r="343" spans="1:10" ht="14.25" customHeight="1" x14ac:dyDescent="0.2">
      <c r="A343" s="1" t="s">
        <v>387</v>
      </c>
      <c r="B343" s="1" t="s">
        <v>139</v>
      </c>
      <c r="C343" s="1">
        <v>150969300</v>
      </c>
      <c r="D343" s="1" t="s">
        <v>2363</v>
      </c>
      <c r="E343" s="1" t="s">
        <v>1488</v>
      </c>
      <c r="F343" s="1">
        <v>1</v>
      </c>
      <c r="G343" s="1"/>
      <c r="H343" s="1"/>
      <c r="I343" s="1"/>
      <c r="J343" s="1" t="str">
        <f t="shared" si="5"/>
        <v/>
      </c>
    </row>
    <row r="344" spans="1:10" ht="14.25" customHeight="1" x14ac:dyDescent="0.2">
      <c r="A344" s="1" t="s">
        <v>386</v>
      </c>
      <c r="B344" s="1" t="s">
        <v>139</v>
      </c>
      <c r="C344" s="1">
        <v>150969300</v>
      </c>
      <c r="D344" s="1" t="s">
        <v>2362</v>
      </c>
      <c r="E344" s="1" t="s">
        <v>1488</v>
      </c>
      <c r="F344" s="1">
        <v>1</v>
      </c>
      <c r="G344" s="1"/>
      <c r="H344" s="1"/>
      <c r="I344" s="1"/>
      <c r="J344" s="1" t="str">
        <f t="shared" si="5"/>
        <v/>
      </c>
    </row>
    <row r="345" spans="1:10" ht="14.25" customHeight="1" x14ac:dyDescent="0.2">
      <c r="A345" s="1" t="s">
        <v>616</v>
      </c>
      <c r="B345" s="1" t="s">
        <v>569</v>
      </c>
      <c r="C345" s="1">
        <v>106967232</v>
      </c>
      <c r="D345" s="1" t="s">
        <v>2558</v>
      </c>
      <c r="E345" s="1" t="s">
        <v>1590</v>
      </c>
      <c r="F345" s="1">
        <v>1</v>
      </c>
      <c r="G345" s="1"/>
      <c r="H345" s="1"/>
      <c r="I345" s="1"/>
      <c r="J345" s="1" t="str">
        <f t="shared" si="5"/>
        <v/>
      </c>
    </row>
    <row r="346" spans="1:10" ht="14.25" customHeight="1" x14ac:dyDescent="0.2">
      <c r="A346" s="1" t="s">
        <v>613</v>
      </c>
      <c r="B346" s="1" t="s">
        <v>569</v>
      </c>
      <c r="C346" s="1">
        <v>106967232</v>
      </c>
      <c r="D346" s="1" t="s">
        <v>2555</v>
      </c>
      <c r="E346" s="1" t="s">
        <v>1590</v>
      </c>
      <c r="F346" s="1">
        <v>1</v>
      </c>
      <c r="G346" s="1"/>
      <c r="H346" s="1"/>
      <c r="I346" s="1"/>
      <c r="J346" s="1" t="str">
        <f t="shared" si="5"/>
        <v/>
      </c>
    </row>
    <row r="347" spans="1:10" ht="14.25" customHeight="1" x14ac:dyDescent="0.2">
      <c r="A347" s="1" t="s">
        <v>615</v>
      </c>
      <c r="B347" s="1" t="s">
        <v>569</v>
      </c>
      <c r="C347" s="1">
        <v>106967232</v>
      </c>
      <c r="D347" s="1" t="s">
        <v>2557</v>
      </c>
      <c r="E347" s="1" t="s">
        <v>1590</v>
      </c>
      <c r="F347" s="1">
        <v>1</v>
      </c>
      <c r="G347" s="1"/>
      <c r="H347" s="1"/>
      <c r="I347" s="1"/>
      <c r="J347" s="1" t="str">
        <f t="shared" si="5"/>
        <v/>
      </c>
    </row>
    <row r="348" spans="1:10" ht="14.25" customHeight="1" x14ac:dyDescent="0.2">
      <c r="A348" s="1" t="s">
        <v>1059</v>
      </c>
      <c r="B348" s="1" t="s">
        <v>106</v>
      </c>
      <c r="C348" s="1">
        <v>47127295</v>
      </c>
      <c r="D348" s="1" t="s">
        <v>2932</v>
      </c>
      <c r="E348" s="1" t="s">
        <v>1806</v>
      </c>
      <c r="F348" s="1">
        <v>1</v>
      </c>
      <c r="G348" s="1"/>
      <c r="H348" s="1"/>
      <c r="I348" s="1"/>
      <c r="J348" s="1" t="str">
        <f t="shared" si="5"/>
        <v/>
      </c>
    </row>
    <row r="349" spans="1:10" ht="14.25" customHeight="1" x14ac:dyDescent="0.2">
      <c r="A349" s="1" t="s">
        <v>1058</v>
      </c>
      <c r="B349" s="1" t="s">
        <v>106</v>
      </c>
      <c r="C349" s="1">
        <v>47127295</v>
      </c>
      <c r="D349" s="1" t="s">
        <v>2931</v>
      </c>
      <c r="E349" s="1" t="s">
        <v>1806</v>
      </c>
      <c r="F349" s="1">
        <v>1</v>
      </c>
      <c r="G349" s="1"/>
      <c r="H349" s="1"/>
      <c r="I349" s="1"/>
      <c r="J349" s="1" t="str">
        <f t="shared" si="5"/>
        <v/>
      </c>
    </row>
    <row r="350" spans="1:10" ht="14.25" customHeight="1" x14ac:dyDescent="0.2">
      <c r="A350" s="1" t="s">
        <v>150</v>
      </c>
      <c r="B350" s="1" t="s">
        <v>36</v>
      </c>
      <c r="C350" s="1">
        <v>118895060</v>
      </c>
      <c r="D350" s="1" t="s">
        <v>2136</v>
      </c>
      <c r="E350" s="1" t="s">
        <v>149</v>
      </c>
      <c r="F350" s="1" t="s">
        <v>2062</v>
      </c>
      <c r="G350" s="1"/>
      <c r="H350" s="1" t="s">
        <v>3763</v>
      </c>
      <c r="I350" s="1"/>
      <c r="J350" s="1" t="str">
        <f t="shared" si="5"/>
        <v>纠后正确</v>
      </c>
    </row>
    <row r="351" spans="1:10" ht="14.25" customHeight="1" x14ac:dyDescent="0.2">
      <c r="A351" s="1" t="s">
        <v>151</v>
      </c>
      <c r="B351" s="1" t="s">
        <v>36</v>
      </c>
      <c r="C351" s="1">
        <v>118895060</v>
      </c>
      <c r="D351" s="1" t="s">
        <v>2137</v>
      </c>
      <c r="E351" s="1" t="s">
        <v>149</v>
      </c>
      <c r="F351" s="1" t="s">
        <v>2062</v>
      </c>
      <c r="G351" s="1"/>
      <c r="H351" s="1" t="s">
        <v>3763</v>
      </c>
      <c r="I351" s="1"/>
      <c r="J351" s="1" t="str">
        <f t="shared" si="5"/>
        <v>纠后正确</v>
      </c>
    </row>
    <row r="352" spans="1:10" ht="14.25" customHeight="1" x14ac:dyDescent="0.2">
      <c r="A352" s="1" t="s">
        <v>152</v>
      </c>
      <c r="B352" s="1" t="s">
        <v>36</v>
      </c>
      <c r="C352" s="1">
        <v>118895060</v>
      </c>
      <c r="D352" s="1" t="s">
        <v>2138</v>
      </c>
      <c r="E352" s="1" t="s">
        <v>149</v>
      </c>
      <c r="F352" s="1" t="s">
        <v>2062</v>
      </c>
      <c r="G352" s="1"/>
      <c r="H352" s="1" t="s">
        <v>3763</v>
      </c>
      <c r="I352" s="1"/>
      <c r="J352" s="1" t="str">
        <f t="shared" si="5"/>
        <v>纠后正确</v>
      </c>
    </row>
    <row r="353" spans="1:10" ht="14.25" customHeight="1" x14ac:dyDescent="0.2">
      <c r="A353" s="1" t="s">
        <v>153</v>
      </c>
      <c r="B353" s="1" t="s">
        <v>36</v>
      </c>
      <c r="C353" s="1">
        <v>118895060</v>
      </c>
      <c r="D353" s="1" t="s">
        <v>2139</v>
      </c>
      <c r="E353" s="1" t="s">
        <v>149</v>
      </c>
      <c r="F353" s="1" t="s">
        <v>2062</v>
      </c>
      <c r="G353" s="1"/>
      <c r="H353" s="1" t="s">
        <v>3763</v>
      </c>
      <c r="I353" s="1"/>
      <c r="J353" s="1" t="str">
        <f t="shared" si="5"/>
        <v>纠后正确</v>
      </c>
    </row>
    <row r="354" spans="1:10" ht="14.25" customHeight="1" x14ac:dyDescent="0.2">
      <c r="A354" s="1" t="s">
        <v>360</v>
      </c>
      <c r="B354" s="1" t="s">
        <v>139</v>
      </c>
      <c r="C354" s="1">
        <v>93544791</v>
      </c>
      <c r="D354" s="1" t="s">
        <v>2336</v>
      </c>
      <c r="E354" s="1" t="s">
        <v>1479</v>
      </c>
      <c r="F354" s="1">
        <v>1</v>
      </c>
      <c r="G354" s="1"/>
      <c r="H354" s="1"/>
      <c r="I354" s="1"/>
      <c r="J354" s="1" t="str">
        <f t="shared" si="5"/>
        <v/>
      </c>
    </row>
    <row r="355" spans="1:10" ht="14.25" customHeight="1" x14ac:dyDescent="0.2">
      <c r="A355" s="1" t="s">
        <v>359</v>
      </c>
      <c r="B355" s="1" t="s">
        <v>139</v>
      </c>
      <c r="C355" s="1">
        <v>93544791</v>
      </c>
      <c r="D355" s="1" t="s">
        <v>2335</v>
      </c>
      <c r="E355" s="1" t="s">
        <v>1479</v>
      </c>
      <c r="F355" s="1">
        <v>1</v>
      </c>
      <c r="G355" s="1"/>
      <c r="H355" s="1"/>
      <c r="I355" s="1"/>
      <c r="J355" s="1" t="str">
        <f t="shared" si="5"/>
        <v/>
      </c>
    </row>
    <row r="356" spans="1:10" ht="14.25" customHeight="1" x14ac:dyDescent="0.2">
      <c r="A356" s="1" t="s">
        <v>361</v>
      </c>
      <c r="B356" s="1" t="s">
        <v>139</v>
      </c>
      <c r="C356" s="1">
        <v>93544791</v>
      </c>
      <c r="D356" s="1" t="s">
        <v>2337</v>
      </c>
      <c r="E356" s="1" t="s">
        <v>1479</v>
      </c>
      <c r="F356" s="1">
        <v>1</v>
      </c>
      <c r="G356" s="1"/>
      <c r="H356" s="1"/>
      <c r="I356" s="1"/>
      <c r="J356" s="1" t="str">
        <f t="shared" si="5"/>
        <v/>
      </c>
    </row>
    <row r="357" spans="1:10" ht="14.25" customHeight="1" x14ac:dyDescent="0.2">
      <c r="A357" s="1" t="s">
        <v>447</v>
      </c>
      <c r="B357" s="1" t="s">
        <v>1</v>
      </c>
      <c r="C357" s="1">
        <v>152341852</v>
      </c>
      <c r="D357" s="1" t="s">
        <v>2411</v>
      </c>
      <c r="E357" s="1" t="s">
        <v>1520</v>
      </c>
      <c r="F357" s="1">
        <v>1</v>
      </c>
      <c r="G357" s="1"/>
      <c r="H357" s="1"/>
      <c r="I357" s="1"/>
      <c r="J357" s="1" t="str">
        <f t="shared" si="5"/>
        <v/>
      </c>
    </row>
    <row r="358" spans="1:10" ht="14.25" customHeight="1" x14ac:dyDescent="0.2">
      <c r="A358" s="1" t="s">
        <v>446</v>
      </c>
      <c r="B358" s="1" t="s">
        <v>1</v>
      </c>
      <c r="C358" s="1">
        <v>152341852</v>
      </c>
      <c r="D358" s="1" t="s">
        <v>2410</v>
      </c>
      <c r="E358" s="1" t="s">
        <v>1520</v>
      </c>
      <c r="F358" s="1">
        <v>1</v>
      </c>
      <c r="G358" s="1"/>
      <c r="H358" s="1"/>
      <c r="I358" s="1"/>
      <c r="J358" s="1" t="str">
        <f t="shared" si="5"/>
        <v/>
      </c>
    </row>
    <row r="359" spans="1:10" ht="14.25" customHeight="1" x14ac:dyDescent="0.2">
      <c r="A359" s="1" t="s">
        <v>1066</v>
      </c>
      <c r="B359" s="1" t="s">
        <v>81</v>
      </c>
      <c r="C359" s="1">
        <v>23527772</v>
      </c>
      <c r="D359" s="1" t="s">
        <v>2937</v>
      </c>
      <c r="E359" s="1" t="s">
        <v>1809</v>
      </c>
      <c r="F359" s="1">
        <v>1</v>
      </c>
      <c r="G359" s="1"/>
      <c r="H359" s="1"/>
      <c r="I359" s="1"/>
      <c r="J359" s="1" t="str">
        <f t="shared" si="5"/>
        <v/>
      </c>
    </row>
    <row r="360" spans="1:10" ht="14.25" customHeight="1" x14ac:dyDescent="0.2">
      <c r="A360" s="1" t="s">
        <v>1065</v>
      </c>
      <c r="B360" s="1" t="s">
        <v>81</v>
      </c>
      <c r="C360" s="1">
        <v>23527772</v>
      </c>
      <c r="D360" s="1" t="s">
        <v>2936</v>
      </c>
      <c r="E360" s="1" t="s">
        <v>1809</v>
      </c>
      <c r="F360" s="1">
        <v>1</v>
      </c>
      <c r="G360" s="1"/>
      <c r="H360" s="1"/>
      <c r="I360" s="1"/>
      <c r="J360" s="1" t="str">
        <f t="shared" si="5"/>
        <v/>
      </c>
    </row>
    <row r="361" spans="1:10" ht="14.25" customHeight="1" x14ac:dyDescent="0.2">
      <c r="A361" s="1" t="s">
        <v>515</v>
      </c>
      <c r="B361" s="1" t="s">
        <v>86</v>
      </c>
      <c r="C361" s="1">
        <v>49507564</v>
      </c>
      <c r="D361" s="1" t="s">
        <v>2469</v>
      </c>
      <c r="E361" s="1" t="s">
        <v>1546</v>
      </c>
      <c r="F361" s="1">
        <v>1</v>
      </c>
      <c r="G361" s="1"/>
      <c r="H361" s="1"/>
      <c r="I361" s="1"/>
      <c r="J361" s="1" t="str">
        <f t="shared" si="5"/>
        <v/>
      </c>
    </row>
    <row r="362" spans="1:10" ht="14.25" customHeight="1" x14ac:dyDescent="0.2">
      <c r="A362" s="1" t="s">
        <v>1339</v>
      </c>
      <c r="B362" s="1" t="s">
        <v>43</v>
      </c>
      <c r="C362" s="1">
        <v>29723668</v>
      </c>
      <c r="D362" s="1" t="s">
        <v>3158</v>
      </c>
      <c r="E362" s="1" t="s">
        <v>1947</v>
      </c>
      <c r="F362" s="1">
        <v>1</v>
      </c>
      <c r="G362" s="1"/>
      <c r="H362" s="1"/>
      <c r="I362" s="1"/>
      <c r="J362" s="1" t="str">
        <f t="shared" si="5"/>
        <v/>
      </c>
    </row>
    <row r="363" spans="1:10" ht="14.25" customHeight="1" x14ac:dyDescent="0.2">
      <c r="A363" s="1" t="s">
        <v>763</v>
      </c>
      <c r="B363" s="1" t="s">
        <v>40</v>
      </c>
      <c r="C363" s="1">
        <v>139528951</v>
      </c>
      <c r="D363" s="1" t="s">
        <v>2685</v>
      </c>
      <c r="E363" s="1" t="s">
        <v>1671</v>
      </c>
      <c r="F363" s="1">
        <v>1</v>
      </c>
      <c r="G363" s="1"/>
      <c r="H363" s="1"/>
      <c r="I363" s="1"/>
      <c r="J363" s="1" t="str">
        <f t="shared" si="5"/>
        <v/>
      </c>
    </row>
    <row r="364" spans="1:10" ht="14.25" customHeight="1" x14ac:dyDescent="0.2">
      <c r="A364" s="1" t="s">
        <v>762</v>
      </c>
      <c r="B364" s="1" t="s">
        <v>40</v>
      </c>
      <c r="C364" s="1">
        <v>139478046</v>
      </c>
      <c r="D364" s="1" t="s">
        <v>2684</v>
      </c>
      <c r="E364" s="1" t="s">
        <v>1671</v>
      </c>
      <c r="F364" s="1">
        <v>1</v>
      </c>
      <c r="G364" s="1"/>
      <c r="H364" s="1"/>
      <c r="I364" s="1"/>
      <c r="J364" s="1" t="str">
        <f t="shared" si="5"/>
        <v/>
      </c>
    </row>
    <row r="365" spans="1:10" ht="14.25" customHeight="1" x14ac:dyDescent="0.2">
      <c r="A365" s="1" t="s">
        <v>418</v>
      </c>
      <c r="B365" s="1" t="s">
        <v>1</v>
      </c>
      <c r="C365" s="1">
        <v>33359663</v>
      </c>
      <c r="D365" s="1" t="s">
        <v>2390</v>
      </c>
      <c r="E365" s="1" t="s">
        <v>1509</v>
      </c>
      <c r="F365" s="1">
        <v>1</v>
      </c>
      <c r="G365" s="1"/>
      <c r="H365" s="1"/>
      <c r="I365" s="1"/>
      <c r="J365" s="1" t="str">
        <f t="shared" si="5"/>
        <v/>
      </c>
    </row>
    <row r="366" spans="1:10" ht="14.25" customHeight="1" x14ac:dyDescent="0.2">
      <c r="A366" s="1" t="s">
        <v>419</v>
      </c>
      <c r="B366" s="1" t="s">
        <v>1</v>
      </c>
      <c r="C366" s="1">
        <v>33359663</v>
      </c>
      <c r="D366" s="1" t="s">
        <v>2391</v>
      </c>
      <c r="E366" s="1" t="s">
        <v>1509</v>
      </c>
      <c r="F366" s="1">
        <v>1</v>
      </c>
      <c r="G366" s="1"/>
      <c r="H366" s="1"/>
      <c r="I366" s="1"/>
      <c r="J366" s="1" t="str">
        <f t="shared" si="5"/>
        <v/>
      </c>
    </row>
    <row r="367" spans="1:10" ht="14.25" customHeight="1" x14ac:dyDescent="0.2">
      <c r="A367" s="1" t="s">
        <v>420</v>
      </c>
      <c r="B367" s="1" t="s">
        <v>1</v>
      </c>
      <c r="C367" s="1">
        <v>33359663</v>
      </c>
      <c r="D367" s="1" t="s">
        <v>2392</v>
      </c>
      <c r="E367" s="1" t="s">
        <v>1509</v>
      </c>
      <c r="F367" s="1">
        <v>1</v>
      </c>
      <c r="G367" s="1"/>
      <c r="H367" s="1"/>
      <c r="I367" s="1"/>
      <c r="J367" s="1" t="str">
        <f t="shared" si="5"/>
        <v/>
      </c>
    </row>
    <row r="368" spans="1:10" ht="14.25" customHeight="1" x14ac:dyDescent="0.2">
      <c r="A368" s="1" t="s">
        <v>1034</v>
      </c>
      <c r="B368" s="1" t="s">
        <v>212</v>
      </c>
      <c r="C368" s="1">
        <v>56710006</v>
      </c>
      <c r="D368" s="1" t="s">
        <v>2910</v>
      </c>
      <c r="E368" s="1" t="s">
        <v>1788</v>
      </c>
      <c r="F368" s="1">
        <v>1</v>
      </c>
      <c r="G368" s="1"/>
      <c r="H368" s="1"/>
      <c r="I368" s="1"/>
      <c r="J368" s="1" t="str">
        <f t="shared" si="5"/>
        <v/>
      </c>
    </row>
    <row r="369" spans="1:10" ht="14.25" customHeight="1" x14ac:dyDescent="0.2">
      <c r="A369" s="1" t="s">
        <v>1102</v>
      </c>
      <c r="B369" s="1" t="s">
        <v>113</v>
      </c>
      <c r="C369" s="1">
        <v>93586635</v>
      </c>
      <c r="D369" s="1" t="s">
        <v>2969</v>
      </c>
      <c r="E369" s="1" t="s">
        <v>1830</v>
      </c>
      <c r="F369" s="1">
        <v>1</v>
      </c>
      <c r="G369" s="1"/>
      <c r="H369" s="1"/>
      <c r="I369" s="1"/>
      <c r="J369" s="1" t="str">
        <f t="shared" si="5"/>
        <v/>
      </c>
    </row>
    <row r="370" spans="1:10" ht="14.25" customHeight="1" x14ac:dyDescent="0.2">
      <c r="A370" s="1" t="s">
        <v>1105</v>
      </c>
      <c r="B370" s="1" t="s">
        <v>113</v>
      </c>
      <c r="C370" s="1">
        <v>93586635</v>
      </c>
      <c r="D370" s="1" t="s">
        <v>2972</v>
      </c>
      <c r="E370" s="1" t="s">
        <v>1830</v>
      </c>
      <c r="F370" s="1">
        <v>1</v>
      </c>
      <c r="G370" s="1"/>
      <c r="H370" s="1"/>
      <c r="I370" s="1"/>
      <c r="J370" s="1" t="str">
        <f t="shared" si="5"/>
        <v/>
      </c>
    </row>
    <row r="371" spans="1:10" ht="14.25" customHeight="1" x14ac:dyDescent="0.2">
      <c r="A371" s="1" t="s">
        <v>1101</v>
      </c>
      <c r="B371" s="1" t="s">
        <v>113</v>
      </c>
      <c r="C371" s="1">
        <v>93586635</v>
      </c>
      <c r="D371" s="1" t="s">
        <v>2968</v>
      </c>
      <c r="E371" s="1" t="s">
        <v>1830</v>
      </c>
      <c r="F371" s="1">
        <v>1</v>
      </c>
      <c r="G371" s="1"/>
      <c r="H371" s="1"/>
      <c r="I371" s="1"/>
      <c r="J371" s="1" t="str">
        <f t="shared" si="5"/>
        <v/>
      </c>
    </row>
    <row r="372" spans="1:10" ht="14.25" customHeight="1" x14ac:dyDescent="0.2">
      <c r="A372" s="1" t="s">
        <v>1103</v>
      </c>
      <c r="B372" s="1" t="s">
        <v>113</v>
      </c>
      <c r="C372" s="1">
        <v>93586635</v>
      </c>
      <c r="D372" s="1" t="s">
        <v>2970</v>
      </c>
      <c r="E372" s="1" t="s">
        <v>1830</v>
      </c>
      <c r="F372" s="1">
        <v>1</v>
      </c>
      <c r="G372" s="1"/>
      <c r="H372" s="1"/>
      <c r="I372" s="1"/>
      <c r="J372" s="1" t="str">
        <f t="shared" si="5"/>
        <v/>
      </c>
    </row>
    <row r="373" spans="1:10" ht="14.25" customHeight="1" x14ac:dyDescent="0.2">
      <c r="A373" s="1" t="s">
        <v>1104</v>
      </c>
      <c r="B373" s="1" t="s">
        <v>113</v>
      </c>
      <c r="C373" s="1">
        <v>93586635</v>
      </c>
      <c r="D373" s="1" t="s">
        <v>2971</v>
      </c>
      <c r="E373" s="1" t="s">
        <v>1830</v>
      </c>
      <c r="F373" s="1">
        <v>1</v>
      </c>
      <c r="G373" s="1"/>
      <c r="H373" s="1"/>
      <c r="I373" s="1"/>
      <c r="J373" s="1" t="str">
        <f t="shared" si="5"/>
        <v/>
      </c>
    </row>
    <row r="374" spans="1:10" ht="14.25" customHeight="1" x14ac:dyDescent="0.2">
      <c r="A374" s="1" t="s">
        <v>566</v>
      </c>
      <c r="B374" s="1" t="s">
        <v>86</v>
      </c>
      <c r="C374" s="1">
        <v>196439244</v>
      </c>
      <c r="D374" s="1" t="s">
        <v>2513</v>
      </c>
      <c r="E374" s="1" t="s">
        <v>1569</v>
      </c>
      <c r="F374" s="1">
        <v>1</v>
      </c>
      <c r="G374" s="1"/>
      <c r="H374" s="1"/>
      <c r="I374" s="1"/>
      <c r="J374" s="1" t="str">
        <f t="shared" si="5"/>
        <v/>
      </c>
    </row>
    <row r="375" spans="1:10" ht="14.25" customHeight="1" x14ac:dyDescent="0.2">
      <c r="A375" s="1" t="s">
        <v>754</v>
      </c>
      <c r="B375" s="1" t="s">
        <v>40</v>
      </c>
      <c r="C375" s="1">
        <v>114562208</v>
      </c>
      <c r="D375" s="1" t="s">
        <v>2678</v>
      </c>
      <c r="E375" s="1" t="s">
        <v>1666</v>
      </c>
      <c r="F375" s="1">
        <v>1</v>
      </c>
      <c r="G375" s="1"/>
      <c r="H375" s="1"/>
      <c r="I375" s="1"/>
      <c r="J375" s="1" t="str">
        <f t="shared" si="5"/>
        <v/>
      </c>
    </row>
    <row r="376" spans="1:10" ht="14.25" customHeight="1" x14ac:dyDescent="0.2">
      <c r="A376" s="1" t="s">
        <v>1382</v>
      </c>
      <c r="B376" s="1" t="s">
        <v>73</v>
      </c>
      <c r="C376" s="1">
        <v>48456223</v>
      </c>
      <c r="D376" s="1" t="s">
        <v>3188</v>
      </c>
      <c r="E376" s="1" t="s">
        <v>1960</v>
      </c>
      <c r="F376" s="1">
        <v>1</v>
      </c>
      <c r="G376" s="1"/>
      <c r="H376" s="1"/>
      <c r="I376" s="1"/>
      <c r="J376" s="1" t="str">
        <f t="shared" si="5"/>
        <v/>
      </c>
    </row>
    <row r="377" spans="1:10" ht="14.25" customHeight="1" x14ac:dyDescent="0.2">
      <c r="A377" s="1" t="s">
        <v>1272</v>
      </c>
      <c r="B377" s="1" t="s">
        <v>50</v>
      </c>
      <c r="C377" s="1">
        <v>50380681</v>
      </c>
      <c r="D377" s="1" t="s">
        <v>3104</v>
      </c>
      <c r="E377" s="1" t="s">
        <v>1916</v>
      </c>
      <c r="F377" s="1">
        <v>1</v>
      </c>
      <c r="G377" s="1"/>
      <c r="H377" s="1"/>
      <c r="I377" s="1"/>
      <c r="J377" s="1" t="str">
        <f t="shared" si="5"/>
        <v/>
      </c>
    </row>
    <row r="378" spans="1:10" ht="14.25" customHeight="1" x14ac:dyDescent="0.2">
      <c r="A378" s="1" t="s">
        <v>577</v>
      </c>
      <c r="B378" s="1" t="s">
        <v>569</v>
      </c>
      <c r="C378" s="1">
        <v>2043719</v>
      </c>
      <c r="D378" s="1" t="s">
        <v>2521</v>
      </c>
      <c r="E378" s="1" t="s">
        <v>1572</v>
      </c>
      <c r="F378" s="1">
        <v>1</v>
      </c>
      <c r="G378" s="1"/>
      <c r="H378" s="1"/>
      <c r="I378" s="1"/>
      <c r="J378" s="1" t="str">
        <f t="shared" si="5"/>
        <v/>
      </c>
    </row>
    <row r="379" spans="1:10" ht="14.25" customHeight="1" x14ac:dyDescent="0.2">
      <c r="A379" s="1" t="s">
        <v>590</v>
      </c>
      <c r="B379" s="1" t="s">
        <v>569</v>
      </c>
      <c r="C379" s="1">
        <v>26862312</v>
      </c>
      <c r="D379" s="1" t="s">
        <v>2533</v>
      </c>
      <c r="E379" s="1" t="s">
        <v>1578</v>
      </c>
      <c r="F379" s="1">
        <v>1</v>
      </c>
      <c r="G379" s="1"/>
      <c r="H379" s="1"/>
      <c r="I379" s="1"/>
      <c r="J379" s="1" t="str">
        <f t="shared" si="5"/>
        <v/>
      </c>
    </row>
    <row r="380" spans="1:10" ht="14.25" customHeight="1" x14ac:dyDescent="0.2">
      <c r="A380" s="1" t="s">
        <v>589</v>
      </c>
      <c r="B380" s="1" t="s">
        <v>569</v>
      </c>
      <c r="C380" s="1">
        <v>26862312</v>
      </c>
      <c r="D380" s="1" t="s">
        <v>2532</v>
      </c>
      <c r="E380" s="1" t="s">
        <v>1578</v>
      </c>
      <c r="F380" s="1">
        <v>1</v>
      </c>
      <c r="G380" s="1"/>
      <c r="H380" s="1"/>
      <c r="I380" s="1"/>
      <c r="J380" s="1" t="str">
        <f t="shared" si="5"/>
        <v/>
      </c>
    </row>
    <row r="381" spans="1:10" ht="14.25" customHeight="1" x14ac:dyDescent="0.2">
      <c r="A381" s="1" t="s">
        <v>8761</v>
      </c>
      <c r="B381" s="1" t="s">
        <v>139</v>
      </c>
      <c r="C381" s="1">
        <v>206516196</v>
      </c>
      <c r="D381" s="1" t="s">
        <v>3311</v>
      </c>
      <c r="E381" s="1" t="s">
        <v>2021</v>
      </c>
      <c r="F381" s="1" t="s">
        <v>2062</v>
      </c>
      <c r="G381" s="4" t="s">
        <v>8790</v>
      </c>
      <c r="H381" s="1"/>
      <c r="I381" s="1"/>
      <c r="J381" s="1" t="str">
        <f t="shared" si="5"/>
        <v/>
      </c>
    </row>
    <row r="382" spans="1:10" ht="14.25" customHeight="1" x14ac:dyDescent="0.2">
      <c r="A382" s="1" t="s">
        <v>907</v>
      </c>
      <c r="B382" s="1" t="s">
        <v>36</v>
      </c>
      <c r="C382" s="1">
        <v>9041046</v>
      </c>
      <c r="D382" s="1" t="s">
        <v>2807</v>
      </c>
      <c r="E382" s="1" t="s">
        <v>1735</v>
      </c>
      <c r="F382" s="1">
        <v>1</v>
      </c>
      <c r="G382" s="1"/>
      <c r="H382" s="1"/>
      <c r="I382" s="1"/>
      <c r="J382" s="1" t="str">
        <f t="shared" si="5"/>
        <v/>
      </c>
    </row>
    <row r="383" spans="1:10" ht="14.25" customHeight="1" x14ac:dyDescent="0.2">
      <c r="A383" s="1" t="s">
        <v>1120</v>
      </c>
      <c r="B383" s="1" t="s">
        <v>121</v>
      </c>
      <c r="C383" s="1">
        <v>16243421</v>
      </c>
      <c r="D383" s="1" t="s">
        <v>2984</v>
      </c>
      <c r="E383" s="1" t="s">
        <v>1840</v>
      </c>
      <c r="F383" s="1">
        <v>1</v>
      </c>
      <c r="G383" s="1"/>
      <c r="H383" s="1"/>
      <c r="I383" s="1"/>
      <c r="J383" s="1" t="str">
        <f t="shared" si="5"/>
        <v/>
      </c>
    </row>
    <row r="384" spans="1:10" ht="14.25" customHeight="1" x14ac:dyDescent="0.2">
      <c r="A384" s="1" t="s">
        <v>686</v>
      </c>
      <c r="B384" s="1" t="s">
        <v>175</v>
      </c>
      <c r="C384" s="1">
        <v>43737945</v>
      </c>
      <c r="D384" s="1" t="s">
        <v>2622</v>
      </c>
      <c r="E384" s="1" t="s">
        <v>1634</v>
      </c>
      <c r="F384" s="1">
        <v>1</v>
      </c>
      <c r="G384" s="1"/>
      <c r="H384" s="1"/>
      <c r="I384" s="1"/>
      <c r="J384" s="1" t="str">
        <f t="shared" si="5"/>
        <v/>
      </c>
    </row>
    <row r="385" spans="1:10" ht="14.25" customHeight="1" x14ac:dyDescent="0.2">
      <c r="A385" s="1" t="s">
        <v>8799</v>
      </c>
      <c r="B385" s="1" t="s">
        <v>86</v>
      </c>
      <c r="C385" s="1">
        <v>51433297</v>
      </c>
      <c r="D385" s="1" t="s">
        <v>2234</v>
      </c>
      <c r="E385" s="1" t="s">
        <v>1419</v>
      </c>
      <c r="F385" s="1" t="s">
        <v>3406</v>
      </c>
      <c r="G385" s="1"/>
      <c r="H385" s="1" t="s">
        <v>8800</v>
      </c>
      <c r="I385" s="1"/>
      <c r="J385" s="1" t="str">
        <f t="shared" si="5"/>
        <v>纠后正确，rs无基因信息，加53个氨基酸，chr3:51436200-51467663</v>
      </c>
    </row>
    <row r="386" spans="1:10" ht="14.25" customHeight="1" x14ac:dyDescent="0.2">
      <c r="A386" s="1" t="s">
        <v>1399</v>
      </c>
      <c r="B386" s="1" t="s">
        <v>73</v>
      </c>
      <c r="C386" s="1">
        <v>148622518</v>
      </c>
      <c r="D386" s="1" t="s">
        <v>3201</v>
      </c>
      <c r="E386" s="1" t="s">
        <v>1967</v>
      </c>
      <c r="F386" s="1">
        <v>1</v>
      </c>
      <c r="G386" s="1"/>
      <c r="H386" s="1"/>
      <c r="I386" s="1"/>
      <c r="J386" s="1" t="str">
        <f t="shared" si="5"/>
        <v/>
      </c>
    </row>
    <row r="387" spans="1:10" ht="14.25" customHeight="1" x14ac:dyDescent="0.2">
      <c r="A387" s="1" t="s">
        <v>1401</v>
      </c>
      <c r="B387" s="1" t="s">
        <v>73</v>
      </c>
      <c r="C387" s="1">
        <v>148622518</v>
      </c>
      <c r="D387" s="1" t="s">
        <v>3203</v>
      </c>
      <c r="E387" s="1" t="s">
        <v>1967</v>
      </c>
      <c r="F387" s="1">
        <v>1</v>
      </c>
      <c r="G387" s="1"/>
      <c r="H387" s="1"/>
      <c r="I387" s="1"/>
      <c r="J387" s="1" t="str">
        <f t="shared" ref="J387:J450" si="6">IF(H387="",IF(I387="","",I387),H387)</f>
        <v/>
      </c>
    </row>
    <row r="388" spans="1:10" ht="14.25" customHeight="1" x14ac:dyDescent="0.2">
      <c r="A388" s="1" t="s">
        <v>1402</v>
      </c>
      <c r="B388" s="1" t="s">
        <v>73</v>
      </c>
      <c r="C388" s="1">
        <v>148626065</v>
      </c>
      <c r="D388" s="1" t="s">
        <v>3204</v>
      </c>
      <c r="E388" s="1" t="s">
        <v>1967</v>
      </c>
      <c r="F388" s="1">
        <v>1</v>
      </c>
      <c r="G388" s="1"/>
      <c r="H388" s="1"/>
      <c r="I388" s="1"/>
      <c r="J388" s="1" t="str">
        <f t="shared" si="6"/>
        <v/>
      </c>
    </row>
    <row r="389" spans="1:10" ht="14.25" customHeight="1" x14ac:dyDescent="0.2">
      <c r="A389" s="1" t="s">
        <v>899</v>
      </c>
      <c r="B389" s="1" t="s">
        <v>36</v>
      </c>
      <c r="C389" s="1">
        <v>616564</v>
      </c>
      <c r="D389" s="1" t="s">
        <v>2800</v>
      </c>
      <c r="E389" s="1" t="s">
        <v>1732</v>
      </c>
      <c r="F389" s="1">
        <v>1</v>
      </c>
      <c r="G389" s="1"/>
      <c r="H389" s="1"/>
      <c r="I389" s="1"/>
      <c r="J389" s="1" t="str">
        <f t="shared" si="6"/>
        <v/>
      </c>
    </row>
    <row r="390" spans="1:10" ht="14.25" customHeight="1" x14ac:dyDescent="0.2">
      <c r="A390" s="1" t="s">
        <v>782</v>
      </c>
      <c r="B390" s="1" t="s">
        <v>103</v>
      </c>
      <c r="C390" s="1">
        <v>77892493</v>
      </c>
      <c r="D390" s="1" t="s">
        <v>2702</v>
      </c>
      <c r="E390" s="1" t="s">
        <v>1683</v>
      </c>
      <c r="F390" s="1">
        <v>1</v>
      </c>
      <c r="G390" s="1"/>
      <c r="H390" s="1"/>
      <c r="I390" s="1"/>
      <c r="J390" s="1" t="str">
        <f t="shared" si="6"/>
        <v/>
      </c>
    </row>
    <row r="391" spans="1:10" ht="14.25" customHeight="1" x14ac:dyDescent="0.2">
      <c r="A391" s="1" t="s">
        <v>781</v>
      </c>
      <c r="B391" s="1" t="s">
        <v>103</v>
      </c>
      <c r="C391" s="1">
        <v>77892493</v>
      </c>
      <c r="D391" s="1" t="s">
        <v>2701</v>
      </c>
      <c r="E391" s="1" t="s">
        <v>1683</v>
      </c>
      <c r="F391" s="1">
        <v>1</v>
      </c>
      <c r="G391" s="1"/>
      <c r="H391" s="1"/>
      <c r="I391" s="1"/>
      <c r="J391" s="1" t="str">
        <f t="shared" si="6"/>
        <v/>
      </c>
    </row>
    <row r="392" spans="1:10" ht="14.25" customHeight="1" x14ac:dyDescent="0.2">
      <c r="A392" s="1" t="s">
        <v>1301</v>
      </c>
      <c r="B392" s="1" t="s">
        <v>53</v>
      </c>
      <c r="C392" s="1">
        <v>30639990</v>
      </c>
      <c r="D392" s="1" t="s">
        <v>3127</v>
      </c>
      <c r="E392" s="1" t="s">
        <v>1929</v>
      </c>
      <c r="F392" s="1">
        <v>1</v>
      </c>
      <c r="G392" s="1"/>
      <c r="H392" s="1"/>
      <c r="I392" s="1"/>
      <c r="J392" s="1" t="str">
        <f t="shared" si="6"/>
        <v/>
      </c>
    </row>
    <row r="393" spans="1:10" ht="14.25" customHeight="1" x14ac:dyDescent="0.2">
      <c r="A393" s="1" t="s">
        <v>8762</v>
      </c>
      <c r="B393" s="1" t="s">
        <v>40</v>
      </c>
      <c r="C393" s="1">
        <v>94285681</v>
      </c>
      <c r="D393" s="1" t="s">
        <v>3349</v>
      </c>
      <c r="E393" s="1" t="s">
        <v>1663</v>
      </c>
      <c r="F393" s="1" t="s">
        <v>2062</v>
      </c>
      <c r="G393" s="1"/>
      <c r="H393" s="1"/>
      <c r="I393" s="1"/>
      <c r="J393" s="1" t="str">
        <f t="shared" si="6"/>
        <v/>
      </c>
    </row>
    <row r="394" spans="1:10" ht="14.25" customHeight="1" x14ac:dyDescent="0.2">
      <c r="A394" s="1" t="s">
        <v>772</v>
      </c>
      <c r="B394" s="1" t="s">
        <v>103</v>
      </c>
      <c r="C394" s="1">
        <v>6264112</v>
      </c>
      <c r="D394" s="1" t="s">
        <v>2693</v>
      </c>
      <c r="E394" s="1" t="s">
        <v>1675</v>
      </c>
      <c r="F394" s="1">
        <v>1</v>
      </c>
      <c r="G394" s="1"/>
      <c r="H394" s="1"/>
      <c r="I394" s="1"/>
      <c r="J394" s="1" t="str">
        <f t="shared" si="6"/>
        <v/>
      </c>
    </row>
    <row r="395" spans="1:10" ht="14.25" customHeight="1" x14ac:dyDescent="0.2">
      <c r="A395" s="1" t="s">
        <v>1138</v>
      </c>
      <c r="B395" s="1" t="s">
        <v>121</v>
      </c>
      <c r="C395" s="1">
        <v>31072168</v>
      </c>
      <c r="D395" s="1" t="s">
        <v>2999</v>
      </c>
      <c r="E395" s="1" t="s">
        <v>1848</v>
      </c>
      <c r="F395" s="1">
        <v>1</v>
      </c>
      <c r="G395" s="1"/>
      <c r="H395" s="1"/>
      <c r="I395" s="1"/>
      <c r="J395" s="1" t="str">
        <f t="shared" si="6"/>
        <v/>
      </c>
    </row>
    <row r="396" spans="1:10" ht="14.25" customHeight="1" x14ac:dyDescent="0.2">
      <c r="A396" s="1" t="s">
        <v>1137</v>
      </c>
      <c r="B396" s="1" t="s">
        <v>121</v>
      </c>
      <c r="C396" s="1">
        <v>31072163</v>
      </c>
      <c r="D396" s="1" t="s">
        <v>2998</v>
      </c>
      <c r="E396" s="1" t="s">
        <v>1848</v>
      </c>
      <c r="F396" s="1">
        <v>1</v>
      </c>
      <c r="G396" s="1"/>
      <c r="H396" s="1"/>
      <c r="I396" s="1"/>
      <c r="J396" s="1" t="str">
        <f t="shared" si="6"/>
        <v/>
      </c>
    </row>
    <row r="397" spans="1:10" ht="14.25" customHeight="1" x14ac:dyDescent="0.2">
      <c r="A397" s="1" t="s">
        <v>1136</v>
      </c>
      <c r="B397" s="1" t="s">
        <v>121</v>
      </c>
      <c r="C397" s="1">
        <v>31072163</v>
      </c>
      <c r="D397" s="1" t="s">
        <v>2997</v>
      </c>
      <c r="E397" s="1" t="s">
        <v>1848</v>
      </c>
      <c r="F397" s="1">
        <v>1</v>
      </c>
      <c r="G397" s="1"/>
      <c r="H397" s="1"/>
      <c r="I397" s="1"/>
      <c r="J397" s="1" t="str">
        <f t="shared" si="6"/>
        <v/>
      </c>
    </row>
    <row r="398" spans="1:10" ht="14.25" customHeight="1" x14ac:dyDescent="0.2">
      <c r="A398" s="1" t="s">
        <v>912</v>
      </c>
      <c r="B398" s="1" t="s">
        <v>36</v>
      </c>
      <c r="C398" s="1">
        <v>10818592</v>
      </c>
      <c r="D398" s="1" t="s">
        <v>2812</v>
      </c>
      <c r="E398" s="1" t="s">
        <v>1737</v>
      </c>
      <c r="F398" s="1">
        <v>1</v>
      </c>
      <c r="G398" s="1"/>
      <c r="H398" s="1"/>
      <c r="I398" s="1"/>
      <c r="J398" s="1" t="str">
        <f t="shared" si="6"/>
        <v/>
      </c>
    </row>
    <row r="399" spans="1:10" ht="14.25" customHeight="1" x14ac:dyDescent="0.2">
      <c r="A399" s="1" t="s">
        <v>1363</v>
      </c>
      <c r="B399" s="1" t="s">
        <v>73</v>
      </c>
      <c r="C399" s="1">
        <v>17818168</v>
      </c>
      <c r="D399" s="1" t="s">
        <v>3176</v>
      </c>
      <c r="E399" s="1" t="s">
        <v>1957</v>
      </c>
      <c r="F399" s="1">
        <v>1</v>
      </c>
      <c r="G399" s="1"/>
      <c r="H399" s="1"/>
      <c r="I399" s="1"/>
      <c r="J399" s="1" t="str">
        <f t="shared" si="6"/>
        <v/>
      </c>
    </row>
    <row r="400" spans="1:10" ht="14.25" customHeight="1" x14ac:dyDescent="0.2">
      <c r="A400" s="1" t="s">
        <v>1365</v>
      </c>
      <c r="B400" s="1" t="s">
        <v>73</v>
      </c>
      <c r="C400" s="1">
        <v>17818168</v>
      </c>
      <c r="D400" s="1" t="s">
        <v>3178</v>
      </c>
      <c r="E400" s="1" t="s">
        <v>1957</v>
      </c>
      <c r="F400" s="1">
        <v>1</v>
      </c>
      <c r="G400" s="1"/>
      <c r="H400" s="1"/>
      <c r="I400" s="1"/>
      <c r="J400" s="1" t="str">
        <f t="shared" si="6"/>
        <v/>
      </c>
    </row>
    <row r="401" spans="1:10" ht="14.25" customHeight="1" x14ac:dyDescent="0.2">
      <c r="A401" s="1" t="s">
        <v>1366</v>
      </c>
      <c r="B401" s="1" t="s">
        <v>73</v>
      </c>
      <c r="C401" s="1">
        <v>17818168</v>
      </c>
      <c r="D401" s="1" t="s">
        <v>3179</v>
      </c>
      <c r="E401" s="1" t="s">
        <v>1957</v>
      </c>
      <c r="F401" s="1">
        <v>1</v>
      </c>
      <c r="G401" s="1"/>
      <c r="H401" s="1"/>
      <c r="I401" s="1"/>
      <c r="J401" s="1" t="str">
        <f t="shared" si="6"/>
        <v/>
      </c>
    </row>
    <row r="402" spans="1:10" ht="14.25" customHeight="1" x14ac:dyDescent="0.2">
      <c r="A402" s="1" t="s">
        <v>824</v>
      </c>
      <c r="B402" s="1" t="s">
        <v>33</v>
      </c>
      <c r="C402" s="1">
        <v>117164359</v>
      </c>
      <c r="D402" s="1" t="s">
        <v>3240</v>
      </c>
      <c r="E402" s="1" t="s">
        <v>1700</v>
      </c>
      <c r="F402" s="1">
        <v>2</v>
      </c>
      <c r="G402" s="1"/>
      <c r="H402" s="1"/>
      <c r="I402" s="1"/>
      <c r="J402" s="1" t="str">
        <f t="shared" si="6"/>
        <v/>
      </c>
    </row>
    <row r="403" spans="1:10" ht="14.25" customHeight="1" x14ac:dyDescent="0.2">
      <c r="A403" s="1" t="s">
        <v>553</v>
      </c>
      <c r="B403" s="1" t="s">
        <v>86</v>
      </c>
      <c r="C403" s="1">
        <v>126325894</v>
      </c>
      <c r="D403" s="1" t="s">
        <v>2501</v>
      </c>
      <c r="E403" s="1" t="s">
        <v>1562</v>
      </c>
      <c r="F403" s="1">
        <v>1</v>
      </c>
      <c r="G403" s="1"/>
      <c r="H403" s="1"/>
      <c r="I403" s="1"/>
      <c r="J403" s="1" t="str">
        <f t="shared" si="6"/>
        <v/>
      </c>
    </row>
    <row r="404" spans="1:10" ht="14.25" customHeight="1" x14ac:dyDescent="0.2">
      <c r="A404" s="1" t="s">
        <v>670</v>
      </c>
      <c r="B404" s="1" t="s">
        <v>175</v>
      </c>
      <c r="C404" s="1">
        <v>31132113</v>
      </c>
      <c r="D404" s="1" t="s">
        <v>2607</v>
      </c>
      <c r="E404" s="1" t="s">
        <v>1629</v>
      </c>
      <c r="F404" s="1">
        <v>1</v>
      </c>
      <c r="G404" s="1"/>
      <c r="H404" s="1"/>
      <c r="I404" s="1"/>
      <c r="J404" s="1" t="str">
        <f t="shared" si="6"/>
        <v/>
      </c>
    </row>
    <row r="405" spans="1:10" ht="14.25" customHeight="1" x14ac:dyDescent="0.2">
      <c r="A405" s="1" t="s">
        <v>994</v>
      </c>
      <c r="B405" s="1" t="s">
        <v>36</v>
      </c>
      <c r="C405" s="1">
        <v>117947726</v>
      </c>
      <c r="D405" s="1" t="s">
        <v>2875</v>
      </c>
      <c r="E405" s="1" t="s">
        <v>1766</v>
      </c>
      <c r="F405" s="1">
        <v>1</v>
      </c>
      <c r="G405" s="1"/>
      <c r="H405" s="1"/>
      <c r="I405" s="1"/>
      <c r="J405" s="1" t="str">
        <f t="shared" si="6"/>
        <v/>
      </c>
    </row>
    <row r="406" spans="1:10" ht="14.25" customHeight="1" x14ac:dyDescent="0.2">
      <c r="A406" s="1" t="s">
        <v>995</v>
      </c>
      <c r="B406" s="1" t="s">
        <v>36</v>
      </c>
      <c r="C406" s="1">
        <v>117947726</v>
      </c>
      <c r="D406" s="1" t="s">
        <v>2876</v>
      </c>
      <c r="E406" s="1" t="s">
        <v>1766</v>
      </c>
      <c r="F406" s="1">
        <v>1</v>
      </c>
      <c r="G406" s="1"/>
      <c r="H406" s="1"/>
      <c r="I406" s="1"/>
      <c r="J406" s="1" t="str">
        <f t="shared" si="6"/>
        <v/>
      </c>
    </row>
    <row r="407" spans="1:10" ht="14.25" customHeight="1" x14ac:dyDescent="0.2">
      <c r="A407" s="1" t="s">
        <v>1403</v>
      </c>
      <c r="B407" s="1" t="s">
        <v>73</v>
      </c>
      <c r="C407" s="1">
        <v>148678215</v>
      </c>
      <c r="D407" s="1" t="s">
        <v>3205</v>
      </c>
      <c r="E407" s="1" t="s">
        <v>1968</v>
      </c>
      <c r="F407" s="1">
        <v>1</v>
      </c>
      <c r="G407" s="1"/>
      <c r="H407" s="1"/>
      <c r="I407" s="1"/>
      <c r="J407" s="1" t="str">
        <f t="shared" si="6"/>
        <v/>
      </c>
    </row>
    <row r="408" spans="1:10" ht="14.25" customHeight="1" x14ac:dyDescent="0.2">
      <c r="A408" s="1" t="s">
        <v>842</v>
      </c>
      <c r="B408" s="1" t="s">
        <v>33</v>
      </c>
      <c r="C408" s="1">
        <v>140125208</v>
      </c>
      <c r="D408" s="1" t="s">
        <v>2750</v>
      </c>
      <c r="E408" s="1" t="s">
        <v>1710</v>
      </c>
      <c r="F408" s="1">
        <v>1</v>
      </c>
      <c r="G408" s="1"/>
      <c r="H408" s="1"/>
      <c r="I408" s="1"/>
      <c r="J408" s="1" t="str">
        <f t="shared" si="6"/>
        <v/>
      </c>
    </row>
    <row r="409" spans="1:10" ht="14.25" customHeight="1" x14ac:dyDescent="0.2">
      <c r="A409" s="1" t="s">
        <v>841</v>
      </c>
      <c r="B409" s="1" t="s">
        <v>33</v>
      </c>
      <c r="C409" s="1">
        <v>140125208</v>
      </c>
      <c r="D409" s="1" t="s">
        <v>2749</v>
      </c>
      <c r="E409" s="1" t="s">
        <v>1710</v>
      </c>
      <c r="F409" s="1">
        <v>1</v>
      </c>
      <c r="G409" s="1"/>
      <c r="H409" s="1"/>
      <c r="I409" s="1"/>
      <c r="J409" s="1" t="str">
        <f t="shared" si="6"/>
        <v/>
      </c>
    </row>
    <row r="410" spans="1:10" ht="14.25" customHeight="1" x14ac:dyDescent="0.2">
      <c r="A410" s="1" t="s">
        <v>39</v>
      </c>
      <c r="B410" s="1" t="s">
        <v>40</v>
      </c>
      <c r="C410" s="1">
        <v>36552548</v>
      </c>
      <c r="D410" s="1" t="s">
        <v>2076</v>
      </c>
      <c r="E410" s="1" t="s">
        <v>38</v>
      </c>
      <c r="F410" s="1" t="s">
        <v>2062</v>
      </c>
      <c r="G410" s="1"/>
      <c r="H410" s="1" t="s">
        <v>3763</v>
      </c>
      <c r="I410" s="1"/>
      <c r="J410" s="1" t="str">
        <f t="shared" si="6"/>
        <v>纠后正确</v>
      </c>
    </row>
    <row r="411" spans="1:10" ht="14.25" customHeight="1" x14ac:dyDescent="0.2">
      <c r="A411" s="1" t="s">
        <v>511</v>
      </c>
      <c r="B411" s="1" t="s">
        <v>86</v>
      </c>
      <c r="C411" s="1">
        <v>49507564</v>
      </c>
      <c r="D411" s="1" t="s">
        <v>2465</v>
      </c>
      <c r="E411" s="1" t="s">
        <v>1546</v>
      </c>
      <c r="F411" s="1">
        <v>1</v>
      </c>
      <c r="G411" s="1"/>
      <c r="H411" s="1"/>
      <c r="I411" s="1"/>
      <c r="J411" s="1" t="str">
        <f t="shared" si="6"/>
        <v/>
      </c>
    </row>
    <row r="412" spans="1:10" ht="14.25" customHeight="1" x14ac:dyDescent="0.2">
      <c r="A412" s="1" t="s">
        <v>520</v>
      </c>
      <c r="B412" s="1" t="s">
        <v>86</v>
      </c>
      <c r="C412" s="1">
        <v>49507564</v>
      </c>
      <c r="D412" s="1" t="s">
        <v>2474</v>
      </c>
      <c r="E412" s="1" t="s">
        <v>1546</v>
      </c>
      <c r="F412" s="1">
        <v>1</v>
      </c>
      <c r="G412" s="1"/>
      <c r="H412" s="1"/>
      <c r="I412" s="1"/>
      <c r="J412" s="1" t="str">
        <f t="shared" si="6"/>
        <v/>
      </c>
    </row>
    <row r="413" spans="1:10" ht="14.25" customHeight="1" x14ac:dyDescent="0.2">
      <c r="A413" s="1" t="s">
        <v>514</v>
      </c>
      <c r="B413" s="1" t="s">
        <v>86</v>
      </c>
      <c r="C413" s="1">
        <v>49507564</v>
      </c>
      <c r="D413" s="1" t="s">
        <v>2468</v>
      </c>
      <c r="E413" s="1" t="s">
        <v>1546</v>
      </c>
      <c r="F413" s="1">
        <v>1</v>
      </c>
      <c r="G413" s="1"/>
      <c r="H413" s="1"/>
      <c r="I413" s="1"/>
      <c r="J413" s="1" t="str">
        <f t="shared" si="6"/>
        <v/>
      </c>
    </row>
    <row r="414" spans="1:10" ht="14.25" customHeight="1" x14ac:dyDescent="0.2">
      <c r="A414" s="1" t="s">
        <v>516</v>
      </c>
      <c r="B414" s="1" t="s">
        <v>86</v>
      </c>
      <c r="C414" s="1">
        <v>49507564</v>
      </c>
      <c r="D414" s="1" t="s">
        <v>2470</v>
      </c>
      <c r="E414" s="1" t="s">
        <v>1546</v>
      </c>
      <c r="F414" s="1">
        <v>1</v>
      </c>
      <c r="G414" s="1"/>
      <c r="H414" s="1"/>
      <c r="I414" s="1"/>
      <c r="J414" s="1" t="str">
        <f t="shared" si="6"/>
        <v/>
      </c>
    </row>
    <row r="415" spans="1:10" ht="14.25" customHeight="1" x14ac:dyDescent="0.2">
      <c r="A415" s="1" t="s">
        <v>517</v>
      </c>
      <c r="B415" s="1" t="s">
        <v>86</v>
      </c>
      <c r="C415" s="1">
        <v>49507564</v>
      </c>
      <c r="D415" s="1" t="s">
        <v>2471</v>
      </c>
      <c r="E415" s="1" t="s">
        <v>1546</v>
      </c>
      <c r="F415" s="1">
        <v>1</v>
      </c>
      <c r="G415" s="1"/>
      <c r="H415" s="1"/>
      <c r="I415" s="1"/>
      <c r="J415" s="1" t="str">
        <f t="shared" si="6"/>
        <v/>
      </c>
    </row>
    <row r="416" spans="1:10" ht="14.25" customHeight="1" x14ac:dyDescent="0.2">
      <c r="A416" s="1" t="s">
        <v>521</v>
      </c>
      <c r="B416" s="1" t="s">
        <v>86</v>
      </c>
      <c r="C416" s="1">
        <v>49507564</v>
      </c>
      <c r="D416" s="1" t="s">
        <v>2475</v>
      </c>
      <c r="E416" s="1" t="s">
        <v>1546</v>
      </c>
      <c r="F416" s="1">
        <v>1</v>
      </c>
      <c r="G416" s="1"/>
      <c r="H416" s="1"/>
      <c r="I416" s="1"/>
      <c r="J416" s="1" t="str">
        <f t="shared" si="6"/>
        <v/>
      </c>
    </row>
    <row r="417" spans="1:10" ht="14.25" customHeight="1" x14ac:dyDescent="0.2">
      <c r="A417" s="1" t="s">
        <v>512</v>
      </c>
      <c r="B417" s="1" t="s">
        <v>86</v>
      </c>
      <c r="C417" s="1">
        <v>49507564</v>
      </c>
      <c r="D417" s="1" t="s">
        <v>2466</v>
      </c>
      <c r="E417" s="1" t="s">
        <v>1546</v>
      </c>
      <c r="F417" s="1">
        <v>1</v>
      </c>
      <c r="G417" s="1"/>
      <c r="H417" s="1"/>
      <c r="I417" s="1"/>
      <c r="J417" s="1" t="str">
        <f t="shared" si="6"/>
        <v/>
      </c>
    </row>
    <row r="418" spans="1:10" ht="14.25" customHeight="1" x14ac:dyDescent="0.2">
      <c r="A418" s="1" t="s">
        <v>518</v>
      </c>
      <c r="B418" s="1" t="s">
        <v>86</v>
      </c>
      <c r="C418" s="1">
        <v>49507564</v>
      </c>
      <c r="D418" s="1" t="s">
        <v>2472</v>
      </c>
      <c r="E418" s="1" t="s">
        <v>1546</v>
      </c>
      <c r="F418" s="1">
        <v>1</v>
      </c>
      <c r="G418" s="1"/>
      <c r="H418" s="1"/>
      <c r="I418" s="1"/>
      <c r="J418" s="1" t="str">
        <f t="shared" si="6"/>
        <v/>
      </c>
    </row>
    <row r="419" spans="1:10" ht="14.25" customHeight="1" x14ac:dyDescent="0.2">
      <c r="A419" s="1" t="s">
        <v>513</v>
      </c>
      <c r="B419" s="1" t="s">
        <v>86</v>
      </c>
      <c r="C419" s="1">
        <v>49507564</v>
      </c>
      <c r="D419" s="1" t="s">
        <v>2467</v>
      </c>
      <c r="E419" s="1" t="s">
        <v>1546</v>
      </c>
      <c r="F419" s="1">
        <v>1</v>
      </c>
      <c r="G419" s="1"/>
      <c r="H419" s="1"/>
      <c r="I419" s="1"/>
      <c r="J419" s="1" t="str">
        <f t="shared" si="6"/>
        <v/>
      </c>
    </row>
    <row r="420" spans="1:10" ht="14.25" customHeight="1" x14ac:dyDescent="0.2">
      <c r="A420" s="1" t="s">
        <v>509</v>
      </c>
      <c r="B420" s="1" t="s">
        <v>86</v>
      </c>
      <c r="C420" s="1">
        <v>49506135</v>
      </c>
      <c r="D420" s="1" t="s">
        <v>2463</v>
      </c>
      <c r="E420" s="1" t="s">
        <v>1546</v>
      </c>
      <c r="F420" s="1">
        <v>1</v>
      </c>
      <c r="G420" s="1"/>
      <c r="H420" s="1"/>
      <c r="I420" s="1"/>
      <c r="J420" s="1" t="str">
        <f t="shared" si="6"/>
        <v/>
      </c>
    </row>
    <row r="421" spans="1:10" ht="14.25" customHeight="1" x14ac:dyDescent="0.2">
      <c r="A421" s="1" t="s">
        <v>510</v>
      </c>
      <c r="B421" s="1" t="s">
        <v>86</v>
      </c>
      <c r="C421" s="1">
        <v>49507564</v>
      </c>
      <c r="D421" s="1" t="s">
        <v>2464</v>
      </c>
      <c r="E421" s="1" t="s">
        <v>1546</v>
      </c>
      <c r="F421" s="1">
        <v>1</v>
      </c>
      <c r="G421" s="1"/>
      <c r="H421" s="1"/>
      <c r="I421" s="1"/>
      <c r="J421" s="1" t="str">
        <f t="shared" si="6"/>
        <v/>
      </c>
    </row>
    <row r="422" spans="1:10" ht="14.25" customHeight="1" x14ac:dyDescent="0.2">
      <c r="A422" s="1" t="s">
        <v>587</v>
      </c>
      <c r="B422" s="1" t="s">
        <v>569</v>
      </c>
      <c r="C422" s="1">
        <v>25657434</v>
      </c>
      <c r="D422" s="1" t="s">
        <v>2530</v>
      </c>
      <c r="E422" s="1" t="s">
        <v>1577</v>
      </c>
      <c r="F422" s="1">
        <v>1</v>
      </c>
      <c r="G422" s="1"/>
      <c r="H422" s="1"/>
      <c r="I422" s="1"/>
      <c r="J422" s="1" t="str">
        <f t="shared" si="6"/>
        <v/>
      </c>
    </row>
    <row r="423" spans="1:10" ht="14.25" customHeight="1" x14ac:dyDescent="0.2">
      <c r="A423" s="1" t="s">
        <v>588</v>
      </c>
      <c r="B423" s="1" t="s">
        <v>569</v>
      </c>
      <c r="C423" s="1">
        <v>25658085</v>
      </c>
      <c r="D423" s="1" t="s">
        <v>2531</v>
      </c>
      <c r="E423" s="1" t="s">
        <v>1577</v>
      </c>
      <c r="F423" s="1">
        <v>1</v>
      </c>
      <c r="G423" s="1"/>
      <c r="H423" s="1"/>
      <c r="I423" s="1"/>
      <c r="J423" s="1" t="str">
        <f t="shared" si="6"/>
        <v/>
      </c>
    </row>
    <row r="424" spans="1:10" ht="14.25" customHeight="1" x14ac:dyDescent="0.2">
      <c r="A424" s="1" t="s">
        <v>919</v>
      </c>
      <c r="B424" s="1" t="s">
        <v>36</v>
      </c>
      <c r="C424" s="1">
        <v>18287807</v>
      </c>
      <c r="D424" s="1" t="s">
        <v>2819</v>
      </c>
      <c r="E424" s="1" t="s">
        <v>1741</v>
      </c>
      <c r="F424" s="1">
        <v>1</v>
      </c>
      <c r="G424" s="1"/>
      <c r="H424" s="1"/>
      <c r="I424" s="1"/>
      <c r="J424" s="1" t="str">
        <f t="shared" si="6"/>
        <v/>
      </c>
    </row>
    <row r="425" spans="1:10" ht="14.25" customHeight="1" x14ac:dyDescent="0.2">
      <c r="A425" s="1" t="s">
        <v>440</v>
      </c>
      <c r="B425" s="1" t="s">
        <v>1</v>
      </c>
      <c r="C425" s="1">
        <v>115919512</v>
      </c>
      <c r="D425" s="1" t="s">
        <v>2405</v>
      </c>
      <c r="E425" s="1" t="s">
        <v>1517</v>
      </c>
      <c r="F425" s="1">
        <v>1</v>
      </c>
      <c r="G425" s="1"/>
      <c r="H425" s="1"/>
      <c r="I425" s="1"/>
      <c r="J425" s="1" t="str">
        <f t="shared" si="6"/>
        <v/>
      </c>
    </row>
    <row r="426" spans="1:10" ht="14.25" customHeight="1" x14ac:dyDescent="0.2">
      <c r="A426" s="1" t="s">
        <v>438</v>
      </c>
      <c r="B426" s="1" t="s">
        <v>1</v>
      </c>
      <c r="C426" s="1">
        <v>115219179</v>
      </c>
      <c r="D426" s="1" t="s">
        <v>2403</v>
      </c>
      <c r="E426" s="1" t="s">
        <v>1517</v>
      </c>
      <c r="F426" s="1">
        <v>1</v>
      </c>
      <c r="G426" s="1"/>
      <c r="H426" s="1"/>
      <c r="I426" s="1"/>
      <c r="J426" s="1" t="str">
        <f t="shared" si="6"/>
        <v/>
      </c>
    </row>
    <row r="427" spans="1:10" ht="14.25" customHeight="1" x14ac:dyDescent="0.2">
      <c r="A427" s="1" t="s">
        <v>439</v>
      </c>
      <c r="B427" s="1" t="s">
        <v>1</v>
      </c>
      <c r="C427" s="1">
        <v>115822246</v>
      </c>
      <c r="D427" s="1" t="s">
        <v>2404</v>
      </c>
      <c r="E427" s="1" t="s">
        <v>1517</v>
      </c>
      <c r="F427" s="1">
        <v>1</v>
      </c>
      <c r="G427" s="1"/>
      <c r="H427" s="1"/>
      <c r="I427" s="1"/>
      <c r="J427" s="1" t="str">
        <f t="shared" si="6"/>
        <v/>
      </c>
    </row>
    <row r="428" spans="1:10" ht="14.25" customHeight="1" x14ac:dyDescent="0.2">
      <c r="A428" s="1" t="s">
        <v>546</v>
      </c>
      <c r="B428" s="1" t="s">
        <v>86</v>
      </c>
      <c r="C428" s="1">
        <v>121903180</v>
      </c>
      <c r="D428" s="1" t="s">
        <v>2497</v>
      </c>
      <c r="E428" s="1" t="s">
        <v>1560</v>
      </c>
      <c r="F428" s="1">
        <v>1</v>
      </c>
      <c r="G428" s="1"/>
      <c r="H428" s="1"/>
      <c r="I428" s="1"/>
      <c r="J428" s="1" t="str">
        <f t="shared" si="6"/>
        <v/>
      </c>
    </row>
    <row r="429" spans="1:10" ht="14.25" customHeight="1" x14ac:dyDescent="0.2">
      <c r="A429" s="1" t="s">
        <v>1156</v>
      </c>
      <c r="B429" s="1" t="s">
        <v>47</v>
      </c>
      <c r="C429" s="1">
        <v>7004640</v>
      </c>
      <c r="D429" s="1" t="s">
        <v>3014</v>
      </c>
      <c r="E429" s="1" t="s">
        <v>1858</v>
      </c>
      <c r="F429" s="1">
        <v>1</v>
      </c>
      <c r="G429" s="1"/>
      <c r="H429" s="1"/>
      <c r="I429" s="1"/>
      <c r="J429" s="1" t="str">
        <f t="shared" si="6"/>
        <v/>
      </c>
    </row>
    <row r="430" spans="1:10" ht="14.25" customHeight="1" x14ac:dyDescent="0.2">
      <c r="A430" s="1" t="s">
        <v>617</v>
      </c>
      <c r="B430" s="1" t="s">
        <v>569</v>
      </c>
      <c r="C430" s="1">
        <v>108910869</v>
      </c>
      <c r="D430" s="1" t="s">
        <v>2559</v>
      </c>
      <c r="E430" s="1" t="s">
        <v>1591</v>
      </c>
      <c r="F430" s="1">
        <v>1</v>
      </c>
      <c r="G430" s="1"/>
      <c r="H430" s="1"/>
      <c r="I430" s="1"/>
      <c r="J430" s="1" t="str">
        <f t="shared" si="6"/>
        <v/>
      </c>
    </row>
    <row r="431" spans="1:10" ht="14.25" customHeight="1" x14ac:dyDescent="0.2">
      <c r="A431" s="1" t="s">
        <v>1392</v>
      </c>
      <c r="B431" s="1" t="s">
        <v>73</v>
      </c>
      <c r="C431" s="1">
        <v>88002225</v>
      </c>
      <c r="D431" s="1" t="s">
        <v>3194</v>
      </c>
      <c r="E431" s="1" t="s">
        <v>1963</v>
      </c>
      <c r="F431" s="1">
        <v>1</v>
      </c>
      <c r="G431" s="1"/>
      <c r="H431" s="1"/>
      <c r="I431" s="1"/>
      <c r="J431" s="1" t="str">
        <f t="shared" si="6"/>
        <v/>
      </c>
    </row>
    <row r="432" spans="1:10" ht="14.25" customHeight="1" x14ac:dyDescent="0.2">
      <c r="A432" s="1" t="s">
        <v>3870</v>
      </c>
      <c r="B432" s="1" t="s">
        <v>40</v>
      </c>
      <c r="C432" s="1">
        <v>94285636</v>
      </c>
      <c r="D432" s="1" t="s">
        <v>3347</v>
      </c>
      <c r="E432" s="1" t="s">
        <v>3734</v>
      </c>
      <c r="F432" s="1" t="s">
        <v>2062</v>
      </c>
      <c r="G432" s="1"/>
      <c r="H432" s="1"/>
      <c r="I432" s="1"/>
      <c r="J432" s="1" t="str">
        <f t="shared" si="6"/>
        <v/>
      </c>
    </row>
    <row r="433" spans="1:10" ht="14.25" customHeight="1" x14ac:dyDescent="0.2">
      <c r="A433" s="1" t="s">
        <v>746</v>
      </c>
      <c r="B433" s="1" t="s">
        <v>40</v>
      </c>
      <c r="C433" s="1">
        <v>94285636</v>
      </c>
      <c r="D433" s="1" t="s">
        <v>2673</v>
      </c>
      <c r="E433" s="1" t="s">
        <v>1663</v>
      </c>
      <c r="F433" s="1">
        <v>1</v>
      </c>
      <c r="G433" s="1"/>
      <c r="H433" s="1"/>
      <c r="I433" s="1"/>
      <c r="J433" s="1" t="str">
        <f t="shared" si="6"/>
        <v/>
      </c>
    </row>
    <row r="434" spans="1:10" ht="14.25" customHeight="1" x14ac:dyDescent="0.2">
      <c r="A434" s="1" t="s">
        <v>1244</v>
      </c>
      <c r="B434" s="1" t="s">
        <v>50</v>
      </c>
      <c r="C434" s="1">
        <v>35988118</v>
      </c>
      <c r="D434" s="1" t="s">
        <v>3080</v>
      </c>
      <c r="E434" s="1" t="s">
        <v>1905</v>
      </c>
      <c r="F434" s="1">
        <v>1</v>
      </c>
      <c r="G434" s="1"/>
      <c r="H434" s="1"/>
      <c r="I434" s="1"/>
      <c r="J434" s="1" t="str">
        <f t="shared" si="6"/>
        <v/>
      </c>
    </row>
    <row r="435" spans="1:10" ht="14.25" customHeight="1" x14ac:dyDescent="0.2">
      <c r="A435" s="1" t="s">
        <v>76</v>
      </c>
      <c r="B435" s="1" t="s">
        <v>50</v>
      </c>
      <c r="C435" s="1">
        <v>7933604</v>
      </c>
      <c r="D435" s="1" t="s">
        <v>2095</v>
      </c>
      <c r="E435" s="1" t="s">
        <v>75</v>
      </c>
      <c r="F435" s="1" t="s">
        <v>2062</v>
      </c>
      <c r="G435" s="1"/>
      <c r="H435" s="1" t="s">
        <v>8394</v>
      </c>
      <c r="I435" s="1"/>
      <c r="J435" s="1" t="str">
        <f t="shared" si="6"/>
        <v>纠后正确</v>
      </c>
    </row>
    <row r="436" spans="1:10" ht="14.25" customHeight="1" x14ac:dyDescent="0.2">
      <c r="A436" s="1" t="s">
        <v>822</v>
      </c>
      <c r="B436" s="1" t="s">
        <v>33</v>
      </c>
      <c r="C436" s="1">
        <v>95218486</v>
      </c>
      <c r="D436" s="1" t="s">
        <v>2259</v>
      </c>
      <c r="E436" s="1" t="s">
        <v>1435</v>
      </c>
      <c r="F436" s="1" t="s">
        <v>3406</v>
      </c>
      <c r="G436" s="1"/>
      <c r="H436" s="1" t="s">
        <v>3819</v>
      </c>
      <c r="I436" s="1"/>
      <c r="J436" s="1" t="str">
        <f t="shared" si="6"/>
        <v>纠后正确，少1个氨基酸chr9：95227244-95237086</v>
      </c>
    </row>
    <row r="437" spans="1:10" ht="14.25" customHeight="1" x14ac:dyDescent="0.2">
      <c r="A437" s="1" t="s">
        <v>375</v>
      </c>
      <c r="B437" s="1" t="s">
        <v>139</v>
      </c>
      <c r="C437" s="1">
        <v>114356432</v>
      </c>
      <c r="D437" s="1" t="s">
        <v>2351</v>
      </c>
      <c r="E437" s="1" t="s">
        <v>1485</v>
      </c>
      <c r="F437" s="1">
        <v>1</v>
      </c>
      <c r="G437" s="1"/>
      <c r="H437" s="1"/>
      <c r="I437" s="1"/>
      <c r="J437" s="1" t="str">
        <f t="shared" si="6"/>
        <v/>
      </c>
    </row>
    <row r="438" spans="1:10" ht="14.25" customHeight="1" x14ac:dyDescent="0.2">
      <c r="A438" s="1" t="s">
        <v>1182</v>
      </c>
      <c r="B438" s="1" t="s">
        <v>47</v>
      </c>
      <c r="C438" s="1">
        <v>44107281</v>
      </c>
      <c r="D438" s="1" t="s">
        <v>3035</v>
      </c>
      <c r="E438" s="1" t="s">
        <v>1875</v>
      </c>
      <c r="F438" s="1">
        <v>1</v>
      </c>
      <c r="G438" s="1"/>
      <c r="H438" s="1"/>
      <c r="I438" s="1"/>
      <c r="J438" s="1" t="str">
        <f t="shared" si="6"/>
        <v/>
      </c>
    </row>
    <row r="439" spans="1:10" ht="14.25" customHeight="1" x14ac:dyDescent="0.2">
      <c r="A439" s="1" t="s">
        <v>1184</v>
      </c>
      <c r="B439" s="1" t="s">
        <v>47</v>
      </c>
      <c r="C439" s="1">
        <v>44107281</v>
      </c>
      <c r="D439" s="1" t="s">
        <v>3037</v>
      </c>
      <c r="E439" s="1" t="s">
        <v>1875</v>
      </c>
      <c r="F439" s="1">
        <v>1</v>
      </c>
      <c r="G439" s="1"/>
      <c r="H439" s="1"/>
      <c r="I439" s="1"/>
      <c r="J439" s="1" t="str">
        <f t="shared" si="6"/>
        <v/>
      </c>
    </row>
    <row r="440" spans="1:10" ht="14.25" customHeight="1" x14ac:dyDescent="0.2">
      <c r="A440" s="1" t="s">
        <v>560</v>
      </c>
      <c r="B440" s="1" t="s">
        <v>86</v>
      </c>
      <c r="C440" s="1">
        <v>184032282</v>
      </c>
      <c r="D440" s="1" t="s">
        <v>2507</v>
      </c>
      <c r="E440" s="1" t="s">
        <v>1567</v>
      </c>
      <c r="F440" s="1">
        <v>1</v>
      </c>
      <c r="G440" s="1"/>
      <c r="H440" s="1"/>
      <c r="I440" s="1"/>
      <c r="J440" s="1" t="str">
        <f t="shared" si="6"/>
        <v/>
      </c>
    </row>
    <row r="441" spans="1:10" ht="14.25" customHeight="1" x14ac:dyDescent="0.2">
      <c r="A441" s="1" t="s">
        <v>562</v>
      </c>
      <c r="B441" s="1" t="s">
        <v>86</v>
      </c>
      <c r="C441" s="1">
        <v>184032282</v>
      </c>
      <c r="D441" s="1" t="s">
        <v>2509</v>
      </c>
      <c r="E441" s="1" t="s">
        <v>1567</v>
      </c>
      <c r="F441" s="1">
        <v>1</v>
      </c>
      <c r="G441" s="1"/>
      <c r="H441" s="1"/>
      <c r="I441" s="1"/>
      <c r="J441" s="1" t="str">
        <f t="shared" si="6"/>
        <v/>
      </c>
    </row>
    <row r="442" spans="1:10" ht="14.25" customHeight="1" x14ac:dyDescent="0.2">
      <c r="A442" s="1" t="s">
        <v>1333</v>
      </c>
      <c r="B442" s="1" t="s">
        <v>43</v>
      </c>
      <c r="C442" s="1">
        <v>18900286</v>
      </c>
      <c r="D442" s="1" t="s">
        <v>3283</v>
      </c>
      <c r="E442" s="1" t="s">
        <v>2010</v>
      </c>
      <c r="F442" s="1">
        <v>2</v>
      </c>
      <c r="G442" s="1"/>
      <c r="H442" s="1"/>
      <c r="I442" s="1"/>
      <c r="J442" s="1" t="str">
        <f t="shared" si="6"/>
        <v/>
      </c>
    </row>
    <row r="443" spans="1:10" ht="14.25" customHeight="1" x14ac:dyDescent="0.2">
      <c r="A443" s="1" t="s">
        <v>549</v>
      </c>
      <c r="B443" s="1" t="s">
        <v>86</v>
      </c>
      <c r="C443" s="1">
        <v>124801479</v>
      </c>
      <c r="D443" s="1" t="s">
        <v>3226</v>
      </c>
      <c r="E443" s="1" t="s">
        <v>1977</v>
      </c>
      <c r="F443" s="1">
        <v>2</v>
      </c>
      <c r="G443" s="1"/>
      <c r="H443" s="1"/>
      <c r="I443" s="1"/>
      <c r="J443" s="1" t="str">
        <f t="shared" si="6"/>
        <v/>
      </c>
    </row>
    <row r="444" spans="1:10" ht="14.25" customHeight="1" x14ac:dyDescent="0.2">
      <c r="A444" s="1" t="s">
        <v>480</v>
      </c>
      <c r="B444" s="1" t="s">
        <v>1</v>
      </c>
      <c r="C444" s="1">
        <v>220403668</v>
      </c>
      <c r="D444" s="1" t="s">
        <v>2438</v>
      </c>
      <c r="E444" s="1" t="s">
        <v>1536</v>
      </c>
      <c r="F444" s="1">
        <v>1</v>
      </c>
      <c r="G444" s="1"/>
      <c r="H444" s="1"/>
      <c r="I444" s="1"/>
      <c r="J444" s="1" t="str">
        <f t="shared" si="6"/>
        <v/>
      </c>
    </row>
    <row r="445" spans="1:10" ht="14.25" customHeight="1" x14ac:dyDescent="0.2">
      <c r="A445" s="1" t="s">
        <v>815</v>
      </c>
      <c r="B445" s="1" t="s">
        <v>33</v>
      </c>
      <c r="C445" s="1">
        <v>33750463</v>
      </c>
      <c r="D445" s="1" t="s">
        <v>2727</v>
      </c>
      <c r="E445" s="1" t="s">
        <v>1697</v>
      </c>
      <c r="F445" s="1">
        <v>1</v>
      </c>
      <c r="G445" s="1"/>
      <c r="H445" s="1"/>
      <c r="I445" s="1"/>
      <c r="J445" s="1" t="str">
        <f t="shared" si="6"/>
        <v/>
      </c>
    </row>
    <row r="446" spans="1:10" ht="14.25" customHeight="1" x14ac:dyDescent="0.2">
      <c r="A446" s="1" t="s">
        <v>817</v>
      </c>
      <c r="B446" s="1" t="s">
        <v>33</v>
      </c>
      <c r="C446" s="1">
        <v>33750818</v>
      </c>
      <c r="D446" s="1" t="s">
        <v>2729</v>
      </c>
      <c r="E446" s="1" t="s">
        <v>1697</v>
      </c>
      <c r="F446" s="1">
        <v>1</v>
      </c>
      <c r="G446" s="1"/>
      <c r="H446" s="1"/>
      <c r="I446" s="1"/>
      <c r="J446" s="1" t="str">
        <f t="shared" si="6"/>
        <v/>
      </c>
    </row>
    <row r="447" spans="1:10" ht="14.25" customHeight="1" x14ac:dyDescent="0.2">
      <c r="A447" s="1" t="s">
        <v>1113</v>
      </c>
      <c r="B447" s="1" t="s">
        <v>121</v>
      </c>
      <c r="C447" s="1">
        <v>3292027</v>
      </c>
      <c r="D447" s="1" t="s">
        <v>2978</v>
      </c>
      <c r="E447" s="1" t="s">
        <v>1835</v>
      </c>
      <c r="F447" s="1">
        <v>1</v>
      </c>
      <c r="G447" s="1"/>
      <c r="H447" s="1"/>
      <c r="I447" s="1"/>
      <c r="J447" s="1" t="str">
        <f t="shared" si="6"/>
        <v/>
      </c>
    </row>
    <row r="448" spans="1:10" ht="14.25" customHeight="1" x14ac:dyDescent="0.2">
      <c r="A448" s="1" t="s">
        <v>1023</v>
      </c>
      <c r="B448" s="1" t="s">
        <v>212</v>
      </c>
      <c r="C448" s="1">
        <v>27677044</v>
      </c>
      <c r="D448" s="1" t="s">
        <v>2900</v>
      </c>
      <c r="E448" s="1" t="s">
        <v>1780</v>
      </c>
      <c r="F448" s="1">
        <v>1</v>
      </c>
      <c r="G448" s="1"/>
      <c r="H448" s="1"/>
      <c r="I448" s="1"/>
      <c r="J448" s="1" t="str">
        <f t="shared" si="6"/>
        <v/>
      </c>
    </row>
    <row r="449" spans="1:10" ht="14.25" customHeight="1" x14ac:dyDescent="0.2">
      <c r="A449" s="1" t="s">
        <v>574</v>
      </c>
      <c r="B449" s="1" t="s">
        <v>569</v>
      </c>
      <c r="C449" s="1">
        <v>1160719</v>
      </c>
      <c r="D449" s="1" t="s">
        <v>2518</v>
      </c>
      <c r="E449" s="1" t="s">
        <v>1571</v>
      </c>
      <c r="F449" s="1">
        <v>1</v>
      </c>
      <c r="G449" s="1"/>
      <c r="H449" s="1"/>
      <c r="I449" s="1"/>
      <c r="J449" s="1" t="str">
        <f t="shared" si="6"/>
        <v/>
      </c>
    </row>
    <row r="450" spans="1:10" ht="14.25" customHeight="1" x14ac:dyDescent="0.2">
      <c r="A450" s="1" t="s">
        <v>1122</v>
      </c>
      <c r="B450" s="1" t="s">
        <v>121</v>
      </c>
      <c r="C450" s="1">
        <v>19535178</v>
      </c>
      <c r="D450" s="1" t="s">
        <v>2986</v>
      </c>
      <c r="E450" s="1" t="s">
        <v>1841</v>
      </c>
      <c r="F450" s="1">
        <v>1</v>
      </c>
      <c r="G450" s="1"/>
      <c r="H450" s="1"/>
      <c r="I450" s="1"/>
      <c r="J450" s="1" t="str">
        <f t="shared" si="6"/>
        <v/>
      </c>
    </row>
    <row r="451" spans="1:10" ht="14.25" customHeight="1" x14ac:dyDescent="0.2">
      <c r="A451" s="1" t="s">
        <v>1289</v>
      </c>
      <c r="B451" s="1" t="s">
        <v>50</v>
      </c>
      <c r="C451" s="1">
        <v>58038692</v>
      </c>
      <c r="D451" s="1" t="s">
        <v>3116</v>
      </c>
      <c r="E451" s="1" t="s">
        <v>1923</v>
      </c>
      <c r="F451" s="1">
        <v>1</v>
      </c>
      <c r="G451" s="1"/>
      <c r="H451" s="1"/>
      <c r="I451" s="1"/>
      <c r="J451" s="1" t="str">
        <f t="shared" ref="J451:J514" si="7">IF(H451="",IF(I451="","",I451),H451)</f>
        <v/>
      </c>
    </row>
    <row r="452" spans="1:10" ht="14.25" customHeight="1" x14ac:dyDescent="0.2">
      <c r="A452" s="1" t="s">
        <v>1322</v>
      </c>
      <c r="B452" s="1" t="s">
        <v>241</v>
      </c>
      <c r="C452" s="1">
        <v>43483067</v>
      </c>
      <c r="D452" s="1" t="s">
        <v>3146</v>
      </c>
      <c r="E452" s="1" t="s">
        <v>1942</v>
      </c>
      <c r="F452" s="1">
        <v>1</v>
      </c>
      <c r="G452" s="1"/>
      <c r="H452" s="1"/>
      <c r="I452" s="1"/>
      <c r="J452" s="1" t="str">
        <f t="shared" si="7"/>
        <v/>
      </c>
    </row>
    <row r="453" spans="1:10" ht="14.25" customHeight="1" x14ac:dyDescent="0.2">
      <c r="A453" s="1" t="s">
        <v>1323</v>
      </c>
      <c r="B453" s="1" t="s">
        <v>241</v>
      </c>
      <c r="C453" s="1">
        <v>43483067</v>
      </c>
      <c r="D453" s="1" t="s">
        <v>3147</v>
      </c>
      <c r="E453" s="1" t="s">
        <v>1942</v>
      </c>
      <c r="F453" s="1">
        <v>1</v>
      </c>
      <c r="G453" s="1"/>
      <c r="H453" s="1"/>
      <c r="I453" s="1"/>
      <c r="J453" s="1" t="str">
        <f t="shared" si="7"/>
        <v/>
      </c>
    </row>
    <row r="454" spans="1:10" ht="14.25" customHeight="1" x14ac:dyDescent="0.2">
      <c r="A454" s="1" t="s">
        <v>364</v>
      </c>
      <c r="B454" s="1" t="s">
        <v>139</v>
      </c>
      <c r="C454" s="1">
        <v>95699710</v>
      </c>
      <c r="D454" s="1" t="s">
        <v>2340</v>
      </c>
      <c r="E454" s="1" t="s">
        <v>1480</v>
      </c>
      <c r="F454" s="1">
        <v>1</v>
      </c>
      <c r="G454" s="1"/>
      <c r="H454" s="1"/>
      <c r="I454" s="1"/>
      <c r="J454" s="1" t="str">
        <f t="shared" si="7"/>
        <v/>
      </c>
    </row>
    <row r="455" spans="1:10" ht="14.25" customHeight="1" x14ac:dyDescent="0.2">
      <c r="A455" s="1" t="s">
        <v>1387</v>
      </c>
      <c r="B455" s="1" t="s">
        <v>73</v>
      </c>
      <c r="C455" s="1">
        <v>65815478</v>
      </c>
      <c r="D455" s="1" t="s">
        <v>3189</v>
      </c>
      <c r="E455" s="1" t="s">
        <v>1961</v>
      </c>
      <c r="F455" s="1">
        <v>1</v>
      </c>
      <c r="G455" s="1"/>
      <c r="H455" s="1"/>
      <c r="I455" s="1"/>
      <c r="J455" s="1" t="str">
        <f t="shared" si="7"/>
        <v/>
      </c>
    </row>
    <row r="456" spans="1:10" ht="14.25" customHeight="1" x14ac:dyDescent="0.2">
      <c r="A456" s="1" t="s">
        <v>148</v>
      </c>
      <c r="B456" s="1" t="s">
        <v>50</v>
      </c>
      <c r="C456" s="1">
        <v>56052022</v>
      </c>
      <c r="D456" s="1" t="s">
        <v>2135</v>
      </c>
      <c r="E456" s="1" t="s">
        <v>147</v>
      </c>
      <c r="F456" s="1" t="s">
        <v>2062</v>
      </c>
      <c r="G456" s="1"/>
      <c r="H456" s="1" t="s">
        <v>3763</v>
      </c>
      <c r="I456" s="1"/>
      <c r="J456" s="1" t="str">
        <f t="shared" si="7"/>
        <v>纠后正确</v>
      </c>
    </row>
    <row r="457" spans="1:10" ht="14.25" customHeight="1" x14ac:dyDescent="0.2">
      <c r="A457" s="1" t="s">
        <v>1069</v>
      </c>
      <c r="B457" s="1" t="s">
        <v>81</v>
      </c>
      <c r="C457" s="1">
        <v>23776068</v>
      </c>
      <c r="D457" s="1" t="s">
        <v>2940</v>
      </c>
      <c r="E457" s="1" t="s">
        <v>1810</v>
      </c>
      <c r="F457" s="1">
        <v>1</v>
      </c>
      <c r="G457" s="1"/>
      <c r="H457" s="1"/>
      <c r="I457" s="1"/>
      <c r="J457" s="1" t="str">
        <f t="shared" si="7"/>
        <v/>
      </c>
    </row>
    <row r="458" spans="1:10" ht="14.25" customHeight="1" x14ac:dyDescent="0.2">
      <c r="A458" s="1" t="s">
        <v>1070</v>
      </c>
      <c r="B458" s="1" t="s">
        <v>81</v>
      </c>
      <c r="C458" s="1">
        <v>23775970</v>
      </c>
      <c r="D458" s="1" t="s">
        <v>2941</v>
      </c>
      <c r="E458" s="1" t="s">
        <v>1811</v>
      </c>
      <c r="F458" s="1">
        <v>1</v>
      </c>
      <c r="G458" s="1"/>
      <c r="H458" s="1"/>
      <c r="I458" s="1"/>
      <c r="J458" s="1" t="str">
        <f t="shared" si="7"/>
        <v/>
      </c>
    </row>
    <row r="459" spans="1:10" ht="14.25" customHeight="1" x14ac:dyDescent="0.2">
      <c r="A459" s="1" t="s">
        <v>1218</v>
      </c>
      <c r="B459" s="1" t="s">
        <v>179</v>
      </c>
      <c r="C459" s="1">
        <v>70409548</v>
      </c>
      <c r="D459" s="1" t="s">
        <v>3065</v>
      </c>
      <c r="E459" s="1" t="s">
        <v>1893</v>
      </c>
      <c r="F459" s="1">
        <v>1</v>
      </c>
      <c r="G459" s="1"/>
      <c r="H459" s="1"/>
      <c r="I459" s="1"/>
      <c r="J459" s="1" t="str">
        <f t="shared" si="7"/>
        <v/>
      </c>
    </row>
    <row r="460" spans="1:10" ht="14.25" customHeight="1" x14ac:dyDescent="0.2">
      <c r="A460" s="1" t="s">
        <v>495</v>
      </c>
      <c r="B460" s="1" t="s">
        <v>86</v>
      </c>
      <c r="C460" s="1">
        <v>9958757</v>
      </c>
      <c r="D460" s="1" t="s">
        <v>2450</v>
      </c>
      <c r="E460" s="1" t="s">
        <v>1542</v>
      </c>
      <c r="F460" s="1">
        <v>1</v>
      </c>
      <c r="G460" s="1"/>
      <c r="H460" s="1"/>
      <c r="I460" s="1"/>
      <c r="J460" s="1" t="str">
        <f t="shared" si="7"/>
        <v/>
      </c>
    </row>
    <row r="461" spans="1:10" ht="14.25" customHeight="1" x14ac:dyDescent="0.2">
      <c r="A461" s="1" t="s">
        <v>496</v>
      </c>
      <c r="B461" s="1" t="s">
        <v>86</v>
      </c>
      <c r="C461" s="1">
        <v>9958757</v>
      </c>
      <c r="D461" s="1" t="s">
        <v>2451</v>
      </c>
      <c r="E461" s="1" t="s">
        <v>1542</v>
      </c>
      <c r="F461" s="1">
        <v>1</v>
      </c>
      <c r="G461" s="1"/>
      <c r="H461" s="1"/>
      <c r="I461" s="1"/>
      <c r="J461" s="1" t="str">
        <f t="shared" si="7"/>
        <v/>
      </c>
    </row>
    <row r="462" spans="1:10" ht="14.25" customHeight="1" x14ac:dyDescent="0.2">
      <c r="A462" s="1" t="s">
        <v>498</v>
      </c>
      <c r="B462" s="1" t="s">
        <v>86</v>
      </c>
      <c r="C462" s="1">
        <v>9958757</v>
      </c>
      <c r="D462" s="1" t="s">
        <v>2453</v>
      </c>
      <c r="E462" s="1" t="s">
        <v>1542</v>
      </c>
      <c r="F462" s="1">
        <v>1</v>
      </c>
      <c r="G462" s="1"/>
      <c r="H462" s="1"/>
      <c r="I462" s="1"/>
      <c r="J462" s="1" t="str">
        <f t="shared" si="7"/>
        <v/>
      </c>
    </row>
    <row r="463" spans="1:10" ht="14.25" customHeight="1" x14ac:dyDescent="0.2">
      <c r="A463" s="1" t="s">
        <v>1017</v>
      </c>
      <c r="B463" s="1" t="s">
        <v>212</v>
      </c>
      <c r="C463" s="1">
        <v>25261222</v>
      </c>
      <c r="D463" s="1" t="s">
        <v>2894</v>
      </c>
      <c r="E463" s="1" t="s">
        <v>1779</v>
      </c>
      <c r="F463" s="1">
        <v>1</v>
      </c>
      <c r="G463" s="1"/>
      <c r="H463" s="1"/>
      <c r="I463" s="1"/>
      <c r="J463" s="1" t="str">
        <f t="shared" si="7"/>
        <v/>
      </c>
    </row>
    <row r="464" spans="1:10" ht="14.25" customHeight="1" x14ac:dyDescent="0.2">
      <c r="A464" s="1" t="s">
        <v>1020</v>
      </c>
      <c r="B464" s="1" t="s">
        <v>212</v>
      </c>
      <c r="C464" s="1">
        <v>25261222</v>
      </c>
      <c r="D464" s="1" t="s">
        <v>2897</v>
      </c>
      <c r="E464" s="1" t="s">
        <v>1779</v>
      </c>
      <c r="F464" s="1">
        <v>1</v>
      </c>
      <c r="G464" s="1"/>
      <c r="H464" s="1"/>
      <c r="I464" s="1"/>
      <c r="J464" s="1" t="str">
        <f t="shared" si="7"/>
        <v/>
      </c>
    </row>
    <row r="465" spans="1:10" ht="14.25" customHeight="1" x14ac:dyDescent="0.2">
      <c r="A465" s="1" t="s">
        <v>402</v>
      </c>
      <c r="B465" s="1" t="s">
        <v>139</v>
      </c>
      <c r="C465" s="1">
        <v>247108848</v>
      </c>
      <c r="D465" s="1" t="s">
        <v>2376</v>
      </c>
      <c r="E465" s="1" t="s">
        <v>1499</v>
      </c>
      <c r="F465" s="1">
        <v>1</v>
      </c>
      <c r="G465" s="1"/>
      <c r="H465" s="1"/>
      <c r="I465" s="1"/>
      <c r="J465" s="1" t="str">
        <f t="shared" si="7"/>
        <v/>
      </c>
    </row>
    <row r="466" spans="1:10" ht="14.25" customHeight="1" x14ac:dyDescent="0.2">
      <c r="A466" s="1" t="s">
        <v>680</v>
      </c>
      <c r="B466" s="1" t="s">
        <v>175</v>
      </c>
      <c r="C466" s="1">
        <v>43737945</v>
      </c>
      <c r="D466" s="1" t="s">
        <v>2616</v>
      </c>
      <c r="E466" s="1" t="s">
        <v>1634</v>
      </c>
      <c r="F466" s="1">
        <v>1</v>
      </c>
      <c r="G466" s="1"/>
      <c r="H466" s="1"/>
      <c r="I466" s="1"/>
      <c r="J466" s="1" t="str">
        <f t="shared" si="7"/>
        <v/>
      </c>
    </row>
    <row r="467" spans="1:10" ht="14.25" customHeight="1" x14ac:dyDescent="0.2">
      <c r="A467" s="1" t="s">
        <v>1198</v>
      </c>
      <c r="B467" s="1" t="s">
        <v>47</v>
      </c>
      <c r="C467" s="1">
        <v>75084724</v>
      </c>
      <c r="D467" s="1" t="s">
        <v>3049</v>
      </c>
      <c r="E467" s="1" t="s">
        <v>1884</v>
      </c>
      <c r="F467" s="1">
        <v>1</v>
      </c>
      <c r="G467" s="1"/>
      <c r="H467" s="1"/>
      <c r="I467" s="1"/>
      <c r="J467" s="1" t="str">
        <f t="shared" si="7"/>
        <v/>
      </c>
    </row>
    <row r="468" spans="1:10" ht="14.25" customHeight="1" x14ac:dyDescent="0.2">
      <c r="A468" s="1" t="s">
        <v>1199</v>
      </c>
      <c r="B468" s="1" t="s">
        <v>47</v>
      </c>
      <c r="C468" s="1">
        <v>75085234</v>
      </c>
      <c r="D468" s="1" t="s">
        <v>3050</v>
      </c>
      <c r="E468" s="1" t="s">
        <v>1884</v>
      </c>
      <c r="F468" s="1">
        <v>1</v>
      </c>
      <c r="G468" s="1"/>
      <c r="H468" s="1"/>
      <c r="I468" s="1"/>
      <c r="J468" s="1" t="str">
        <f t="shared" si="7"/>
        <v/>
      </c>
    </row>
    <row r="469" spans="1:10" ht="14.25" customHeight="1" x14ac:dyDescent="0.2">
      <c r="A469" s="1" t="s">
        <v>1061</v>
      </c>
      <c r="B469" s="1" t="s">
        <v>106</v>
      </c>
      <c r="C469" s="1">
        <v>103459495</v>
      </c>
      <c r="D469" s="1" t="s">
        <v>3256</v>
      </c>
      <c r="E469" s="1" t="s">
        <v>1993</v>
      </c>
      <c r="F469" s="1">
        <v>2</v>
      </c>
      <c r="G469" s="1"/>
      <c r="H469" s="1"/>
      <c r="I469" s="1"/>
      <c r="J469" s="1" t="str">
        <f t="shared" si="7"/>
        <v/>
      </c>
    </row>
    <row r="470" spans="1:10" ht="14.25" customHeight="1" x14ac:dyDescent="0.2">
      <c r="A470" s="1" t="s">
        <v>1160</v>
      </c>
      <c r="B470" s="1" t="s">
        <v>47</v>
      </c>
      <c r="C470" s="1">
        <v>15339331</v>
      </c>
      <c r="D470" s="1" t="s">
        <v>3018</v>
      </c>
      <c r="E470" s="1" t="s">
        <v>1860</v>
      </c>
      <c r="F470" s="1">
        <v>1</v>
      </c>
      <c r="G470" s="1"/>
      <c r="H470" s="1"/>
      <c r="I470" s="1"/>
      <c r="J470" s="1" t="str">
        <f t="shared" si="7"/>
        <v/>
      </c>
    </row>
    <row r="471" spans="1:10" ht="14.25" customHeight="1" x14ac:dyDescent="0.2">
      <c r="A471" s="1" t="s">
        <v>429</v>
      </c>
      <c r="B471" s="1" t="s">
        <v>1</v>
      </c>
      <c r="C471" s="1">
        <v>85545140</v>
      </c>
      <c r="D471" s="1" t="s">
        <v>2397</v>
      </c>
      <c r="E471" s="1" t="s">
        <v>1513</v>
      </c>
      <c r="F471" s="1">
        <v>1</v>
      </c>
      <c r="G471" s="1"/>
      <c r="H471" s="1"/>
      <c r="I471" s="1"/>
      <c r="J471" s="1" t="str">
        <f t="shared" si="7"/>
        <v/>
      </c>
    </row>
    <row r="472" spans="1:10" ht="14.25" customHeight="1" x14ac:dyDescent="0.2">
      <c r="A472" s="1" t="s">
        <v>428</v>
      </c>
      <c r="B472" s="1" t="s">
        <v>1</v>
      </c>
      <c r="C472" s="1">
        <v>85545140</v>
      </c>
      <c r="D472" s="1" t="s">
        <v>2396</v>
      </c>
      <c r="E472" s="1" t="s">
        <v>1513</v>
      </c>
      <c r="F472" s="1">
        <v>1</v>
      </c>
      <c r="G472" s="1"/>
      <c r="H472" s="1"/>
      <c r="I472" s="1"/>
      <c r="J472" s="1" t="str">
        <f t="shared" si="7"/>
        <v/>
      </c>
    </row>
    <row r="473" spans="1:10" ht="14.25" customHeight="1" x14ac:dyDescent="0.2">
      <c r="A473" s="1" t="s">
        <v>541</v>
      </c>
      <c r="B473" s="1" t="s">
        <v>86</v>
      </c>
      <c r="C473" s="1">
        <v>121774208</v>
      </c>
      <c r="D473" s="1" t="s">
        <v>2492</v>
      </c>
      <c r="E473" s="1" t="s">
        <v>1559</v>
      </c>
      <c r="F473" s="1">
        <v>1</v>
      </c>
      <c r="G473" s="1"/>
      <c r="H473" s="1" t="s">
        <v>3762</v>
      </c>
      <c r="I473" s="1"/>
      <c r="J473" s="1" t="str">
        <f t="shared" si="7"/>
        <v>无变化</v>
      </c>
    </row>
    <row r="474" spans="1:10" ht="14.25" customHeight="1" x14ac:dyDescent="0.2">
      <c r="A474" s="1" t="s">
        <v>542</v>
      </c>
      <c r="B474" s="1" t="s">
        <v>86</v>
      </c>
      <c r="C474" s="1">
        <v>121774208</v>
      </c>
      <c r="D474" s="1" t="s">
        <v>2493</v>
      </c>
      <c r="E474" s="1" t="s">
        <v>1559</v>
      </c>
      <c r="F474" s="1">
        <v>1</v>
      </c>
      <c r="G474" s="1"/>
      <c r="H474" s="1" t="s">
        <v>3762</v>
      </c>
      <c r="I474" s="1"/>
      <c r="J474" s="1" t="str">
        <f t="shared" si="7"/>
        <v>无变化</v>
      </c>
    </row>
    <row r="475" spans="1:10" ht="14.25" customHeight="1" x14ac:dyDescent="0.2">
      <c r="A475" s="1" t="s">
        <v>768</v>
      </c>
      <c r="B475" s="1" t="s">
        <v>40</v>
      </c>
      <c r="C475" s="1">
        <v>143548460</v>
      </c>
      <c r="D475" s="1" t="s">
        <v>2690</v>
      </c>
      <c r="E475" s="1" t="s">
        <v>1674</v>
      </c>
      <c r="F475" s="1">
        <v>1</v>
      </c>
      <c r="G475" s="1"/>
      <c r="H475" s="1"/>
      <c r="I475" s="1"/>
      <c r="J475" s="1" t="str">
        <f t="shared" si="7"/>
        <v/>
      </c>
    </row>
    <row r="476" spans="1:10" ht="14.25" customHeight="1" x14ac:dyDescent="0.2">
      <c r="A476" s="1" t="s">
        <v>1133</v>
      </c>
      <c r="B476" s="1" t="s">
        <v>121</v>
      </c>
      <c r="C476" s="1">
        <v>30772932</v>
      </c>
      <c r="D476" s="1" t="s">
        <v>2994</v>
      </c>
      <c r="E476" s="1" t="s">
        <v>1847</v>
      </c>
      <c r="F476" s="1">
        <v>1</v>
      </c>
      <c r="G476" s="1"/>
      <c r="H476" s="1"/>
      <c r="I476" s="1"/>
      <c r="J476" s="1" t="str">
        <f t="shared" si="7"/>
        <v/>
      </c>
    </row>
    <row r="477" spans="1:10" ht="14.25" customHeight="1" x14ac:dyDescent="0.2">
      <c r="A477" s="1" t="s">
        <v>1134</v>
      </c>
      <c r="B477" s="1" t="s">
        <v>121</v>
      </c>
      <c r="C477" s="1">
        <v>30772932</v>
      </c>
      <c r="D477" s="1" t="s">
        <v>2995</v>
      </c>
      <c r="E477" s="1" t="s">
        <v>1847</v>
      </c>
      <c r="F477" s="1">
        <v>1</v>
      </c>
      <c r="G477" s="1"/>
      <c r="H477" s="1"/>
      <c r="I477" s="1"/>
      <c r="J477" s="1" t="str">
        <f t="shared" si="7"/>
        <v/>
      </c>
    </row>
    <row r="478" spans="1:10" ht="14.25" customHeight="1" x14ac:dyDescent="0.2">
      <c r="A478" s="1" t="s">
        <v>991</v>
      </c>
      <c r="B478" s="1" t="s">
        <v>36</v>
      </c>
      <c r="C478" s="1">
        <v>117156401</v>
      </c>
      <c r="D478" s="1" t="s">
        <v>2872</v>
      </c>
      <c r="E478" s="1" t="s">
        <v>1765</v>
      </c>
      <c r="F478" s="1">
        <v>1</v>
      </c>
      <c r="G478" s="1"/>
      <c r="H478" s="1"/>
      <c r="I478" s="1"/>
      <c r="J478" s="1" t="str">
        <f t="shared" si="7"/>
        <v/>
      </c>
    </row>
    <row r="479" spans="1:10" ht="14.25" customHeight="1" x14ac:dyDescent="0.2">
      <c r="A479" s="1" t="s">
        <v>990</v>
      </c>
      <c r="B479" s="1" t="s">
        <v>36</v>
      </c>
      <c r="C479" s="1">
        <v>117156401</v>
      </c>
      <c r="D479" s="1" t="s">
        <v>2871</v>
      </c>
      <c r="E479" s="1" t="s">
        <v>1765</v>
      </c>
      <c r="F479" s="1">
        <v>1</v>
      </c>
      <c r="G479" s="1"/>
      <c r="H479" s="1"/>
      <c r="I479" s="1"/>
      <c r="J479" s="1" t="str">
        <f t="shared" si="7"/>
        <v/>
      </c>
    </row>
    <row r="480" spans="1:10" ht="14.25" customHeight="1" x14ac:dyDescent="0.2">
      <c r="A480" s="1" t="s">
        <v>1086</v>
      </c>
      <c r="B480" s="1" t="s">
        <v>113</v>
      </c>
      <c r="C480" s="1">
        <v>40453209</v>
      </c>
      <c r="D480" s="1" t="s">
        <v>2953</v>
      </c>
      <c r="E480" s="1" t="s">
        <v>1820</v>
      </c>
      <c r="F480" s="1">
        <v>1</v>
      </c>
      <c r="G480" s="1"/>
      <c r="H480" s="1"/>
      <c r="I480" s="1"/>
      <c r="J480" s="1" t="str">
        <f t="shared" si="7"/>
        <v/>
      </c>
    </row>
    <row r="481" spans="1:10" ht="14.25" customHeight="1" x14ac:dyDescent="0.2">
      <c r="A481" s="1" t="s">
        <v>250</v>
      </c>
      <c r="B481" s="1" t="s">
        <v>40</v>
      </c>
      <c r="C481" s="1">
        <v>50344377</v>
      </c>
      <c r="D481" s="1" t="s">
        <v>3328</v>
      </c>
      <c r="E481" s="1" t="s">
        <v>2030</v>
      </c>
      <c r="F481" s="1" t="s">
        <v>2062</v>
      </c>
      <c r="G481" s="1" t="s">
        <v>8391</v>
      </c>
      <c r="H481" s="1" t="s">
        <v>3762</v>
      </c>
      <c r="I481" s="1"/>
      <c r="J481" s="1" t="str">
        <f t="shared" si="7"/>
        <v>无变化</v>
      </c>
    </row>
    <row r="482" spans="1:10" ht="14.25" customHeight="1" x14ac:dyDescent="0.2">
      <c r="A482" s="1" t="s">
        <v>250</v>
      </c>
      <c r="B482" s="1" t="s">
        <v>40</v>
      </c>
      <c r="C482" s="1">
        <v>50444230</v>
      </c>
      <c r="D482" s="1" t="s">
        <v>3331</v>
      </c>
      <c r="E482" s="1" t="s">
        <v>2030</v>
      </c>
      <c r="F482" s="1" t="s">
        <v>2062</v>
      </c>
      <c r="G482" s="1" t="s">
        <v>8391</v>
      </c>
      <c r="H482" s="1" t="s">
        <v>8397</v>
      </c>
      <c r="I482" s="1"/>
      <c r="J482" s="1" t="str">
        <f t="shared" si="7"/>
        <v>错误</v>
      </c>
    </row>
    <row r="483" spans="1:10" ht="14.25" customHeight="1" x14ac:dyDescent="0.2">
      <c r="A483" s="1" t="s">
        <v>251</v>
      </c>
      <c r="B483" s="1" t="s">
        <v>40</v>
      </c>
      <c r="C483" s="1">
        <v>50450237</v>
      </c>
      <c r="D483" s="1" t="s">
        <v>3334</v>
      </c>
      <c r="E483" s="1" t="s">
        <v>2030</v>
      </c>
      <c r="F483" s="1" t="s">
        <v>2062</v>
      </c>
      <c r="G483" s="1" t="s">
        <v>8391</v>
      </c>
      <c r="H483" s="1" t="s">
        <v>8398</v>
      </c>
      <c r="I483" s="1"/>
      <c r="J483" s="1" t="str">
        <f t="shared" si="7"/>
        <v>错误</v>
      </c>
    </row>
    <row r="484" spans="1:10" ht="14.25" customHeight="1" x14ac:dyDescent="0.2">
      <c r="A484" s="1" t="s">
        <v>252</v>
      </c>
      <c r="B484" s="1" t="s">
        <v>40</v>
      </c>
      <c r="C484" s="1">
        <v>50450237</v>
      </c>
      <c r="D484" s="1" t="s">
        <v>3335</v>
      </c>
      <c r="E484" s="1" t="s">
        <v>2030</v>
      </c>
      <c r="F484" s="1" t="s">
        <v>2062</v>
      </c>
      <c r="G484" s="1" t="s">
        <v>8391</v>
      </c>
      <c r="H484" s="1" t="s">
        <v>8397</v>
      </c>
      <c r="I484" s="1"/>
      <c r="J484" s="1" t="str">
        <f t="shared" si="7"/>
        <v>错误</v>
      </c>
    </row>
    <row r="485" spans="1:10" ht="14.25" customHeight="1" x14ac:dyDescent="0.2">
      <c r="A485" s="1" t="s">
        <v>253</v>
      </c>
      <c r="B485" s="1" t="s">
        <v>40</v>
      </c>
      <c r="C485" s="1">
        <v>50344377</v>
      </c>
      <c r="D485" s="1" t="s">
        <v>3327</v>
      </c>
      <c r="E485" s="1" t="s">
        <v>2030</v>
      </c>
      <c r="F485" s="1" t="s">
        <v>2062</v>
      </c>
      <c r="G485" s="1" t="s">
        <v>8391</v>
      </c>
      <c r="H485" s="1" t="s">
        <v>3762</v>
      </c>
      <c r="I485" s="1"/>
      <c r="J485" s="1" t="str">
        <f t="shared" si="7"/>
        <v>无变化</v>
      </c>
    </row>
    <row r="486" spans="1:10" ht="14.25" customHeight="1" x14ac:dyDescent="0.2">
      <c r="A486" s="1" t="s">
        <v>253</v>
      </c>
      <c r="B486" s="1" t="s">
        <v>40</v>
      </c>
      <c r="C486" s="1">
        <v>50444230</v>
      </c>
      <c r="D486" s="1" t="s">
        <v>3332</v>
      </c>
      <c r="E486" s="1" t="s">
        <v>2030</v>
      </c>
      <c r="F486" s="1" t="s">
        <v>2062</v>
      </c>
      <c r="G486" s="1" t="s">
        <v>8391</v>
      </c>
      <c r="H486" s="1" t="s">
        <v>8397</v>
      </c>
      <c r="I486" s="1"/>
      <c r="J486" s="1" t="str">
        <f t="shared" si="7"/>
        <v>错误</v>
      </c>
    </row>
    <row r="487" spans="1:10" ht="14.25" customHeight="1" x14ac:dyDescent="0.2">
      <c r="A487" s="1" t="s">
        <v>254</v>
      </c>
      <c r="B487" s="1" t="s">
        <v>40</v>
      </c>
      <c r="C487" s="1">
        <v>50450237</v>
      </c>
      <c r="D487" s="1" t="s">
        <v>3336</v>
      </c>
      <c r="E487" s="1" t="s">
        <v>2030</v>
      </c>
      <c r="F487" s="1" t="s">
        <v>2062</v>
      </c>
      <c r="G487" s="1" t="s">
        <v>8391</v>
      </c>
      <c r="H487" s="1" t="s">
        <v>8397</v>
      </c>
      <c r="I487" s="1"/>
      <c r="J487" s="1" t="str">
        <f t="shared" si="7"/>
        <v>错误</v>
      </c>
    </row>
    <row r="488" spans="1:10" ht="14.25" customHeight="1" x14ac:dyDescent="0.2">
      <c r="A488" s="1" t="s">
        <v>255</v>
      </c>
      <c r="B488" s="1" t="s">
        <v>40</v>
      </c>
      <c r="C488" s="1">
        <v>50450237</v>
      </c>
      <c r="D488" s="1" t="s">
        <v>3337</v>
      </c>
      <c r="E488" s="1" t="s">
        <v>2030</v>
      </c>
      <c r="F488" s="1" t="s">
        <v>2062</v>
      </c>
      <c r="G488" s="1" t="s">
        <v>8391</v>
      </c>
      <c r="H488" s="1" t="s">
        <v>8397</v>
      </c>
      <c r="I488" s="1"/>
      <c r="J488" s="1" t="str">
        <f t="shared" si="7"/>
        <v>错误</v>
      </c>
    </row>
    <row r="489" spans="1:10" ht="14.25" customHeight="1" x14ac:dyDescent="0.2">
      <c r="A489" s="1" t="s">
        <v>256</v>
      </c>
      <c r="B489" s="1" t="s">
        <v>40</v>
      </c>
      <c r="C489" s="1">
        <v>50344377</v>
      </c>
      <c r="D489" s="1" t="s">
        <v>3329</v>
      </c>
      <c r="E489" s="1" t="s">
        <v>2030</v>
      </c>
      <c r="F489" s="1" t="s">
        <v>2062</v>
      </c>
      <c r="G489" s="1" t="s">
        <v>8391</v>
      </c>
      <c r="H489" s="1" t="s">
        <v>3762</v>
      </c>
      <c r="I489" s="1"/>
      <c r="J489" s="1" t="str">
        <f t="shared" si="7"/>
        <v>无变化</v>
      </c>
    </row>
    <row r="490" spans="1:10" ht="14.25" customHeight="1" x14ac:dyDescent="0.2">
      <c r="A490" s="1" t="s">
        <v>256</v>
      </c>
      <c r="B490" s="1" t="s">
        <v>40</v>
      </c>
      <c r="C490" s="1">
        <v>50444230</v>
      </c>
      <c r="D490" s="1" t="s">
        <v>3333</v>
      </c>
      <c r="E490" s="1" t="s">
        <v>2030</v>
      </c>
      <c r="F490" s="1" t="s">
        <v>2062</v>
      </c>
      <c r="G490" s="1" t="s">
        <v>8391</v>
      </c>
      <c r="H490" s="1" t="s">
        <v>8397</v>
      </c>
      <c r="I490" s="1"/>
      <c r="J490" s="1" t="str">
        <f t="shared" si="7"/>
        <v>错误</v>
      </c>
    </row>
    <row r="491" spans="1:10" ht="14.25" customHeight="1" x14ac:dyDescent="0.2">
      <c r="A491" s="1" t="s">
        <v>727</v>
      </c>
      <c r="B491" s="1" t="s">
        <v>40</v>
      </c>
      <c r="C491" s="1">
        <v>50467612</v>
      </c>
      <c r="D491" s="1" t="s">
        <v>3342</v>
      </c>
      <c r="E491" s="1" t="s">
        <v>3735</v>
      </c>
      <c r="F491" s="1" t="s">
        <v>2062</v>
      </c>
      <c r="G491" s="1" t="s">
        <v>8391</v>
      </c>
      <c r="H491" s="1"/>
      <c r="I491" s="1"/>
      <c r="J491" s="1" t="str">
        <f t="shared" si="7"/>
        <v/>
      </c>
    </row>
    <row r="492" spans="1:10" ht="14.25" customHeight="1" x14ac:dyDescent="0.2">
      <c r="A492" s="1" t="s">
        <v>723</v>
      </c>
      <c r="B492" s="1" t="s">
        <v>40</v>
      </c>
      <c r="C492" s="1">
        <v>50455031</v>
      </c>
      <c r="D492" s="1" t="s">
        <v>3338</v>
      </c>
      <c r="E492" s="1" t="s">
        <v>2030</v>
      </c>
      <c r="F492" s="1" t="s">
        <v>2062</v>
      </c>
      <c r="G492" s="1" t="s">
        <v>8391</v>
      </c>
      <c r="H492" s="1" t="s">
        <v>3763</v>
      </c>
      <c r="I492" s="1"/>
      <c r="J492" s="1" t="str">
        <f t="shared" si="7"/>
        <v>纠后正确</v>
      </c>
    </row>
    <row r="493" spans="1:10" ht="14.25" customHeight="1" x14ac:dyDescent="0.2">
      <c r="A493" s="1" t="s">
        <v>724</v>
      </c>
      <c r="B493" s="1" t="s">
        <v>40</v>
      </c>
      <c r="C493" s="1">
        <v>50455031</v>
      </c>
      <c r="D493" s="1" t="s">
        <v>3339</v>
      </c>
      <c r="E493" s="1" t="s">
        <v>2030</v>
      </c>
      <c r="F493" s="1" t="s">
        <v>2062</v>
      </c>
      <c r="G493" s="1" t="s">
        <v>8391</v>
      </c>
      <c r="H493" s="1" t="s">
        <v>3763</v>
      </c>
      <c r="I493" s="1"/>
      <c r="J493" s="1" t="str">
        <f t="shared" si="7"/>
        <v>纠后正确</v>
      </c>
    </row>
    <row r="494" spans="1:10" ht="14.25" customHeight="1" x14ac:dyDescent="0.2">
      <c r="A494" s="1" t="s">
        <v>725</v>
      </c>
      <c r="B494" s="1" t="s">
        <v>40</v>
      </c>
      <c r="C494" s="1">
        <v>50459421</v>
      </c>
      <c r="D494" s="1" t="s">
        <v>3340</v>
      </c>
      <c r="E494" s="1" t="s">
        <v>2030</v>
      </c>
      <c r="F494" s="1" t="s">
        <v>2062</v>
      </c>
      <c r="G494" s="1" t="s">
        <v>8391</v>
      </c>
      <c r="H494" s="1"/>
      <c r="I494" s="1"/>
      <c r="J494" s="1" t="str">
        <f t="shared" si="7"/>
        <v/>
      </c>
    </row>
    <row r="495" spans="1:10" ht="14.25" customHeight="1" x14ac:dyDescent="0.2">
      <c r="A495" s="1" t="s">
        <v>726</v>
      </c>
      <c r="B495" s="1" t="s">
        <v>40</v>
      </c>
      <c r="C495" s="1">
        <v>50459421</v>
      </c>
      <c r="D495" s="1" t="s">
        <v>3341</v>
      </c>
      <c r="E495" s="1" t="s">
        <v>2030</v>
      </c>
      <c r="F495" s="1" t="s">
        <v>2062</v>
      </c>
      <c r="G495" s="1" t="s">
        <v>8391</v>
      </c>
      <c r="H495" s="1"/>
      <c r="I495" s="1"/>
      <c r="J495" s="1" t="str">
        <f t="shared" si="7"/>
        <v/>
      </c>
    </row>
    <row r="496" spans="1:10" ht="14.25" customHeight="1" x14ac:dyDescent="0.2">
      <c r="A496" s="1" t="s">
        <v>623</v>
      </c>
      <c r="B496" s="1" t="s">
        <v>569</v>
      </c>
      <c r="C496" s="1">
        <v>122737598</v>
      </c>
      <c r="D496" s="1" t="s">
        <v>2565</v>
      </c>
      <c r="E496" s="1" t="s">
        <v>1595</v>
      </c>
      <c r="F496" s="1">
        <v>1</v>
      </c>
      <c r="G496" s="1"/>
      <c r="H496" s="1"/>
      <c r="I496" s="1"/>
      <c r="J496" s="1" t="str">
        <f t="shared" si="7"/>
        <v/>
      </c>
    </row>
    <row r="497" spans="1:10" ht="14.25" customHeight="1" x14ac:dyDescent="0.2">
      <c r="A497" s="1" t="s">
        <v>1003</v>
      </c>
      <c r="B497" s="1" t="s">
        <v>212</v>
      </c>
      <c r="C497" s="1">
        <v>6554050</v>
      </c>
      <c r="D497" s="1" t="s">
        <v>2882</v>
      </c>
      <c r="E497" s="1" t="s">
        <v>1771</v>
      </c>
      <c r="F497" s="1">
        <v>1</v>
      </c>
      <c r="G497" s="1"/>
      <c r="H497" s="1"/>
      <c r="I497" s="1"/>
      <c r="J497" s="1" t="str">
        <f t="shared" si="7"/>
        <v/>
      </c>
    </row>
    <row r="498" spans="1:10" ht="14.25" customHeight="1" x14ac:dyDescent="0.2">
      <c r="A498" s="1" t="s">
        <v>1389</v>
      </c>
      <c r="B498" s="1" t="s">
        <v>73</v>
      </c>
      <c r="C498" s="1">
        <v>65815478</v>
      </c>
      <c r="D498" s="1" t="s">
        <v>3191</v>
      </c>
      <c r="E498" s="1" t="s">
        <v>1961</v>
      </c>
      <c r="F498" s="1">
        <v>1</v>
      </c>
      <c r="G498" s="1"/>
      <c r="H498" s="1"/>
      <c r="I498" s="1"/>
      <c r="J498" s="1" t="str">
        <f t="shared" si="7"/>
        <v/>
      </c>
    </row>
    <row r="499" spans="1:10" ht="14.25" customHeight="1" x14ac:dyDescent="0.2">
      <c r="A499" s="1" t="s">
        <v>704</v>
      </c>
      <c r="B499" s="1" t="s">
        <v>175</v>
      </c>
      <c r="C499" s="1">
        <v>133065008</v>
      </c>
      <c r="D499" s="1" t="s">
        <v>2637</v>
      </c>
      <c r="E499" s="1" t="s">
        <v>1644</v>
      </c>
      <c r="F499" s="1">
        <v>1</v>
      </c>
      <c r="G499" s="1"/>
      <c r="H499" s="1"/>
      <c r="I499" s="1"/>
      <c r="J499" s="1" t="str">
        <f t="shared" si="7"/>
        <v/>
      </c>
    </row>
    <row r="500" spans="1:10" ht="14.25" customHeight="1" x14ac:dyDescent="0.2">
      <c r="A500" s="1" t="s">
        <v>1164</v>
      </c>
      <c r="B500" s="1" t="s">
        <v>47</v>
      </c>
      <c r="C500" s="1">
        <v>26721660</v>
      </c>
      <c r="D500" s="1" t="s">
        <v>3386</v>
      </c>
      <c r="E500" s="1" t="s">
        <v>2051</v>
      </c>
      <c r="F500" s="1" t="s">
        <v>2062</v>
      </c>
      <c r="G500" s="1"/>
      <c r="H500" s="1" t="s">
        <v>3763</v>
      </c>
      <c r="I500" s="1"/>
      <c r="J500" s="1" t="str">
        <f t="shared" si="7"/>
        <v>纠后正确</v>
      </c>
    </row>
    <row r="501" spans="1:10" ht="14.25" customHeight="1" x14ac:dyDescent="0.2">
      <c r="A501" s="1" t="s">
        <v>648</v>
      </c>
      <c r="B501" s="1" t="s">
        <v>186</v>
      </c>
      <c r="C501" s="1">
        <v>112312406</v>
      </c>
      <c r="D501" s="1" t="s">
        <v>2586</v>
      </c>
      <c r="E501" s="1" t="s">
        <v>1612</v>
      </c>
      <c r="F501" s="1">
        <v>1</v>
      </c>
      <c r="G501" s="1"/>
      <c r="H501" s="1"/>
      <c r="I501" s="1"/>
      <c r="J501" s="1" t="str">
        <f t="shared" si="7"/>
        <v/>
      </c>
    </row>
    <row r="502" spans="1:10" ht="14.25" customHeight="1" x14ac:dyDescent="0.2">
      <c r="A502" s="1" t="s">
        <v>1169</v>
      </c>
      <c r="B502" s="1" t="s">
        <v>47</v>
      </c>
      <c r="C502" s="1">
        <v>37895023</v>
      </c>
      <c r="D502" s="1" t="s">
        <v>3024</v>
      </c>
      <c r="E502" s="1" t="s">
        <v>1865</v>
      </c>
      <c r="F502" s="1">
        <v>1</v>
      </c>
      <c r="G502" s="1"/>
      <c r="H502" s="1"/>
      <c r="I502" s="1"/>
      <c r="J502" s="1" t="str">
        <f t="shared" si="7"/>
        <v/>
      </c>
    </row>
    <row r="503" spans="1:10" ht="14.25" x14ac:dyDescent="0.2">
      <c r="A503" s="1" t="s">
        <v>3871</v>
      </c>
      <c r="B503" s="1" t="s">
        <v>50</v>
      </c>
      <c r="C503" s="1">
        <v>52655843</v>
      </c>
      <c r="D503" s="1" t="s">
        <v>3401</v>
      </c>
      <c r="E503" s="1" t="s">
        <v>2061</v>
      </c>
      <c r="F503" s="1" t="s">
        <v>2067</v>
      </c>
      <c r="G503" s="1"/>
      <c r="H503" s="1" t="s">
        <v>8383</v>
      </c>
      <c r="I503" s="1"/>
      <c r="J503" s="1" t="str">
        <f t="shared" si="7"/>
        <v>无此变体，新增其他变体chr19:53115616</v>
      </c>
    </row>
    <row r="504" spans="1:10" ht="14.25" x14ac:dyDescent="0.2">
      <c r="A504" s="1" t="s">
        <v>3917</v>
      </c>
      <c r="B504" s="1" t="s">
        <v>50</v>
      </c>
      <c r="C504" s="1">
        <v>52655843</v>
      </c>
      <c r="D504" s="1" t="s">
        <v>3400</v>
      </c>
      <c r="E504" s="1" t="s">
        <v>3721</v>
      </c>
      <c r="F504" s="1" t="s">
        <v>2067</v>
      </c>
      <c r="G504" s="1"/>
      <c r="H504" s="1" t="s">
        <v>8383</v>
      </c>
      <c r="I504" s="1"/>
      <c r="J504" s="1" t="str">
        <f t="shared" si="7"/>
        <v>无此变体，新增其他变体chr19:53115616</v>
      </c>
    </row>
    <row r="505" spans="1:10" ht="14.25" customHeight="1" x14ac:dyDescent="0.2">
      <c r="A505" s="1" t="s">
        <v>981</v>
      </c>
      <c r="B505" s="1" t="s">
        <v>36</v>
      </c>
      <c r="C505" s="1">
        <v>112831968</v>
      </c>
      <c r="D505" s="1" t="s">
        <v>3361</v>
      </c>
      <c r="E505" s="1" t="s">
        <v>2038</v>
      </c>
      <c r="F505" s="1" t="s">
        <v>2062</v>
      </c>
      <c r="G505" s="1"/>
      <c r="H505" s="1" t="s">
        <v>3763</v>
      </c>
      <c r="I505" s="1"/>
      <c r="J505" s="1" t="str">
        <f t="shared" si="7"/>
        <v>纠后正确</v>
      </c>
    </row>
    <row r="506" spans="1:10" ht="14.25" customHeight="1" x14ac:dyDescent="0.2">
      <c r="A506" s="1" t="s">
        <v>985</v>
      </c>
      <c r="B506" s="1" t="s">
        <v>36</v>
      </c>
      <c r="C506" s="1">
        <v>112831968</v>
      </c>
      <c r="D506" s="1" t="s">
        <v>3365</v>
      </c>
      <c r="E506" s="1" t="s">
        <v>2038</v>
      </c>
      <c r="F506" s="1" t="s">
        <v>2062</v>
      </c>
      <c r="G506" s="1"/>
      <c r="H506" s="1" t="s">
        <v>3763</v>
      </c>
      <c r="I506" s="1"/>
      <c r="J506" s="1" t="str">
        <f t="shared" si="7"/>
        <v>纠后正确</v>
      </c>
    </row>
    <row r="507" spans="1:10" ht="14.25" customHeight="1" x14ac:dyDescent="0.2">
      <c r="A507" s="1" t="s">
        <v>8763</v>
      </c>
      <c r="B507" s="1" t="s">
        <v>175</v>
      </c>
      <c r="C507" s="1">
        <v>29910246</v>
      </c>
      <c r="D507" s="1" t="s">
        <v>2244</v>
      </c>
      <c r="E507" s="1" t="s">
        <v>8752</v>
      </c>
      <c r="F507" s="1" t="s">
        <v>3406</v>
      </c>
      <c r="G507" s="1"/>
      <c r="H507" s="1"/>
      <c r="I507" s="1"/>
      <c r="J507" s="1" t="str">
        <f t="shared" si="7"/>
        <v/>
      </c>
    </row>
    <row r="508" spans="1:10" ht="14.25" customHeight="1" x14ac:dyDescent="0.2">
      <c r="A508" s="1" t="s">
        <v>352</v>
      </c>
      <c r="B508" s="1" t="s">
        <v>139</v>
      </c>
      <c r="C508" s="1">
        <v>92414927</v>
      </c>
      <c r="D508" s="1" t="s">
        <v>2328</v>
      </c>
      <c r="E508" s="1" t="s">
        <v>1478</v>
      </c>
      <c r="F508" s="1">
        <v>1</v>
      </c>
      <c r="G508" s="1"/>
      <c r="H508" s="1"/>
      <c r="I508" s="1"/>
      <c r="J508" s="1" t="str">
        <f t="shared" si="7"/>
        <v/>
      </c>
    </row>
    <row r="509" spans="1:10" ht="14.25" customHeight="1" x14ac:dyDescent="0.2">
      <c r="A509" s="1" t="s">
        <v>353</v>
      </c>
      <c r="B509" s="1" t="s">
        <v>139</v>
      </c>
      <c r="C509" s="1">
        <v>92414927</v>
      </c>
      <c r="D509" s="1" t="s">
        <v>2329</v>
      </c>
      <c r="E509" s="1" t="s">
        <v>1478</v>
      </c>
      <c r="F509" s="1">
        <v>1</v>
      </c>
      <c r="G509" s="1"/>
      <c r="H509" s="1"/>
      <c r="I509" s="1"/>
      <c r="J509" s="1" t="str">
        <f t="shared" si="7"/>
        <v/>
      </c>
    </row>
    <row r="510" spans="1:10" ht="14.25" customHeight="1" x14ac:dyDescent="0.2">
      <c r="A510" s="1" t="s">
        <v>356</v>
      </c>
      <c r="B510" s="1" t="s">
        <v>139</v>
      </c>
      <c r="C510" s="1">
        <v>92414927</v>
      </c>
      <c r="D510" s="1" t="s">
        <v>2332</v>
      </c>
      <c r="E510" s="1" t="s">
        <v>1478</v>
      </c>
      <c r="F510" s="1">
        <v>1</v>
      </c>
      <c r="G510" s="1"/>
      <c r="H510" s="1"/>
      <c r="I510" s="1"/>
      <c r="J510" s="1" t="str">
        <f t="shared" si="7"/>
        <v/>
      </c>
    </row>
    <row r="511" spans="1:10" ht="14.25" customHeight="1" x14ac:dyDescent="0.2">
      <c r="A511" s="1" t="s">
        <v>355</v>
      </c>
      <c r="B511" s="1" t="s">
        <v>139</v>
      </c>
      <c r="C511" s="1">
        <v>92414927</v>
      </c>
      <c r="D511" s="1" t="s">
        <v>2331</v>
      </c>
      <c r="E511" s="1" t="s">
        <v>1478</v>
      </c>
      <c r="F511" s="1">
        <v>1</v>
      </c>
      <c r="G511" s="1"/>
      <c r="H511" s="1"/>
      <c r="I511" s="1"/>
      <c r="J511" s="1" t="str">
        <f t="shared" si="7"/>
        <v/>
      </c>
    </row>
    <row r="512" spans="1:10" ht="14.25" customHeight="1" x14ac:dyDescent="0.2">
      <c r="A512" s="1" t="s">
        <v>351</v>
      </c>
      <c r="B512" s="1" t="s">
        <v>139</v>
      </c>
      <c r="C512" s="1">
        <v>92414927</v>
      </c>
      <c r="D512" s="1" t="s">
        <v>2327</v>
      </c>
      <c r="E512" s="1" t="s">
        <v>1478</v>
      </c>
      <c r="F512" s="1">
        <v>1</v>
      </c>
      <c r="G512" s="1"/>
      <c r="H512" s="1"/>
      <c r="I512" s="1"/>
      <c r="J512" s="1" t="str">
        <f t="shared" si="7"/>
        <v/>
      </c>
    </row>
    <row r="513" spans="1:10" ht="14.25" customHeight="1" x14ac:dyDescent="0.2">
      <c r="A513" s="1" t="s">
        <v>730</v>
      </c>
      <c r="B513" s="1" t="s">
        <v>40</v>
      </c>
      <c r="C513" s="1">
        <v>50526133</v>
      </c>
      <c r="D513" s="1" t="s">
        <v>2657</v>
      </c>
      <c r="E513" s="1" t="s">
        <v>1656</v>
      </c>
      <c r="F513" s="1">
        <v>1</v>
      </c>
      <c r="G513" s="1"/>
      <c r="H513" s="1"/>
      <c r="I513" s="1"/>
      <c r="J513" s="1" t="str">
        <f t="shared" si="7"/>
        <v/>
      </c>
    </row>
    <row r="514" spans="1:10" ht="14.25" customHeight="1" x14ac:dyDescent="0.2">
      <c r="A514" s="1" t="s">
        <v>732</v>
      </c>
      <c r="B514" s="1" t="s">
        <v>40</v>
      </c>
      <c r="C514" s="1">
        <v>50526133</v>
      </c>
      <c r="D514" s="1" t="s">
        <v>2659</v>
      </c>
      <c r="E514" s="1" t="s">
        <v>1656</v>
      </c>
      <c r="F514" s="1">
        <v>1</v>
      </c>
      <c r="G514" s="1"/>
      <c r="H514" s="1"/>
      <c r="I514" s="1"/>
      <c r="J514" s="1" t="str">
        <f t="shared" si="7"/>
        <v/>
      </c>
    </row>
    <row r="515" spans="1:10" ht="14.25" customHeight="1" x14ac:dyDescent="0.2">
      <c r="A515" s="1" t="s">
        <v>729</v>
      </c>
      <c r="B515" s="1" t="s">
        <v>40</v>
      </c>
      <c r="C515" s="1">
        <v>50526133</v>
      </c>
      <c r="D515" s="1" t="s">
        <v>2656</v>
      </c>
      <c r="E515" s="1" t="s">
        <v>1656</v>
      </c>
      <c r="F515" s="1">
        <v>1</v>
      </c>
      <c r="G515" s="1"/>
      <c r="H515" s="1"/>
      <c r="I515" s="1"/>
      <c r="J515" s="1" t="str">
        <f t="shared" ref="J515:J578" si="8">IF(H515="",IF(I515="","",I515),H515)</f>
        <v/>
      </c>
    </row>
    <row r="516" spans="1:10" ht="14.25" customHeight="1" x14ac:dyDescent="0.2">
      <c r="A516" s="1" t="s">
        <v>731</v>
      </c>
      <c r="B516" s="1" t="s">
        <v>40</v>
      </c>
      <c r="C516" s="1">
        <v>50526133</v>
      </c>
      <c r="D516" s="1" t="s">
        <v>2658</v>
      </c>
      <c r="E516" s="1" t="s">
        <v>1656</v>
      </c>
      <c r="F516" s="1">
        <v>1</v>
      </c>
      <c r="G516" s="1"/>
      <c r="H516" s="1"/>
      <c r="I516" s="1"/>
      <c r="J516" s="1" t="str">
        <f t="shared" si="8"/>
        <v/>
      </c>
    </row>
    <row r="517" spans="1:10" ht="14.25" customHeight="1" x14ac:dyDescent="0.2">
      <c r="A517" s="1" t="s">
        <v>734</v>
      </c>
      <c r="B517" s="1" t="s">
        <v>40</v>
      </c>
      <c r="C517" s="1">
        <v>50560344</v>
      </c>
      <c r="D517" s="1" t="s">
        <v>2661</v>
      </c>
      <c r="E517" s="1" t="s">
        <v>1656</v>
      </c>
      <c r="F517" s="1">
        <v>1</v>
      </c>
      <c r="G517" s="1"/>
      <c r="H517" s="1"/>
      <c r="I517" s="1"/>
      <c r="J517" s="1" t="str">
        <f t="shared" si="8"/>
        <v/>
      </c>
    </row>
    <row r="518" spans="1:10" ht="14.25" customHeight="1" x14ac:dyDescent="0.2">
      <c r="A518" s="1" t="s">
        <v>8764</v>
      </c>
      <c r="B518" s="1" t="s">
        <v>175</v>
      </c>
      <c r="C518" s="1">
        <v>20480073</v>
      </c>
      <c r="D518" s="1" t="s">
        <v>2243</v>
      </c>
      <c r="E518" s="1" t="s">
        <v>1427</v>
      </c>
      <c r="F518" s="1" t="s">
        <v>3406</v>
      </c>
      <c r="G518" s="1" t="s">
        <v>8765</v>
      </c>
      <c r="H518" s="1"/>
      <c r="I518" s="1"/>
      <c r="J518" s="1" t="str">
        <f t="shared" si="8"/>
        <v/>
      </c>
    </row>
    <row r="519" spans="1:10" ht="14.25" customHeight="1" x14ac:dyDescent="0.2">
      <c r="A519" s="1" t="s">
        <v>1151</v>
      </c>
      <c r="B519" s="1" t="s">
        <v>121</v>
      </c>
      <c r="C519" s="1">
        <v>84211452</v>
      </c>
      <c r="D519" s="1" t="s">
        <v>3011</v>
      </c>
      <c r="E519" s="1" t="s">
        <v>1856</v>
      </c>
      <c r="F519" s="1">
        <v>1</v>
      </c>
      <c r="G519" s="1"/>
      <c r="H519" s="1"/>
      <c r="I519" s="1"/>
      <c r="J519" s="1" t="str">
        <f t="shared" si="8"/>
        <v/>
      </c>
    </row>
    <row r="520" spans="1:10" ht="14.25" customHeight="1" x14ac:dyDescent="0.2">
      <c r="A520" s="1" t="s">
        <v>676</v>
      </c>
      <c r="B520" s="1" t="s">
        <v>175</v>
      </c>
      <c r="C520" s="1">
        <v>37137921</v>
      </c>
      <c r="D520" s="1" t="s">
        <v>2612</v>
      </c>
      <c r="E520" s="1" t="s">
        <v>1632</v>
      </c>
      <c r="F520" s="1">
        <v>1</v>
      </c>
      <c r="G520" s="1"/>
      <c r="H520" s="1"/>
      <c r="I520" s="1"/>
      <c r="J520" s="1" t="str">
        <f t="shared" si="8"/>
        <v/>
      </c>
    </row>
    <row r="521" spans="1:10" ht="14.25" customHeight="1" x14ac:dyDescent="0.2">
      <c r="A521" s="1" t="s">
        <v>197</v>
      </c>
      <c r="B521" s="1" t="s">
        <v>121</v>
      </c>
      <c r="C521" s="1">
        <v>135799</v>
      </c>
      <c r="D521" s="1" t="s">
        <v>2181</v>
      </c>
      <c r="E521" s="1" t="s">
        <v>290</v>
      </c>
      <c r="F521" s="1" t="s">
        <v>2062</v>
      </c>
      <c r="G521" s="1"/>
      <c r="H521" s="1" t="s">
        <v>3763</v>
      </c>
      <c r="I521" s="1"/>
      <c r="J521" s="1" t="str">
        <f t="shared" si="8"/>
        <v>纠后正确</v>
      </c>
    </row>
    <row r="522" spans="1:10" ht="14.25" customHeight="1" x14ac:dyDescent="0.2">
      <c r="A522" s="1" t="s">
        <v>198</v>
      </c>
      <c r="B522" s="1" t="s">
        <v>121</v>
      </c>
      <c r="C522" s="1">
        <v>135799</v>
      </c>
      <c r="D522" s="1" t="s">
        <v>2182</v>
      </c>
      <c r="E522" s="1" t="s">
        <v>290</v>
      </c>
      <c r="F522" s="1" t="s">
        <v>2062</v>
      </c>
      <c r="G522" s="1"/>
      <c r="H522" s="1" t="s">
        <v>3763</v>
      </c>
      <c r="I522" s="1"/>
      <c r="J522" s="1" t="str">
        <f t="shared" si="8"/>
        <v>纠后正确</v>
      </c>
    </row>
    <row r="523" spans="1:10" ht="14.25" customHeight="1" x14ac:dyDescent="0.2">
      <c r="A523" s="1" t="s">
        <v>199</v>
      </c>
      <c r="B523" s="1" t="s">
        <v>121</v>
      </c>
      <c r="C523" s="1">
        <v>135799</v>
      </c>
      <c r="D523" s="1" t="s">
        <v>2183</v>
      </c>
      <c r="E523" s="1" t="s">
        <v>290</v>
      </c>
      <c r="F523" s="1" t="s">
        <v>2062</v>
      </c>
      <c r="G523" s="1"/>
      <c r="H523" s="1" t="s">
        <v>3763</v>
      </c>
      <c r="I523" s="1"/>
      <c r="J523" s="1" t="str">
        <f t="shared" si="8"/>
        <v>纠后正确</v>
      </c>
    </row>
    <row r="524" spans="1:10" ht="14.25" customHeight="1" x14ac:dyDescent="0.2">
      <c r="A524" s="1" t="s">
        <v>631</v>
      </c>
      <c r="B524" s="1" t="s">
        <v>569</v>
      </c>
      <c r="C524" s="1">
        <v>170581212</v>
      </c>
      <c r="D524" s="1" t="s">
        <v>2572</v>
      </c>
      <c r="E524" s="1" t="s">
        <v>1600</v>
      </c>
      <c r="F524" s="1">
        <v>1</v>
      </c>
      <c r="G524" s="1"/>
      <c r="H524" s="1"/>
      <c r="I524" s="1"/>
      <c r="J524" s="1" t="str">
        <f t="shared" si="8"/>
        <v/>
      </c>
    </row>
    <row r="525" spans="1:10" ht="14.25" customHeight="1" x14ac:dyDescent="0.2">
      <c r="A525" s="1" t="s">
        <v>343</v>
      </c>
      <c r="B525" s="1" t="s">
        <v>139</v>
      </c>
      <c r="C525" s="1">
        <v>46654352</v>
      </c>
      <c r="D525" s="1" t="s">
        <v>2319</v>
      </c>
      <c r="E525" s="1" t="s">
        <v>1472</v>
      </c>
      <c r="F525" s="1">
        <v>1</v>
      </c>
      <c r="G525" s="1"/>
      <c r="H525" s="1"/>
      <c r="I525" s="1"/>
      <c r="J525" s="1" t="str">
        <f t="shared" si="8"/>
        <v/>
      </c>
    </row>
    <row r="526" spans="1:10" ht="14.25" customHeight="1" x14ac:dyDescent="0.2">
      <c r="A526" s="1" t="s">
        <v>492</v>
      </c>
      <c r="B526" s="1" t="s">
        <v>1</v>
      </c>
      <c r="C526" s="1">
        <v>242166681</v>
      </c>
      <c r="D526" s="1" t="s">
        <v>2447</v>
      </c>
      <c r="E526" s="1" t="s">
        <v>1540</v>
      </c>
      <c r="F526" s="1">
        <v>1</v>
      </c>
      <c r="G526" s="1"/>
      <c r="H526" s="1"/>
      <c r="I526" s="1"/>
      <c r="J526" s="1" t="str">
        <f t="shared" si="8"/>
        <v/>
      </c>
    </row>
    <row r="527" spans="1:10" ht="14.25" customHeight="1" x14ac:dyDescent="0.2">
      <c r="A527" s="1" t="s">
        <v>1275</v>
      </c>
      <c r="B527" s="1" t="s">
        <v>50</v>
      </c>
      <c r="C527" s="1">
        <v>50922194</v>
      </c>
      <c r="D527" s="1" t="s">
        <v>3105</v>
      </c>
      <c r="E527" s="1" t="s">
        <v>1917</v>
      </c>
      <c r="F527" s="1">
        <v>1</v>
      </c>
      <c r="G527" s="1"/>
      <c r="H527" s="1"/>
      <c r="I527" s="1"/>
      <c r="J527" s="1" t="str">
        <f t="shared" si="8"/>
        <v/>
      </c>
    </row>
    <row r="528" spans="1:10" ht="14.25" customHeight="1" x14ac:dyDescent="0.2">
      <c r="A528" s="1" t="s">
        <v>524</v>
      </c>
      <c r="B528" s="1" t="s">
        <v>86</v>
      </c>
      <c r="C528" s="1">
        <v>49924434</v>
      </c>
      <c r="D528" s="1" t="s">
        <v>2478</v>
      </c>
      <c r="E528" s="1" t="s">
        <v>1548</v>
      </c>
      <c r="F528" s="1">
        <v>1</v>
      </c>
      <c r="G528" s="1"/>
      <c r="H528" s="1"/>
      <c r="I528" s="1"/>
      <c r="J528" s="1" t="str">
        <f t="shared" si="8"/>
        <v/>
      </c>
    </row>
    <row r="529" spans="1:10" ht="14.25" customHeight="1" x14ac:dyDescent="0.2">
      <c r="A529" s="1" t="s">
        <v>854</v>
      </c>
      <c r="B529" s="1" t="s">
        <v>93</v>
      </c>
      <c r="C529" s="1">
        <v>33466418</v>
      </c>
      <c r="D529" s="1" t="s">
        <v>2761</v>
      </c>
      <c r="E529" s="1" t="s">
        <v>1716</v>
      </c>
      <c r="F529" s="1">
        <v>1</v>
      </c>
      <c r="G529" s="1"/>
      <c r="H529" s="1"/>
      <c r="I529" s="1"/>
      <c r="J529" s="1" t="str">
        <f t="shared" si="8"/>
        <v/>
      </c>
    </row>
    <row r="530" spans="1:10" ht="14.25" customHeight="1" x14ac:dyDescent="0.2">
      <c r="A530" s="1" t="s">
        <v>853</v>
      </c>
      <c r="B530" s="1" t="s">
        <v>93</v>
      </c>
      <c r="C530" s="1">
        <v>33466418</v>
      </c>
      <c r="D530" s="1" t="s">
        <v>2760</v>
      </c>
      <c r="E530" s="1" t="s">
        <v>1716</v>
      </c>
      <c r="F530" s="1">
        <v>1</v>
      </c>
      <c r="G530" s="1"/>
      <c r="H530" s="1"/>
      <c r="I530" s="1"/>
      <c r="J530" s="1" t="str">
        <f t="shared" si="8"/>
        <v/>
      </c>
    </row>
    <row r="531" spans="1:10" ht="14.25" customHeight="1" x14ac:dyDescent="0.2">
      <c r="A531" s="1" t="s">
        <v>1298</v>
      </c>
      <c r="B531" s="1" t="s">
        <v>53</v>
      </c>
      <c r="C531" s="1">
        <v>25176338</v>
      </c>
      <c r="D531" s="1" t="s">
        <v>3124</v>
      </c>
      <c r="E531" s="1" t="s">
        <v>1928</v>
      </c>
      <c r="F531" s="1">
        <v>1</v>
      </c>
      <c r="G531" s="1"/>
      <c r="H531" s="1"/>
      <c r="I531" s="1"/>
      <c r="J531" s="1" t="str">
        <f t="shared" si="8"/>
        <v/>
      </c>
    </row>
    <row r="532" spans="1:10" ht="14.25" customHeight="1" x14ac:dyDescent="0.2">
      <c r="A532" s="1" t="s">
        <v>1406</v>
      </c>
      <c r="B532" s="1" t="s">
        <v>73</v>
      </c>
      <c r="C532" s="1">
        <v>151301781</v>
      </c>
      <c r="D532" s="1" t="s">
        <v>3208</v>
      </c>
      <c r="E532" s="1" t="s">
        <v>1969</v>
      </c>
      <c r="F532" s="1">
        <v>1</v>
      </c>
      <c r="G532" s="1"/>
      <c r="H532" s="1"/>
      <c r="I532" s="1"/>
      <c r="J532" s="1" t="str">
        <f t="shared" si="8"/>
        <v/>
      </c>
    </row>
    <row r="533" spans="1:10" ht="14.25" customHeight="1" x14ac:dyDescent="0.2">
      <c r="A533" s="1" t="s">
        <v>829</v>
      </c>
      <c r="B533" s="1" t="s">
        <v>33</v>
      </c>
      <c r="C533" s="1">
        <v>130493802</v>
      </c>
      <c r="D533" s="1" t="s">
        <v>2737</v>
      </c>
      <c r="E533" s="1" t="s">
        <v>1702</v>
      </c>
      <c r="F533" s="1">
        <v>1</v>
      </c>
      <c r="G533" s="1"/>
      <c r="H533" s="1"/>
      <c r="I533" s="1"/>
      <c r="J533" s="1" t="str">
        <f t="shared" si="8"/>
        <v/>
      </c>
    </row>
    <row r="534" spans="1:10" ht="14.25" customHeight="1" x14ac:dyDescent="0.2">
      <c r="A534" s="1" t="s">
        <v>828</v>
      </c>
      <c r="B534" s="1" t="s">
        <v>33</v>
      </c>
      <c r="C534" s="1">
        <v>130493802</v>
      </c>
      <c r="D534" s="1" t="s">
        <v>2736</v>
      </c>
      <c r="E534" s="1" t="s">
        <v>1702</v>
      </c>
      <c r="F534" s="1">
        <v>1</v>
      </c>
      <c r="G534" s="1"/>
      <c r="H534" s="1"/>
      <c r="I534" s="1"/>
      <c r="J534" s="1" t="str">
        <f t="shared" si="8"/>
        <v/>
      </c>
    </row>
    <row r="535" spans="1:10" ht="14.25" customHeight="1" x14ac:dyDescent="0.2">
      <c r="A535" s="1" t="s">
        <v>1337</v>
      </c>
      <c r="B535" s="1" t="s">
        <v>43</v>
      </c>
      <c r="C535" s="1">
        <v>24666789</v>
      </c>
      <c r="D535" s="1" t="s">
        <v>3156</v>
      </c>
      <c r="E535" s="1" t="s">
        <v>1946</v>
      </c>
      <c r="F535" s="1">
        <v>1</v>
      </c>
      <c r="G535" s="1"/>
      <c r="H535" s="1"/>
      <c r="I535" s="1"/>
      <c r="J535" s="1" t="str">
        <f t="shared" si="8"/>
        <v/>
      </c>
    </row>
    <row r="536" spans="1:10" ht="14.25" customHeight="1" x14ac:dyDescent="0.2">
      <c r="A536" s="1" t="s">
        <v>1338</v>
      </c>
      <c r="B536" s="1" t="s">
        <v>43</v>
      </c>
      <c r="C536" s="1">
        <v>24738075</v>
      </c>
      <c r="D536" s="1" t="s">
        <v>3157</v>
      </c>
      <c r="E536" s="1" t="s">
        <v>1946</v>
      </c>
      <c r="F536" s="1">
        <v>1</v>
      </c>
      <c r="G536" s="1"/>
      <c r="H536" s="1"/>
      <c r="I536" s="1"/>
      <c r="J536" s="1" t="str">
        <f t="shared" si="8"/>
        <v/>
      </c>
    </row>
    <row r="537" spans="1:10" ht="14.25" customHeight="1" x14ac:dyDescent="0.2">
      <c r="A537" s="1" t="s">
        <v>1281</v>
      </c>
      <c r="B537" s="1" t="s">
        <v>50</v>
      </c>
      <c r="C537" s="1">
        <v>55525072</v>
      </c>
      <c r="D537" s="1" t="s">
        <v>3278</v>
      </c>
      <c r="E537" s="1" t="s">
        <v>1921</v>
      </c>
      <c r="F537" s="1">
        <v>2</v>
      </c>
      <c r="G537" s="1"/>
      <c r="H537" s="1"/>
      <c r="I537" s="1"/>
      <c r="J537" s="1" t="str">
        <f t="shared" si="8"/>
        <v/>
      </c>
    </row>
    <row r="538" spans="1:10" ht="14.25" customHeight="1" x14ac:dyDescent="0.2">
      <c r="A538" s="1" t="s">
        <v>379</v>
      </c>
      <c r="B538" s="1" t="s">
        <v>139</v>
      </c>
      <c r="C538" s="1">
        <v>146714290</v>
      </c>
      <c r="D538" s="1" t="s">
        <v>2355</v>
      </c>
      <c r="E538" s="1" t="s">
        <v>1486</v>
      </c>
      <c r="F538" s="1">
        <v>1</v>
      </c>
      <c r="G538" s="1"/>
      <c r="H538" s="1"/>
      <c r="I538" s="1"/>
      <c r="J538" s="1" t="str">
        <f t="shared" si="8"/>
        <v/>
      </c>
    </row>
    <row r="539" spans="1:10" ht="14.25" customHeight="1" x14ac:dyDescent="0.2">
      <c r="A539" s="1" t="s">
        <v>380</v>
      </c>
      <c r="B539" s="1" t="s">
        <v>139</v>
      </c>
      <c r="C539" s="1">
        <v>146714290</v>
      </c>
      <c r="D539" s="1" t="s">
        <v>2356</v>
      </c>
      <c r="E539" s="1" t="s">
        <v>1486</v>
      </c>
      <c r="F539" s="1">
        <v>1</v>
      </c>
      <c r="G539" s="1"/>
      <c r="H539" s="1"/>
      <c r="I539" s="1"/>
      <c r="J539" s="1" t="str">
        <f t="shared" si="8"/>
        <v/>
      </c>
    </row>
    <row r="540" spans="1:10" ht="14.25" customHeight="1" x14ac:dyDescent="0.2">
      <c r="A540" s="1" t="s">
        <v>381</v>
      </c>
      <c r="B540" s="1" t="s">
        <v>139</v>
      </c>
      <c r="C540" s="1">
        <v>146714290</v>
      </c>
      <c r="D540" s="1" t="s">
        <v>2357</v>
      </c>
      <c r="E540" s="1" t="s">
        <v>1486</v>
      </c>
      <c r="F540" s="1">
        <v>1</v>
      </c>
      <c r="G540" s="1"/>
      <c r="H540" s="1"/>
      <c r="I540" s="1"/>
      <c r="J540" s="1" t="str">
        <f t="shared" si="8"/>
        <v/>
      </c>
    </row>
    <row r="541" spans="1:10" ht="14.25" customHeight="1" x14ac:dyDescent="0.2">
      <c r="A541" s="1" t="s">
        <v>138</v>
      </c>
      <c r="B541" s="1" t="s">
        <v>139</v>
      </c>
      <c r="C541" s="1">
        <v>156338979</v>
      </c>
      <c r="D541" s="1" t="s">
        <v>2129</v>
      </c>
      <c r="E541" s="1" t="s">
        <v>137</v>
      </c>
      <c r="F541" s="1" t="s">
        <v>2062</v>
      </c>
      <c r="G541" s="1"/>
      <c r="H541" s="1" t="s">
        <v>3763</v>
      </c>
      <c r="I541" s="1"/>
      <c r="J541" s="1" t="str">
        <f t="shared" si="8"/>
        <v>纠后正确</v>
      </c>
    </row>
    <row r="542" spans="1:10" ht="14.25" customHeight="1" x14ac:dyDescent="0.2">
      <c r="A542" s="1" t="s">
        <v>140</v>
      </c>
      <c r="B542" s="1" t="s">
        <v>139</v>
      </c>
      <c r="C542" s="1">
        <v>156338979</v>
      </c>
      <c r="D542" s="1" t="s">
        <v>2130</v>
      </c>
      <c r="E542" s="1" t="s">
        <v>137</v>
      </c>
      <c r="F542" s="1" t="s">
        <v>2062</v>
      </c>
      <c r="G542" s="1"/>
      <c r="H542" s="1" t="s">
        <v>3763</v>
      </c>
      <c r="I542" s="1"/>
      <c r="J542" s="1" t="str">
        <f t="shared" si="8"/>
        <v>纠后正确</v>
      </c>
    </row>
    <row r="543" spans="1:10" ht="14.25" customHeight="1" x14ac:dyDescent="0.2">
      <c r="A543" s="1" t="s">
        <v>979</v>
      </c>
      <c r="B543" s="1" t="s">
        <v>36</v>
      </c>
      <c r="C543" s="1">
        <v>112047088</v>
      </c>
      <c r="D543" s="1" t="s">
        <v>3251</v>
      </c>
      <c r="E543" s="1" t="s">
        <v>1764</v>
      </c>
      <c r="F543" s="1">
        <v>2</v>
      </c>
      <c r="G543" s="1"/>
      <c r="H543" s="1"/>
      <c r="I543" s="1"/>
      <c r="J543" s="1" t="str">
        <f t="shared" si="8"/>
        <v/>
      </c>
    </row>
    <row r="544" spans="1:10" ht="14.25" customHeight="1" x14ac:dyDescent="0.2">
      <c r="A544" s="1" t="s">
        <v>977</v>
      </c>
      <c r="B544" s="1" t="s">
        <v>36</v>
      </c>
      <c r="C544" s="1">
        <v>112046207</v>
      </c>
      <c r="D544" s="1" t="s">
        <v>2866</v>
      </c>
      <c r="E544" s="1" t="s">
        <v>1764</v>
      </c>
      <c r="F544" s="1">
        <v>1</v>
      </c>
      <c r="G544" s="1"/>
      <c r="H544" s="1"/>
      <c r="I544" s="1"/>
      <c r="J544" s="1" t="str">
        <f t="shared" si="8"/>
        <v/>
      </c>
    </row>
    <row r="545" spans="1:10" ht="14.25" customHeight="1" x14ac:dyDescent="0.2">
      <c r="A545" s="1" t="s">
        <v>980</v>
      </c>
      <c r="B545" s="1" t="s">
        <v>36</v>
      </c>
      <c r="C545" s="1">
        <v>112047088</v>
      </c>
      <c r="D545" s="1" t="s">
        <v>3252</v>
      </c>
      <c r="E545" s="1" t="s">
        <v>1764</v>
      </c>
      <c r="F545" s="1">
        <v>2</v>
      </c>
      <c r="G545" s="1"/>
      <c r="H545" s="1"/>
      <c r="I545" s="1"/>
      <c r="J545" s="1" t="str">
        <f t="shared" si="8"/>
        <v/>
      </c>
    </row>
    <row r="546" spans="1:10" ht="14.25" customHeight="1" x14ac:dyDescent="0.2">
      <c r="A546" s="1" t="s">
        <v>603</v>
      </c>
      <c r="B546" s="1" t="s">
        <v>569</v>
      </c>
      <c r="C546" s="1">
        <v>95373007</v>
      </c>
      <c r="D546" s="1" t="s">
        <v>2545</v>
      </c>
      <c r="E546" s="1" t="s">
        <v>1585</v>
      </c>
      <c r="F546" s="1">
        <v>1</v>
      </c>
      <c r="G546" s="1"/>
      <c r="H546" s="1"/>
      <c r="I546" s="1"/>
      <c r="J546" s="1" t="str">
        <f t="shared" si="8"/>
        <v/>
      </c>
    </row>
    <row r="547" spans="1:10" ht="14.25" customHeight="1" x14ac:dyDescent="0.2">
      <c r="A547" s="1" t="s">
        <v>600</v>
      </c>
      <c r="B547" s="1" t="s">
        <v>569</v>
      </c>
      <c r="C547" s="1">
        <v>95373007</v>
      </c>
      <c r="D547" s="1" t="s">
        <v>2542</v>
      </c>
      <c r="E547" s="1" t="s">
        <v>1585</v>
      </c>
      <c r="F547" s="1">
        <v>1</v>
      </c>
      <c r="G547" s="1"/>
      <c r="H547" s="1"/>
      <c r="I547" s="1"/>
      <c r="J547" s="1" t="str">
        <f t="shared" si="8"/>
        <v/>
      </c>
    </row>
    <row r="548" spans="1:10" ht="14.25" customHeight="1" x14ac:dyDescent="0.2">
      <c r="A548" s="1" t="s">
        <v>601</v>
      </c>
      <c r="B548" s="1" t="s">
        <v>569</v>
      </c>
      <c r="C548" s="1">
        <v>95373007</v>
      </c>
      <c r="D548" s="1" t="s">
        <v>2543</v>
      </c>
      <c r="E548" s="1" t="s">
        <v>1585</v>
      </c>
      <c r="F548" s="1">
        <v>1</v>
      </c>
      <c r="G548" s="1"/>
      <c r="H548" s="1"/>
      <c r="I548" s="1"/>
      <c r="J548" s="1" t="str">
        <f t="shared" si="8"/>
        <v/>
      </c>
    </row>
    <row r="549" spans="1:10" ht="14.25" customHeight="1" x14ac:dyDescent="0.2">
      <c r="A549" s="1" t="s">
        <v>604</v>
      </c>
      <c r="B549" s="1" t="s">
        <v>569</v>
      </c>
      <c r="C549" s="1">
        <v>95373007</v>
      </c>
      <c r="D549" s="1" t="s">
        <v>2546</v>
      </c>
      <c r="E549" s="1" t="s">
        <v>1585</v>
      </c>
      <c r="F549" s="1">
        <v>1</v>
      </c>
      <c r="G549" s="1"/>
      <c r="H549" s="1"/>
      <c r="I549" s="1"/>
      <c r="J549" s="1" t="str">
        <f t="shared" si="8"/>
        <v/>
      </c>
    </row>
    <row r="550" spans="1:10" ht="14.25" customHeight="1" x14ac:dyDescent="0.2">
      <c r="A550" s="1" t="s">
        <v>905</v>
      </c>
      <c r="B550" s="1" t="s">
        <v>36</v>
      </c>
      <c r="C550" s="1">
        <v>7618416</v>
      </c>
      <c r="D550" s="1" t="s">
        <v>2805</v>
      </c>
      <c r="E550" s="1" t="s">
        <v>1734</v>
      </c>
      <c r="F550" s="1">
        <v>1</v>
      </c>
      <c r="G550" s="1"/>
      <c r="H550" s="1"/>
      <c r="I550" s="1"/>
      <c r="J550" s="1" t="str">
        <f t="shared" si="8"/>
        <v/>
      </c>
    </row>
    <row r="551" spans="1:10" ht="14.25" customHeight="1" x14ac:dyDescent="0.2">
      <c r="A551" s="1" t="s">
        <v>906</v>
      </c>
      <c r="B551" s="1" t="s">
        <v>36</v>
      </c>
      <c r="C551" s="1">
        <v>7626964</v>
      </c>
      <c r="D551" s="1" t="s">
        <v>2806</v>
      </c>
      <c r="E551" s="1" t="s">
        <v>1734</v>
      </c>
      <c r="F551" s="1">
        <v>1</v>
      </c>
      <c r="G551" s="1"/>
      <c r="H551" s="1"/>
      <c r="I551" s="1"/>
      <c r="J551" s="1" t="str">
        <f t="shared" si="8"/>
        <v/>
      </c>
    </row>
    <row r="552" spans="1:10" ht="14.25" customHeight="1" x14ac:dyDescent="0.2">
      <c r="A552" s="1" t="s">
        <v>884</v>
      </c>
      <c r="B552" s="1" t="s">
        <v>93</v>
      </c>
      <c r="C552" s="1">
        <v>99894380</v>
      </c>
      <c r="D552" s="1" t="s">
        <v>2789</v>
      </c>
      <c r="E552" s="1" t="s">
        <v>1726</v>
      </c>
      <c r="F552" s="1">
        <v>1</v>
      </c>
      <c r="G552" s="1"/>
      <c r="H552" s="1"/>
      <c r="I552" s="1"/>
      <c r="J552" s="1" t="str">
        <f t="shared" si="8"/>
        <v/>
      </c>
    </row>
    <row r="553" spans="1:10" ht="14.25" customHeight="1" x14ac:dyDescent="0.2">
      <c r="A553" s="1" t="s">
        <v>888</v>
      </c>
      <c r="B553" s="1" t="s">
        <v>93</v>
      </c>
      <c r="C553" s="1">
        <v>99894380</v>
      </c>
      <c r="D553" s="1" t="s">
        <v>2793</v>
      </c>
      <c r="E553" s="1" t="s">
        <v>1726</v>
      </c>
      <c r="F553" s="1">
        <v>1</v>
      </c>
      <c r="G553" s="1"/>
      <c r="H553" s="1"/>
      <c r="I553" s="1"/>
      <c r="J553" s="1" t="str">
        <f t="shared" si="8"/>
        <v/>
      </c>
    </row>
    <row r="554" spans="1:10" ht="14.25" customHeight="1" x14ac:dyDescent="0.2">
      <c r="A554" s="1" t="s">
        <v>887</v>
      </c>
      <c r="B554" s="1" t="s">
        <v>93</v>
      </c>
      <c r="C554" s="1">
        <v>99894380</v>
      </c>
      <c r="D554" s="1" t="s">
        <v>2792</v>
      </c>
      <c r="E554" s="1" t="s">
        <v>1726</v>
      </c>
      <c r="F554" s="1">
        <v>1</v>
      </c>
      <c r="G554" s="1"/>
      <c r="H554" s="1"/>
      <c r="I554" s="1"/>
      <c r="J554" s="1" t="str">
        <f t="shared" si="8"/>
        <v/>
      </c>
    </row>
    <row r="555" spans="1:10" ht="14.25" customHeight="1" x14ac:dyDescent="0.2">
      <c r="A555" s="1" t="s">
        <v>1274</v>
      </c>
      <c r="B555" s="1" t="s">
        <v>50</v>
      </c>
      <c r="C555" s="1">
        <v>50879679</v>
      </c>
      <c r="D555" s="1" t="s">
        <v>2288</v>
      </c>
      <c r="E555" s="1" t="s">
        <v>1452</v>
      </c>
      <c r="F555" s="1" t="s">
        <v>3406</v>
      </c>
      <c r="G555" s="1"/>
      <c r="H555" s="1" t="s">
        <v>3820</v>
      </c>
      <c r="I555" s="1"/>
      <c r="J555" s="1" t="str">
        <f t="shared" si="8"/>
        <v>纠后正确，加1个氨基酸chr19:50881825-50885859</v>
      </c>
    </row>
    <row r="556" spans="1:10" ht="14.25" customHeight="1" x14ac:dyDescent="0.2">
      <c r="A556" s="1" t="s">
        <v>1287</v>
      </c>
      <c r="B556" s="1" t="s">
        <v>50</v>
      </c>
      <c r="C556" s="1">
        <v>55670028</v>
      </c>
      <c r="D556" s="1" t="s">
        <v>3115</v>
      </c>
      <c r="E556" s="1" t="s">
        <v>1922</v>
      </c>
      <c r="F556" s="1">
        <v>1</v>
      </c>
      <c r="G556" s="1"/>
      <c r="H556" s="1"/>
      <c r="I556" s="1"/>
      <c r="J556" s="1" t="str">
        <f t="shared" si="8"/>
        <v/>
      </c>
    </row>
    <row r="557" spans="1:10" ht="14.25" customHeight="1" x14ac:dyDescent="0.2">
      <c r="A557" s="1" t="s">
        <v>1284</v>
      </c>
      <c r="B557" s="1" t="s">
        <v>50</v>
      </c>
      <c r="C557" s="1">
        <v>55670028</v>
      </c>
      <c r="D557" s="1" t="s">
        <v>3112</v>
      </c>
      <c r="E557" s="1" t="s">
        <v>1922</v>
      </c>
      <c r="F557" s="1">
        <v>1</v>
      </c>
      <c r="G557" s="1"/>
      <c r="H557" s="1"/>
      <c r="I557" s="1"/>
      <c r="J557" s="1" t="str">
        <f t="shared" si="8"/>
        <v/>
      </c>
    </row>
    <row r="558" spans="1:10" ht="14.25" customHeight="1" x14ac:dyDescent="0.2">
      <c r="A558" s="1" t="s">
        <v>1286</v>
      </c>
      <c r="B558" s="1" t="s">
        <v>50</v>
      </c>
      <c r="C558" s="1">
        <v>55670028</v>
      </c>
      <c r="D558" s="1" t="s">
        <v>3114</v>
      </c>
      <c r="E558" s="1" t="s">
        <v>1922</v>
      </c>
      <c r="F558" s="1">
        <v>1</v>
      </c>
      <c r="G558" s="1"/>
      <c r="H558" s="1"/>
      <c r="I558" s="1"/>
      <c r="J558" s="1" t="str">
        <f t="shared" si="8"/>
        <v/>
      </c>
    </row>
    <row r="559" spans="1:10" ht="14.25" customHeight="1" x14ac:dyDescent="0.2">
      <c r="A559" s="1" t="s">
        <v>83</v>
      </c>
      <c r="B559" s="1" t="s">
        <v>73</v>
      </c>
      <c r="C559" s="1">
        <v>122318095</v>
      </c>
      <c r="D559" s="1" t="s">
        <v>2098</v>
      </c>
      <c r="E559" s="1" t="s">
        <v>82</v>
      </c>
      <c r="F559" s="1" t="s">
        <v>2062</v>
      </c>
      <c r="G559" s="1"/>
      <c r="H559" s="1" t="s">
        <v>8394</v>
      </c>
      <c r="I559" s="1"/>
      <c r="J559" s="1" t="str">
        <f t="shared" si="8"/>
        <v>纠后正确</v>
      </c>
    </row>
    <row r="560" spans="1:10" ht="14.25" customHeight="1" x14ac:dyDescent="0.2">
      <c r="A560" s="1" t="s">
        <v>8901</v>
      </c>
      <c r="B560" s="1" t="s">
        <v>139</v>
      </c>
      <c r="C560" s="1">
        <v>2115898</v>
      </c>
      <c r="D560" s="1" t="s">
        <v>2299</v>
      </c>
      <c r="E560" s="1" t="s">
        <v>1461</v>
      </c>
      <c r="F560" s="1">
        <v>1</v>
      </c>
      <c r="G560" s="1"/>
      <c r="H560" s="1"/>
      <c r="I560" s="1"/>
      <c r="J560" s="1" t="str">
        <f t="shared" si="8"/>
        <v/>
      </c>
    </row>
    <row r="561" spans="1:10" ht="14.25" customHeight="1" x14ac:dyDescent="0.2">
      <c r="A561" s="1" t="s">
        <v>321</v>
      </c>
      <c r="B561" s="1" t="s">
        <v>139</v>
      </c>
      <c r="C561" s="1">
        <v>2123333</v>
      </c>
      <c r="D561" s="1" t="s">
        <v>2302</v>
      </c>
      <c r="E561" s="1" t="s">
        <v>1461</v>
      </c>
      <c r="F561" s="1">
        <v>1</v>
      </c>
      <c r="G561" s="1"/>
      <c r="H561" s="1"/>
      <c r="I561" s="1"/>
      <c r="J561" s="1" t="str">
        <f t="shared" si="8"/>
        <v/>
      </c>
    </row>
    <row r="562" spans="1:10" ht="14.25" customHeight="1" x14ac:dyDescent="0.2">
      <c r="A562" s="1" t="s">
        <v>319</v>
      </c>
      <c r="B562" s="1" t="s">
        <v>139</v>
      </c>
      <c r="C562" s="1">
        <v>2120986</v>
      </c>
      <c r="D562" s="1" t="s">
        <v>2300</v>
      </c>
      <c r="E562" s="1" t="s">
        <v>1461</v>
      </c>
      <c r="F562" s="1">
        <v>1</v>
      </c>
      <c r="G562" s="1"/>
      <c r="H562" s="1"/>
      <c r="I562" s="1"/>
      <c r="J562" s="1" t="str">
        <f t="shared" si="8"/>
        <v/>
      </c>
    </row>
    <row r="563" spans="1:10" ht="14.25" customHeight="1" x14ac:dyDescent="0.2">
      <c r="A563" s="1" t="s">
        <v>324</v>
      </c>
      <c r="B563" s="1" t="s">
        <v>139</v>
      </c>
      <c r="C563" s="1">
        <v>11866152</v>
      </c>
      <c r="D563" s="1" t="s">
        <v>2304</v>
      </c>
      <c r="E563" s="1" t="s">
        <v>1462</v>
      </c>
      <c r="F563" s="1">
        <v>1</v>
      </c>
      <c r="G563" s="1"/>
      <c r="H563" s="1"/>
      <c r="I563" s="1"/>
      <c r="J563" s="1" t="str">
        <f t="shared" si="8"/>
        <v/>
      </c>
    </row>
    <row r="564" spans="1:10" ht="14.25" customHeight="1" x14ac:dyDescent="0.2">
      <c r="A564" s="1" t="s">
        <v>834</v>
      </c>
      <c r="B564" s="1" t="s">
        <v>33</v>
      </c>
      <c r="C564" s="1">
        <v>131857072</v>
      </c>
      <c r="D564" s="1" t="s">
        <v>2742</v>
      </c>
      <c r="E564" s="1" t="s">
        <v>1705</v>
      </c>
      <c r="F564" s="1">
        <v>1</v>
      </c>
      <c r="G564" s="1"/>
      <c r="H564" s="1"/>
      <c r="I564" s="1"/>
      <c r="J564" s="1" t="str">
        <f t="shared" si="8"/>
        <v/>
      </c>
    </row>
    <row r="565" spans="1:10" ht="14.25" customHeight="1" x14ac:dyDescent="0.2">
      <c r="A565" s="1" t="s">
        <v>1222</v>
      </c>
      <c r="B565" s="1" t="s">
        <v>50</v>
      </c>
      <c r="C565" s="1">
        <v>544033</v>
      </c>
      <c r="D565" s="1" t="s">
        <v>3069</v>
      </c>
      <c r="E565" s="1" t="s">
        <v>1895</v>
      </c>
      <c r="F565" s="1">
        <v>1</v>
      </c>
      <c r="G565" s="1"/>
      <c r="H565" s="1"/>
      <c r="I565" s="1"/>
      <c r="J565" s="1" t="str">
        <f t="shared" si="8"/>
        <v/>
      </c>
    </row>
    <row r="566" spans="1:10" ht="14.25" customHeight="1" x14ac:dyDescent="0.2">
      <c r="A566" s="1" t="s">
        <v>1259</v>
      </c>
      <c r="B566" s="1" t="s">
        <v>50</v>
      </c>
      <c r="C566" s="1">
        <v>44488321</v>
      </c>
      <c r="D566" s="1" t="s">
        <v>3092</v>
      </c>
      <c r="E566" s="1" t="s">
        <v>1912</v>
      </c>
      <c r="F566" s="1">
        <v>1</v>
      </c>
      <c r="G566" s="1"/>
      <c r="H566" s="1"/>
      <c r="I566" s="1"/>
      <c r="J566" s="1" t="str">
        <f t="shared" si="8"/>
        <v/>
      </c>
    </row>
    <row r="567" spans="1:10" ht="14.25" customHeight="1" x14ac:dyDescent="0.2">
      <c r="A567" s="1" t="s">
        <v>1263</v>
      </c>
      <c r="B567" s="1" t="s">
        <v>50</v>
      </c>
      <c r="C567" s="1">
        <v>44488321</v>
      </c>
      <c r="D567" s="1" t="s">
        <v>3096</v>
      </c>
      <c r="E567" s="1" t="s">
        <v>1912</v>
      </c>
      <c r="F567" s="1">
        <v>1</v>
      </c>
      <c r="G567" s="1"/>
      <c r="H567" s="1"/>
      <c r="I567" s="1"/>
      <c r="J567" s="1" t="str">
        <f t="shared" si="8"/>
        <v/>
      </c>
    </row>
    <row r="568" spans="1:10" ht="14.25" customHeight="1" x14ac:dyDescent="0.2">
      <c r="A568" s="1" t="s">
        <v>1261</v>
      </c>
      <c r="B568" s="1" t="s">
        <v>50</v>
      </c>
      <c r="C568" s="1">
        <v>44488321</v>
      </c>
      <c r="D568" s="1" t="s">
        <v>3094</v>
      </c>
      <c r="E568" s="1" t="s">
        <v>1912</v>
      </c>
      <c r="F568" s="1">
        <v>1</v>
      </c>
      <c r="G568" s="1"/>
      <c r="H568" s="1"/>
      <c r="I568" s="1"/>
      <c r="J568" s="1" t="str">
        <f t="shared" si="8"/>
        <v/>
      </c>
    </row>
    <row r="569" spans="1:10" ht="14.25" customHeight="1" x14ac:dyDescent="0.2">
      <c r="A569" s="1" t="s">
        <v>797</v>
      </c>
      <c r="B569" s="1" t="s">
        <v>103</v>
      </c>
      <c r="C569" s="1">
        <v>144718182</v>
      </c>
      <c r="D569" s="1" t="s">
        <v>2711</v>
      </c>
      <c r="E569" s="1" t="s">
        <v>1689</v>
      </c>
      <c r="F569" s="1">
        <v>1</v>
      </c>
      <c r="G569" s="1"/>
      <c r="H569" s="1"/>
      <c r="I569" s="1"/>
      <c r="J569" s="1" t="str">
        <f t="shared" si="8"/>
        <v/>
      </c>
    </row>
    <row r="570" spans="1:10" ht="14.25" customHeight="1" x14ac:dyDescent="0.2">
      <c r="A570" s="1" t="s">
        <v>669</v>
      </c>
      <c r="B570" s="1" t="s">
        <v>175</v>
      </c>
      <c r="C570" s="1">
        <v>31082864</v>
      </c>
      <c r="D570" s="1" t="s">
        <v>2606</v>
      </c>
      <c r="E570" s="1" t="s">
        <v>1628</v>
      </c>
      <c r="F570" s="1">
        <v>1</v>
      </c>
      <c r="G570" s="1"/>
      <c r="H570" s="1"/>
      <c r="I570" s="1"/>
      <c r="J570" s="1" t="str">
        <f t="shared" si="8"/>
        <v/>
      </c>
    </row>
    <row r="571" spans="1:10" ht="14.25" customHeight="1" x14ac:dyDescent="0.2">
      <c r="A571" s="1" t="s">
        <v>1054</v>
      </c>
      <c r="B571" s="1" t="s">
        <v>106</v>
      </c>
      <c r="C571" s="1">
        <v>28536204</v>
      </c>
      <c r="D571" s="1" t="s">
        <v>2926</v>
      </c>
      <c r="E571" s="1" t="s">
        <v>1801</v>
      </c>
      <c r="F571" s="1">
        <v>1</v>
      </c>
      <c r="G571" s="1"/>
      <c r="H571" s="1"/>
      <c r="I571" s="1"/>
      <c r="J571" s="1" t="str">
        <f t="shared" si="8"/>
        <v/>
      </c>
    </row>
    <row r="572" spans="1:10" ht="14.25" customHeight="1" x14ac:dyDescent="0.2">
      <c r="A572" s="1" t="s">
        <v>1139</v>
      </c>
      <c r="B572" s="1" t="s">
        <v>121</v>
      </c>
      <c r="C572" s="1">
        <v>31885078</v>
      </c>
      <c r="D572" s="1" t="s">
        <v>3000</v>
      </c>
      <c r="E572" s="1" t="s">
        <v>1849</v>
      </c>
      <c r="F572" s="1">
        <v>1</v>
      </c>
      <c r="G572" s="1"/>
      <c r="H572" s="1"/>
      <c r="I572" s="1"/>
      <c r="J572" s="1" t="str">
        <f t="shared" si="8"/>
        <v/>
      </c>
    </row>
    <row r="573" spans="1:10" ht="14.25" customHeight="1" x14ac:dyDescent="0.2">
      <c r="A573" s="1" t="s">
        <v>369</v>
      </c>
      <c r="B573" s="1" t="s">
        <v>139</v>
      </c>
      <c r="C573" s="1">
        <v>109656584</v>
      </c>
      <c r="D573" s="1" t="s">
        <v>2345</v>
      </c>
      <c r="E573" s="1" t="s">
        <v>1483</v>
      </c>
      <c r="F573" s="1">
        <v>1</v>
      </c>
      <c r="G573" s="1"/>
      <c r="H573" s="1"/>
      <c r="I573" s="1"/>
      <c r="J573" s="1" t="str">
        <f t="shared" si="8"/>
        <v/>
      </c>
    </row>
    <row r="574" spans="1:10" ht="14.25" customHeight="1" x14ac:dyDescent="0.2">
      <c r="A574" s="1" t="s">
        <v>1097</v>
      </c>
      <c r="B574" s="1" t="s">
        <v>113</v>
      </c>
      <c r="C574" s="1">
        <v>91509267</v>
      </c>
      <c r="D574" s="1" t="s">
        <v>2964</v>
      </c>
      <c r="E574" s="1" t="s">
        <v>1829</v>
      </c>
      <c r="F574" s="1">
        <v>1</v>
      </c>
      <c r="G574" s="1"/>
      <c r="H574" s="1"/>
      <c r="I574" s="1"/>
      <c r="J574" s="1" t="str">
        <f t="shared" si="8"/>
        <v/>
      </c>
    </row>
    <row r="575" spans="1:10" ht="14.25" customHeight="1" x14ac:dyDescent="0.2">
      <c r="A575" s="1" t="s">
        <v>1349</v>
      </c>
      <c r="B575" s="1" t="s">
        <v>43</v>
      </c>
      <c r="C575" s="1">
        <v>39378403</v>
      </c>
      <c r="D575" s="1" t="s">
        <v>3168</v>
      </c>
      <c r="E575" s="1" t="s">
        <v>1952</v>
      </c>
      <c r="F575" s="1">
        <v>1</v>
      </c>
      <c r="G575" s="1"/>
      <c r="H575" s="1"/>
      <c r="I575" s="1"/>
      <c r="J575" s="1" t="str">
        <f t="shared" si="8"/>
        <v/>
      </c>
    </row>
    <row r="576" spans="1:10" ht="14.25" customHeight="1" x14ac:dyDescent="0.2">
      <c r="A576" s="1" t="s">
        <v>442</v>
      </c>
      <c r="B576" s="1" t="s">
        <v>1</v>
      </c>
      <c r="C576" s="1">
        <v>120302007</v>
      </c>
      <c r="D576" s="1" t="s">
        <v>2407</v>
      </c>
      <c r="E576" s="1" t="s">
        <v>1518</v>
      </c>
      <c r="F576" s="1">
        <v>1</v>
      </c>
      <c r="G576" s="1"/>
      <c r="H576" s="1"/>
      <c r="I576" s="1"/>
      <c r="J576" s="1" t="str">
        <f t="shared" si="8"/>
        <v/>
      </c>
    </row>
    <row r="577" spans="1:10" ht="14.25" customHeight="1" x14ac:dyDescent="0.2">
      <c r="A577" s="1" t="s">
        <v>448</v>
      </c>
      <c r="B577" s="1" t="s">
        <v>1</v>
      </c>
      <c r="C577" s="1">
        <v>152341852</v>
      </c>
      <c r="D577" s="1" t="s">
        <v>2412</v>
      </c>
      <c r="E577" s="1" t="s">
        <v>1520</v>
      </c>
      <c r="F577" s="1">
        <v>1</v>
      </c>
      <c r="G577" s="1"/>
      <c r="H577" s="1"/>
      <c r="I577" s="1"/>
      <c r="J577" s="1" t="str">
        <f t="shared" si="8"/>
        <v/>
      </c>
    </row>
    <row r="578" spans="1:10" ht="14.25" customHeight="1" x14ac:dyDescent="0.2">
      <c r="A578" s="1" t="s">
        <v>200</v>
      </c>
      <c r="B578" s="1" t="s">
        <v>1</v>
      </c>
      <c r="C578" s="1">
        <v>232063293</v>
      </c>
      <c r="D578" s="1" t="s">
        <v>2158</v>
      </c>
      <c r="E578" s="1" t="s">
        <v>270</v>
      </c>
      <c r="F578" s="1" t="s">
        <v>2062</v>
      </c>
      <c r="G578" s="1"/>
      <c r="H578" s="1" t="s">
        <v>3763</v>
      </c>
      <c r="I578" s="1"/>
      <c r="J578" s="1" t="str">
        <f t="shared" si="8"/>
        <v>纠后正确</v>
      </c>
    </row>
    <row r="579" spans="1:10" ht="14.25" customHeight="1" x14ac:dyDescent="0.2">
      <c r="A579" s="1" t="s">
        <v>349</v>
      </c>
      <c r="B579" s="1" t="s">
        <v>139</v>
      </c>
      <c r="C579" s="1">
        <v>86934525</v>
      </c>
      <c r="D579" s="1" t="s">
        <v>2325</v>
      </c>
      <c r="E579" s="1" t="s">
        <v>1476</v>
      </c>
      <c r="F579" s="1">
        <v>1</v>
      </c>
      <c r="G579" s="1"/>
      <c r="H579" s="1"/>
      <c r="I579" s="1"/>
      <c r="J579" s="1" t="str">
        <f t="shared" ref="J579:J642" si="9">IF(H579="",IF(I579="","",I579),H579)</f>
        <v/>
      </c>
    </row>
    <row r="580" spans="1:10" ht="14.25" customHeight="1" x14ac:dyDescent="0.2">
      <c r="A580" s="1" t="s">
        <v>323</v>
      </c>
      <c r="B580" s="1" t="s">
        <v>139</v>
      </c>
      <c r="C580" s="1">
        <v>11866152</v>
      </c>
      <c r="D580" s="1" t="s">
        <v>2303</v>
      </c>
      <c r="E580" s="1" t="s">
        <v>1462</v>
      </c>
      <c r="F580" s="1">
        <v>1</v>
      </c>
      <c r="G580" s="1"/>
      <c r="H580" s="1"/>
      <c r="I580" s="1"/>
      <c r="J580" s="1" t="str">
        <f t="shared" si="9"/>
        <v/>
      </c>
    </row>
    <row r="581" spans="1:10" ht="14.25" customHeight="1" x14ac:dyDescent="0.2">
      <c r="A581" s="1" t="s">
        <v>952</v>
      </c>
      <c r="B581" s="1" t="s">
        <v>36</v>
      </c>
      <c r="C581" s="1">
        <v>65647283</v>
      </c>
      <c r="D581" s="1" t="s">
        <v>2849</v>
      </c>
      <c r="E581" s="1" t="s">
        <v>1753</v>
      </c>
      <c r="F581" s="1">
        <v>1</v>
      </c>
      <c r="G581" s="1"/>
      <c r="H581" s="1"/>
      <c r="I581" s="1"/>
      <c r="J581" s="1" t="str">
        <f t="shared" si="9"/>
        <v/>
      </c>
    </row>
    <row r="582" spans="1:10" ht="14.25" customHeight="1" x14ac:dyDescent="0.2">
      <c r="A582" s="1" t="s">
        <v>8797</v>
      </c>
      <c r="B582" s="1" t="s">
        <v>93</v>
      </c>
      <c r="C582" s="1">
        <v>128768964</v>
      </c>
      <c r="D582" s="1" t="s">
        <v>2264</v>
      </c>
      <c r="E582" s="1" t="s">
        <v>1438</v>
      </c>
      <c r="F582" s="1" t="s">
        <v>3406</v>
      </c>
      <c r="G582" s="4" t="s">
        <v>8792</v>
      </c>
      <c r="H582" s="1"/>
      <c r="I582" s="1"/>
      <c r="J582" s="1" t="str">
        <f t="shared" si="9"/>
        <v/>
      </c>
    </row>
    <row r="583" spans="1:10" ht="14.25" customHeight="1" x14ac:dyDescent="0.2">
      <c r="A583" s="1" t="s">
        <v>911</v>
      </c>
      <c r="B583" s="1" t="s">
        <v>36</v>
      </c>
      <c r="C583" s="1">
        <v>10818592</v>
      </c>
      <c r="D583" s="1" t="s">
        <v>2811</v>
      </c>
      <c r="E583" s="1" t="s">
        <v>1737</v>
      </c>
      <c r="F583" s="1">
        <v>1</v>
      </c>
      <c r="G583" s="1"/>
      <c r="H583" s="1"/>
      <c r="I583" s="1"/>
      <c r="J583" s="1" t="str">
        <f t="shared" si="9"/>
        <v/>
      </c>
    </row>
    <row r="584" spans="1:10" ht="14.25" customHeight="1" x14ac:dyDescent="0.2">
      <c r="A584" s="1" t="s">
        <v>154</v>
      </c>
      <c r="B584" s="1" t="s">
        <v>36</v>
      </c>
      <c r="C584" s="1">
        <v>118895060</v>
      </c>
      <c r="D584" s="1" t="s">
        <v>2140</v>
      </c>
      <c r="E584" s="1" t="s">
        <v>149</v>
      </c>
      <c r="F584" s="1" t="s">
        <v>2062</v>
      </c>
      <c r="G584" s="1"/>
      <c r="H584" s="1" t="s">
        <v>3763</v>
      </c>
      <c r="I584" s="1"/>
      <c r="J584" s="1" t="str">
        <f t="shared" si="9"/>
        <v>纠后正确</v>
      </c>
    </row>
    <row r="585" spans="1:10" ht="14.25" customHeight="1" x14ac:dyDescent="0.2">
      <c r="A585" s="1" t="s">
        <v>840</v>
      </c>
      <c r="B585" s="1" t="s">
        <v>33</v>
      </c>
      <c r="C585" s="1">
        <v>139901685</v>
      </c>
      <c r="D585" s="1" t="s">
        <v>2748</v>
      </c>
      <c r="E585" s="1" t="s">
        <v>1709</v>
      </c>
      <c r="F585" s="1">
        <v>1</v>
      </c>
      <c r="G585" s="1"/>
      <c r="H585" s="1"/>
      <c r="I585" s="1"/>
      <c r="J585" s="1" t="str">
        <f t="shared" si="9"/>
        <v/>
      </c>
    </row>
    <row r="586" spans="1:10" ht="14.25" customHeight="1" x14ac:dyDescent="0.2">
      <c r="A586" s="1" t="s">
        <v>694</v>
      </c>
      <c r="B586" s="1" t="s">
        <v>175</v>
      </c>
      <c r="C586" s="1">
        <v>106959729</v>
      </c>
      <c r="D586" s="1" t="s">
        <v>2627</v>
      </c>
      <c r="E586" s="1" t="s">
        <v>1639</v>
      </c>
      <c r="F586" s="1">
        <v>1</v>
      </c>
      <c r="G586" s="1"/>
      <c r="H586" s="1"/>
      <c r="I586" s="1"/>
      <c r="J586" s="1" t="str">
        <f t="shared" si="9"/>
        <v/>
      </c>
    </row>
    <row r="587" spans="1:10" ht="14.25" customHeight="1" x14ac:dyDescent="0.2">
      <c r="A587" s="1" t="s">
        <v>1253</v>
      </c>
      <c r="B587" s="1" t="s">
        <v>50</v>
      </c>
      <c r="C587" s="1">
        <v>41725107</v>
      </c>
      <c r="D587" s="1" t="s">
        <v>3089</v>
      </c>
      <c r="E587" s="1" t="s">
        <v>1909</v>
      </c>
      <c r="F587" s="1">
        <v>1</v>
      </c>
      <c r="G587" s="1"/>
      <c r="H587" s="1"/>
      <c r="I587" s="1"/>
      <c r="J587" s="1" t="str">
        <f t="shared" si="9"/>
        <v/>
      </c>
    </row>
    <row r="588" spans="1:10" ht="14.25" customHeight="1" x14ac:dyDescent="0.2">
      <c r="A588" s="1" t="s">
        <v>689</v>
      </c>
      <c r="B588" s="1" t="s">
        <v>175</v>
      </c>
      <c r="C588" s="1">
        <v>69345631</v>
      </c>
      <c r="D588" s="1" t="s">
        <v>2625</v>
      </c>
      <c r="E588" s="1" t="s">
        <v>1637</v>
      </c>
      <c r="F588" s="1">
        <v>1</v>
      </c>
      <c r="G588" s="1"/>
      <c r="H588" s="1"/>
      <c r="I588" s="1"/>
      <c r="J588" s="1" t="str">
        <f t="shared" si="9"/>
        <v/>
      </c>
    </row>
    <row r="589" spans="1:10" ht="14.25" customHeight="1" x14ac:dyDescent="0.2">
      <c r="A589" s="1" t="s">
        <v>357</v>
      </c>
      <c r="B589" s="1" t="s">
        <v>139</v>
      </c>
      <c r="C589" s="1">
        <v>92417708</v>
      </c>
      <c r="D589" s="1" t="s">
        <v>2333</v>
      </c>
      <c r="E589" s="1" t="s">
        <v>1478</v>
      </c>
      <c r="F589" s="1">
        <v>1</v>
      </c>
      <c r="G589" s="1"/>
      <c r="H589" s="1"/>
      <c r="I589" s="1"/>
      <c r="J589" s="1" t="str">
        <f t="shared" si="9"/>
        <v/>
      </c>
    </row>
    <row r="590" spans="1:10" ht="14.25" customHeight="1" x14ac:dyDescent="0.2">
      <c r="A590" s="1" t="s">
        <v>3872</v>
      </c>
      <c r="B590" s="1" t="s">
        <v>212</v>
      </c>
      <c r="C590" s="1">
        <v>7187512</v>
      </c>
      <c r="D590" s="1" t="s">
        <v>3368</v>
      </c>
      <c r="E590" s="1" t="s">
        <v>2040</v>
      </c>
      <c r="F590" s="1" t="s">
        <v>2062</v>
      </c>
      <c r="G590" s="1" t="s">
        <v>8391</v>
      </c>
      <c r="H590" s="1"/>
      <c r="I590" s="1"/>
      <c r="J590" s="1" t="str">
        <f t="shared" si="9"/>
        <v/>
      </c>
    </row>
    <row r="591" spans="1:10" ht="14.25" customHeight="1" x14ac:dyDescent="0.2">
      <c r="A591" s="1" t="s">
        <v>3873</v>
      </c>
      <c r="B591" s="1" t="s">
        <v>212</v>
      </c>
      <c r="C591" s="1">
        <v>7241204</v>
      </c>
      <c r="D591" s="1" t="s">
        <v>3369</v>
      </c>
      <c r="E591" s="1" t="s">
        <v>2040</v>
      </c>
      <c r="F591" s="1" t="s">
        <v>2062</v>
      </c>
      <c r="G591" s="1" t="s">
        <v>8399</v>
      </c>
      <c r="H591" s="1"/>
      <c r="I591" s="1"/>
      <c r="J591" s="1" t="str">
        <f t="shared" si="9"/>
        <v/>
      </c>
    </row>
    <row r="592" spans="1:10" ht="14.25" customHeight="1" x14ac:dyDescent="0.2">
      <c r="A592" s="1" t="s">
        <v>1270</v>
      </c>
      <c r="B592" s="1" t="s">
        <v>50</v>
      </c>
      <c r="C592" s="1">
        <v>47813103</v>
      </c>
      <c r="D592" s="1" t="s">
        <v>3277</v>
      </c>
      <c r="E592" s="1" t="s">
        <v>2008</v>
      </c>
      <c r="F592" s="1">
        <v>2</v>
      </c>
      <c r="G592" s="1"/>
      <c r="H592" s="1"/>
      <c r="I592" s="1"/>
      <c r="J592" s="1" t="str">
        <f t="shared" si="9"/>
        <v/>
      </c>
    </row>
    <row r="593" spans="1:10" ht="14.25" customHeight="1" x14ac:dyDescent="0.2">
      <c r="A593" s="1" t="s">
        <v>915</v>
      </c>
      <c r="B593" s="1" t="s">
        <v>36</v>
      </c>
      <c r="C593" s="1">
        <v>14990046</v>
      </c>
      <c r="D593" s="1" t="s">
        <v>2815</v>
      </c>
      <c r="E593" s="1" t="s">
        <v>1739</v>
      </c>
      <c r="F593" s="1">
        <v>1</v>
      </c>
      <c r="G593" s="1"/>
      <c r="H593" s="1"/>
      <c r="I593" s="1"/>
      <c r="J593" s="1" t="str">
        <f t="shared" si="9"/>
        <v/>
      </c>
    </row>
    <row r="594" spans="1:10" ht="14.25" customHeight="1" x14ac:dyDescent="0.2">
      <c r="A594" s="1" t="s">
        <v>400</v>
      </c>
      <c r="B594" s="1" t="s">
        <v>139</v>
      </c>
      <c r="C594" s="1">
        <v>223900118</v>
      </c>
      <c r="D594" s="1" t="s">
        <v>2374</v>
      </c>
      <c r="E594" s="1" t="s">
        <v>1497</v>
      </c>
      <c r="F594" s="1">
        <v>1</v>
      </c>
      <c r="G594" s="1"/>
      <c r="H594" s="1"/>
      <c r="I594" s="1"/>
      <c r="J594" s="1" t="str">
        <f t="shared" si="9"/>
        <v/>
      </c>
    </row>
    <row r="595" spans="1:10" ht="14.25" customHeight="1" x14ac:dyDescent="0.2">
      <c r="A595" s="1" t="s">
        <v>1082</v>
      </c>
      <c r="B595" s="1" t="s">
        <v>81</v>
      </c>
      <c r="C595" s="1">
        <v>94770584</v>
      </c>
      <c r="D595" s="1" t="s">
        <v>2948</v>
      </c>
      <c r="E595" s="1" t="s">
        <v>1816</v>
      </c>
      <c r="F595" s="1">
        <v>1</v>
      </c>
      <c r="G595" s="1"/>
      <c r="H595" s="1"/>
      <c r="I595" s="1"/>
      <c r="J595" s="1" t="str">
        <f t="shared" si="9"/>
        <v/>
      </c>
    </row>
    <row r="596" spans="1:10" ht="14.25" customHeight="1" x14ac:dyDescent="0.2">
      <c r="A596" s="1" t="s">
        <v>967</v>
      </c>
      <c r="B596" s="1" t="s">
        <v>36</v>
      </c>
      <c r="C596" s="1">
        <v>88026759</v>
      </c>
      <c r="D596" s="1" t="s">
        <v>2858</v>
      </c>
      <c r="E596" s="1" t="s">
        <v>1759</v>
      </c>
      <c r="F596" s="1">
        <v>1</v>
      </c>
      <c r="G596" s="1"/>
      <c r="H596" s="1"/>
      <c r="I596" s="1"/>
      <c r="J596" s="1" t="str">
        <f t="shared" si="9"/>
        <v/>
      </c>
    </row>
    <row r="597" spans="1:10" ht="14.25" customHeight="1" x14ac:dyDescent="0.2">
      <c r="A597" s="1" t="s">
        <v>844</v>
      </c>
      <c r="B597" s="1" t="s">
        <v>93</v>
      </c>
      <c r="C597" s="1">
        <v>5238797</v>
      </c>
      <c r="D597" s="1" t="s">
        <v>2752</v>
      </c>
      <c r="E597" s="1" t="s">
        <v>1711</v>
      </c>
      <c r="F597" s="1">
        <v>1</v>
      </c>
      <c r="G597" s="1"/>
      <c r="H597" s="1"/>
      <c r="I597" s="1"/>
      <c r="J597" s="1" t="str">
        <f t="shared" si="9"/>
        <v/>
      </c>
    </row>
    <row r="598" spans="1:10" ht="14.25" customHeight="1" x14ac:dyDescent="0.2">
      <c r="A598" s="1" t="s">
        <v>3704</v>
      </c>
      <c r="B598" s="1" t="s">
        <v>106</v>
      </c>
      <c r="C598" s="1">
        <v>46627321</v>
      </c>
      <c r="D598" s="1" t="s">
        <v>2930</v>
      </c>
      <c r="E598" s="1" t="s">
        <v>1805</v>
      </c>
      <c r="F598" s="1">
        <v>1</v>
      </c>
      <c r="G598" s="1"/>
      <c r="H598" s="1"/>
      <c r="I598" s="1"/>
      <c r="J598" s="1" t="str">
        <f t="shared" si="9"/>
        <v/>
      </c>
    </row>
    <row r="599" spans="1:10" ht="14.25" customHeight="1" x14ac:dyDescent="0.2">
      <c r="A599" s="1" t="s">
        <v>700</v>
      </c>
      <c r="B599" s="1" t="s">
        <v>175</v>
      </c>
      <c r="C599" s="1">
        <v>132269315</v>
      </c>
      <c r="D599" s="1" t="s">
        <v>2633</v>
      </c>
      <c r="E599" s="1" t="s">
        <v>1642</v>
      </c>
      <c r="F599" s="1">
        <v>1</v>
      </c>
      <c r="G599" s="1"/>
      <c r="H599" s="1"/>
      <c r="I599" s="1"/>
      <c r="J599" s="1" t="str">
        <f t="shared" si="9"/>
        <v/>
      </c>
    </row>
    <row r="600" spans="1:10" ht="14.25" customHeight="1" x14ac:dyDescent="0.2">
      <c r="A600" s="1" t="s">
        <v>804</v>
      </c>
      <c r="B600" s="1" t="s">
        <v>103</v>
      </c>
      <c r="C600" s="1">
        <v>145149959</v>
      </c>
      <c r="D600" s="1" t="s">
        <v>2717</v>
      </c>
      <c r="E600" s="1" t="s">
        <v>1692</v>
      </c>
      <c r="F600" s="1">
        <v>1</v>
      </c>
      <c r="G600" s="1"/>
      <c r="H600" s="1"/>
      <c r="I600" s="1"/>
      <c r="J600" s="1" t="str">
        <f t="shared" si="9"/>
        <v/>
      </c>
    </row>
    <row r="601" spans="1:10" ht="14.25" customHeight="1" x14ac:dyDescent="0.2">
      <c r="A601" s="1" t="s">
        <v>367</v>
      </c>
      <c r="B601" s="1" t="s">
        <v>139</v>
      </c>
      <c r="C601" s="1">
        <v>100652477</v>
      </c>
      <c r="D601" s="1" t="s">
        <v>2343</v>
      </c>
      <c r="E601" s="1" t="s">
        <v>1482</v>
      </c>
      <c r="F601" s="1">
        <v>1</v>
      </c>
      <c r="G601" s="1"/>
      <c r="H601" s="1"/>
      <c r="I601" s="1"/>
      <c r="J601" s="1" t="str">
        <f t="shared" si="9"/>
        <v/>
      </c>
    </row>
    <row r="602" spans="1:10" ht="14.25" customHeight="1" x14ac:dyDescent="0.2">
      <c r="A602" s="1" t="s">
        <v>257</v>
      </c>
      <c r="B602" s="1" t="s">
        <v>40</v>
      </c>
      <c r="C602" s="1">
        <v>154429530</v>
      </c>
      <c r="D602" s="1" t="s">
        <v>2257</v>
      </c>
      <c r="E602" s="1" t="s">
        <v>1433</v>
      </c>
      <c r="F602" s="1" t="s">
        <v>3406</v>
      </c>
      <c r="G602" s="1" t="s">
        <v>8391</v>
      </c>
      <c r="H602" s="1" t="s">
        <v>8400</v>
      </c>
      <c r="I602" s="1"/>
      <c r="J602" s="1" t="str">
        <f t="shared" si="9"/>
        <v>无变化</v>
      </c>
    </row>
    <row r="603" spans="1:10" ht="14.25" customHeight="1" x14ac:dyDescent="0.2">
      <c r="A603" s="1" t="s">
        <v>257</v>
      </c>
      <c r="B603" s="1" t="s">
        <v>40</v>
      </c>
      <c r="C603" s="1">
        <v>154002346</v>
      </c>
      <c r="D603" s="1" t="s">
        <v>2254</v>
      </c>
      <c r="E603" s="1" t="s">
        <v>1433</v>
      </c>
      <c r="F603" s="1">
        <v>6</v>
      </c>
      <c r="G603" s="1" t="s">
        <v>8391</v>
      </c>
      <c r="H603" s="1" t="s">
        <v>3763</v>
      </c>
      <c r="I603" s="1"/>
      <c r="J603" s="1" t="str">
        <f t="shared" si="9"/>
        <v>纠后正确</v>
      </c>
    </row>
    <row r="604" spans="1:10" ht="14.25" customHeight="1" x14ac:dyDescent="0.2">
      <c r="A604" s="1" t="s">
        <v>1354</v>
      </c>
      <c r="B604" s="1" t="s">
        <v>43</v>
      </c>
      <c r="C604" s="1">
        <v>45898718</v>
      </c>
      <c r="D604" s="1" t="s">
        <v>3171</v>
      </c>
      <c r="E604" s="1" t="s">
        <v>1953</v>
      </c>
      <c r="F604" s="1">
        <v>1</v>
      </c>
      <c r="G604" s="1"/>
      <c r="H604" s="1"/>
      <c r="I604" s="1"/>
      <c r="J604" s="1" t="str">
        <f t="shared" si="9"/>
        <v/>
      </c>
    </row>
    <row r="605" spans="1:10" ht="14.25" customHeight="1" x14ac:dyDescent="0.2">
      <c r="A605" s="1" t="s">
        <v>624</v>
      </c>
      <c r="B605" s="1" t="s">
        <v>569</v>
      </c>
      <c r="C605" s="1">
        <v>123747862</v>
      </c>
      <c r="D605" s="1" t="s">
        <v>2566</v>
      </c>
      <c r="E605" s="1" t="s">
        <v>1596</v>
      </c>
      <c r="F605" s="1">
        <v>1</v>
      </c>
      <c r="G605" s="1"/>
      <c r="H605" s="1"/>
      <c r="I605" s="1"/>
      <c r="J605" s="1" t="str">
        <f t="shared" si="9"/>
        <v/>
      </c>
    </row>
    <row r="606" spans="1:10" ht="14.25" customHeight="1" x14ac:dyDescent="0.2">
      <c r="A606" s="1" t="s">
        <v>473</v>
      </c>
      <c r="B606" s="1" t="s">
        <v>1</v>
      </c>
      <c r="C606" s="1">
        <v>216225176</v>
      </c>
      <c r="D606" s="1" t="s">
        <v>3220</v>
      </c>
      <c r="E606" s="1" t="s">
        <v>1975</v>
      </c>
      <c r="F606" s="1">
        <v>2</v>
      </c>
      <c r="G606" s="1"/>
      <c r="H606" s="1"/>
      <c r="I606" s="1"/>
      <c r="J606" s="1" t="str">
        <f t="shared" si="9"/>
        <v/>
      </c>
    </row>
    <row r="607" spans="1:10" ht="14.25" customHeight="1" x14ac:dyDescent="0.2">
      <c r="A607" s="1" t="s">
        <v>827</v>
      </c>
      <c r="B607" s="1" t="s">
        <v>33</v>
      </c>
      <c r="C607" s="1">
        <v>127640572</v>
      </c>
      <c r="D607" s="1" t="s">
        <v>2735</v>
      </c>
      <c r="E607" s="1" t="s">
        <v>1701</v>
      </c>
      <c r="F607" s="1">
        <v>1</v>
      </c>
      <c r="G607" s="1"/>
      <c r="H607" s="1"/>
      <c r="I607" s="1"/>
      <c r="J607" s="1" t="str">
        <f t="shared" si="9"/>
        <v/>
      </c>
    </row>
    <row r="608" spans="1:10" ht="14.25" customHeight="1" x14ac:dyDescent="0.2">
      <c r="A608" s="1" t="s">
        <v>595</v>
      </c>
      <c r="B608" s="1" t="s">
        <v>569</v>
      </c>
      <c r="C608" s="1">
        <v>71681498</v>
      </c>
      <c r="D608" s="1" t="s">
        <v>2538</v>
      </c>
      <c r="E608" s="1" t="s">
        <v>1582</v>
      </c>
      <c r="F608" s="1">
        <v>1</v>
      </c>
      <c r="G608" s="1"/>
      <c r="H608" s="1"/>
      <c r="I608" s="1"/>
      <c r="J608" s="1" t="str">
        <f t="shared" si="9"/>
        <v/>
      </c>
    </row>
    <row r="609" spans="1:10" ht="14.25" customHeight="1" x14ac:dyDescent="0.2">
      <c r="A609" s="1" t="s">
        <v>1119</v>
      </c>
      <c r="B609" s="1" t="s">
        <v>121</v>
      </c>
      <c r="C609" s="1">
        <v>11961984</v>
      </c>
      <c r="D609" s="1" t="s">
        <v>2983</v>
      </c>
      <c r="E609" s="1" t="s">
        <v>1839</v>
      </c>
      <c r="F609" s="1">
        <v>1</v>
      </c>
      <c r="G609" s="1"/>
      <c r="H609" s="1"/>
      <c r="I609" s="1"/>
      <c r="J609" s="1" t="str">
        <f t="shared" si="9"/>
        <v/>
      </c>
    </row>
    <row r="610" spans="1:10" ht="14.25" customHeight="1" x14ac:dyDescent="0.2">
      <c r="A610" s="1" t="s">
        <v>1053</v>
      </c>
      <c r="B610" s="1" t="s">
        <v>106</v>
      </c>
      <c r="C610" s="1">
        <v>27998680</v>
      </c>
      <c r="D610" s="1" t="s">
        <v>2925</v>
      </c>
      <c r="E610" s="1" t="s">
        <v>1800</v>
      </c>
      <c r="F610" s="1">
        <v>1</v>
      </c>
      <c r="G610" s="1"/>
      <c r="H610" s="1"/>
      <c r="I610" s="1"/>
      <c r="J610" s="1" t="str">
        <f t="shared" si="9"/>
        <v/>
      </c>
    </row>
    <row r="611" spans="1:10" ht="14.25" customHeight="1" x14ac:dyDescent="0.2">
      <c r="A611" s="1" t="s">
        <v>626</v>
      </c>
      <c r="B611" s="1" t="s">
        <v>569</v>
      </c>
      <c r="C611" s="1">
        <v>144917256</v>
      </c>
      <c r="D611" s="1" t="s">
        <v>2567</v>
      </c>
      <c r="E611" s="1" t="s">
        <v>1597</v>
      </c>
      <c r="F611" s="1">
        <v>1</v>
      </c>
      <c r="G611" s="1"/>
      <c r="H611" s="1"/>
      <c r="I611" s="1"/>
      <c r="J611" s="1" t="str">
        <f t="shared" si="9"/>
        <v/>
      </c>
    </row>
    <row r="612" spans="1:10" ht="14.25" customHeight="1" x14ac:dyDescent="0.2">
      <c r="A612" s="1" t="s">
        <v>1300</v>
      </c>
      <c r="B612" s="1" t="s">
        <v>53</v>
      </c>
      <c r="C612" s="1">
        <v>30639990</v>
      </c>
      <c r="D612" s="1" t="s">
        <v>3126</v>
      </c>
      <c r="E612" s="1" t="s">
        <v>1929</v>
      </c>
      <c r="F612" s="1">
        <v>1</v>
      </c>
      <c r="G612" s="1"/>
      <c r="H612" s="1"/>
      <c r="I612" s="1"/>
      <c r="J612" s="1" t="str">
        <f t="shared" si="9"/>
        <v/>
      </c>
    </row>
    <row r="613" spans="1:10" ht="14.25" customHeight="1" x14ac:dyDescent="0.2">
      <c r="A613" s="1" t="s">
        <v>8803</v>
      </c>
      <c r="B613" s="1" t="s">
        <v>569</v>
      </c>
      <c r="C613" s="1">
        <v>3076407</v>
      </c>
      <c r="D613" s="1" t="s">
        <v>2240</v>
      </c>
      <c r="E613" s="1" t="s">
        <v>1424</v>
      </c>
      <c r="F613" s="1" t="s">
        <v>3406</v>
      </c>
      <c r="G613" s="1"/>
      <c r="H613" s="1" t="s">
        <v>8804</v>
      </c>
      <c r="I613" s="1"/>
      <c r="J613" s="1" t="str">
        <f t="shared" si="9"/>
        <v>纠后正确，加2个氨基酸chr4:3076663-3241786</v>
      </c>
    </row>
    <row r="614" spans="1:10" ht="14.25" customHeight="1" x14ac:dyDescent="0.2">
      <c r="A614" s="1" t="s">
        <v>1049</v>
      </c>
      <c r="B614" s="1" t="s">
        <v>212</v>
      </c>
      <c r="C614" s="1">
        <v>122277432</v>
      </c>
      <c r="D614" s="1" t="s">
        <v>2921</v>
      </c>
      <c r="E614" s="1" t="s">
        <v>1796</v>
      </c>
      <c r="F614" s="1">
        <v>1</v>
      </c>
      <c r="G614" s="1"/>
      <c r="H614" s="1"/>
      <c r="I614" s="1"/>
      <c r="J614" s="1" t="str">
        <f t="shared" si="9"/>
        <v/>
      </c>
    </row>
    <row r="615" spans="1:10" ht="14.25" customHeight="1" x14ac:dyDescent="0.2">
      <c r="A615" s="1" t="s">
        <v>456</v>
      </c>
      <c r="B615" s="1" t="s">
        <v>1</v>
      </c>
      <c r="C615" s="1">
        <v>187454789</v>
      </c>
      <c r="D615" s="1" t="s">
        <v>2420</v>
      </c>
      <c r="E615" s="1" t="s">
        <v>1526</v>
      </c>
      <c r="F615" s="1">
        <v>1</v>
      </c>
      <c r="G615" s="1"/>
      <c r="H615" s="1"/>
      <c r="I615" s="1"/>
      <c r="J615" s="1" t="str">
        <f t="shared" si="9"/>
        <v/>
      </c>
    </row>
    <row r="616" spans="1:10" ht="14.25" customHeight="1" x14ac:dyDescent="0.2">
      <c r="A616" s="1" t="s">
        <v>412</v>
      </c>
      <c r="B616" s="1" t="s">
        <v>1</v>
      </c>
      <c r="C616" s="1">
        <v>26149454</v>
      </c>
      <c r="D616" s="1" t="s">
        <v>2384</v>
      </c>
      <c r="E616" s="1" t="s">
        <v>1505</v>
      </c>
      <c r="F616" s="1">
        <v>1</v>
      </c>
      <c r="G616" s="1"/>
      <c r="H616" s="1"/>
      <c r="I616" s="1"/>
      <c r="J616" s="1" t="str">
        <f t="shared" si="9"/>
        <v/>
      </c>
    </row>
    <row r="617" spans="1:10" ht="14.25" customHeight="1" x14ac:dyDescent="0.2">
      <c r="A617" s="1" t="s">
        <v>3874</v>
      </c>
      <c r="B617" s="1" t="s">
        <v>50</v>
      </c>
      <c r="C617" s="1">
        <v>55315066</v>
      </c>
      <c r="D617" s="1" t="s">
        <v>2104</v>
      </c>
      <c r="E617" s="1" t="s">
        <v>95</v>
      </c>
      <c r="F617" s="1" t="s">
        <v>2062</v>
      </c>
      <c r="G617" s="1"/>
      <c r="H617" s="1" t="s">
        <v>8401</v>
      </c>
      <c r="I617" s="11"/>
      <c r="J617" s="1" t="str">
        <f t="shared" si="9"/>
        <v>纠后与rs号一致,Browers与NCBIrs(rs774287963)不一致,chr19:55325146-55325566</v>
      </c>
    </row>
    <row r="618" spans="1:10" ht="14.25" customHeight="1" x14ac:dyDescent="0.2">
      <c r="A618" s="1" t="s">
        <v>1014</v>
      </c>
      <c r="B618" s="1" t="s">
        <v>212</v>
      </c>
      <c r="C618" s="1">
        <v>10598626</v>
      </c>
      <c r="D618" s="1" t="s">
        <v>2891</v>
      </c>
      <c r="E618" s="1" t="s">
        <v>1776</v>
      </c>
      <c r="F618" s="1">
        <v>1</v>
      </c>
      <c r="G618" s="1"/>
      <c r="H618" s="1"/>
      <c r="I618" s="1"/>
      <c r="J618" s="1" t="str">
        <f t="shared" si="9"/>
        <v/>
      </c>
    </row>
    <row r="619" spans="1:10" ht="14.25" customHeight="1" x14ac:dyDescent="0.2">
      <c r="A619" s="1" t="s">
        <v>1010</v>
      </c>
      <c r="B619" s="1" t="s">
        <v>212</v>
      </c>
      <c r="C619" s="1">
        <v>10460416</v>
      </c>
      <c r="D619" s="1" t="s">
        <v>2887</v>
      </c>
      <c r="E619" s="1" t="s">
        <v>1775</v>
      </c>
      <c r="F619" s="1">
        <v>1</v>
      </c>
      <c r="G619" s="1"/>
      <c r="H619" s="1"/>
      <c r="I619" s="1"/>
      <c r="J619" s="1" t="str">
        <f t="shared" si="9"/>
        <v/>
      </c>
    </row>
    <row r="620" spans="1:10" ht="14.25" customHeight="1" x14ac:dyDescent="0.2">
      <c r="A620" s="1" t="s">
        <v>1173</v>
      </c>
      <c r="B620" s="1" t="s">
        <v>47</v>
      </c>
      <c r="C620" s="1">
        <v>39657232</v>
      </c>
      <c r="D620" s="1" t="s">
        <v>3027</v>
      </c>
      <c r="E620" s="1" t="s">
        <v>1868</v>
      </c>
      <c r="F620" s="1">
        <v>1</v>
      </c>
      <c r="G620" s="1"/>
      <c r="H620" s="1"/>
      <c r="I620" s="1"/>
      <c r="J620" s="1" t="str">
        <f t="shared" si="9"/>
        <v/>
      </c>
    </row>
    <row r="621" spans="1:10" ht="14.25" customHeight="1" x14ac:dyDescent="0.2">
      <c r="A621" s="1" t="s">
        <v>1175</v>
      </c>
      <c r="B621" s="1" t="s">
        <v>47</v>
      </c>
      <c r="C621" s="1">
        <v>39669996</v>
      </c>
      <c r="D621" s="1" t="s">
        <v>3029</v>
      </c>
      <c r="E621" s="1" t="s">
        <v>1869</v>
      </c>
      <c r="F621" s="1">
        <v>1</v>
      </c>
      <c r="G621" s="1"/>
      <c r="H621" s="1"/>
      <c r="I621" s="1"/>
      <c r="J621" s="1" t="str">
        <f t="shared" si="9"/>
        <v/>
      </c>
    </row>
    <row r="622" spans="1:10" ht="14.25" customHeight="1" x14ac:dyDescent="0.2">
      <c r="A622" s="1" t="s">
        <v>433</v>
      </c>
      <c r="B622" s="1" t="s">
        <v>1</v>
      </c>
      <c r="C622" s="1">
        <v>100163714</v>
      </c>
      <c r="D622" s="1" t="s">
        <v>2398</v>
      </c>
      <c r="E622" s="1" t="s">
        <v>1514</v>
      </c>
      <c r="F622" s="1">
        <v>1</v>
      </c>
      <c r="G622" s="1"/>
      <c r="H622" s="1"/>
      <c r="I622" s="1"/>
      <c r="J622" s="1" t="str">
        <f t="shared" si="9"/>
        <v/>
      </c>
    </row>
    <row r="623" spans="1:10" ht="14.25" customHeight="1" x14ac:dyDescent="0.2">
      <c r="A623" s="1" t="s">
        <v>695</v>
      </c>
      <c r="B623" s="1" t="s">
        <v>175</v>
      </c>
      <c r="C623" s="1">
        <v>112429133</v>
      </c>
      <c r="D623" s="1" t="s">
        <v>2628</v>
      </c>
      <c r="E623" s="1" t="s">
        <v>1640</v>
      </c>
      <c r="F623" s="1">
        <v>1</v>
      </c>
      <c r="G623" s="1"/>
      <c r="H623" s="1"/>
      <c r="I623" s="1"/>
      <c r="J623" s="1" t="str">
        <f t="shared" si="9"/>
        <v/>
      </c>
    </row>
    <row r="624" spans="1:10" ht="14.25" customHeight="1" x14ac:dyDescent="0.2">
      <c r="A624" s="1" t="s">
        <v>650</v>
      </c>
      <c r="B624" s="1" t="s">
        <v>186</v>
      </c>
      <c r="C624" s="1">
        <v>112357795</v>
      </c>
      <c r="D624" s="1" t="s">
        <v>2588</v>
      </c>
      <c r="E624" s="1" t="s">
        <v>1613</v>
      </c>
      <c r="F624" s="1">
        <v>1</v>
      </c>
      <c r="G624" s="1"/>
      <c r="H624" s="1"/>
      <c r="I624" s="1"/>
      <c r="J624" s="1" t="str">
        <f t="shared" si="9"/>
        <v/>
      </c>
    </row>
    <row r="625" spans="1:10" ht="14.25" customHeight="1" x14ac:dyDescent="0.2">
      <c r="A625" s="1" t="s">
        <v>201</v>
      </c>
      <c r="B625" s="1" t="s">
        <v>36</v>
      </c>
      <c r="C625" s="1">
        <v>102733463</v>
      </c>
      <c r="D625" s="1" t="s">
        <v>2176</v>
      </c>
      <c r="E625" s="1" t="s">
        <v>287</v>
      </c>
      <c r="F625" s="1" t="s">
        <v>2062</v>
      </c>
      <c r="G625" s="1"/>
      <c r="H625" s="1" t="s">
        <v>3763</v>
      </c>
      <c r="I625" s="1"/>
      <c r="J625" s="1" t="str">
        <f t="shared" si="9"/>
        <v>纠后正确</v>
      </c>
    </row>
    <row r="626" spans="1:10" ht="14.25" customHeight="1" x14ac:dyDescent="0.2">
      <c r="A626" s="1" t="s">
        <v>525</v>
      </c>
      <c r="B626" s="1" t="s">
        <v>86</v>
      </c>
      <c r="C626" s="1">
        <v>49924434</v>
      </c>
      <c r="D626" s="1" t="s">
        <v>2479</v>
      </c>
      <c r="E626" s="1" t="s">
        <v>1548</v>
      </c>
      <c r="F626" s="1">
        <v>1</v>
      </c>
      <c r="G626" s="1"/>
      <c r="H626" s="1"/>
      <c r="I626" s="1"/>
      <c r="J626" s="1" t="str">
        <f t="shared" si="9"/>
        <v/>
      </c>
    </row>
    <row r="627" spans="1:10" ht="14.25" customHeight="1" x14ac:dyDescent="0.2">
      <c r="A627" s="1" t="s">
        <v>901</v>
      </c>
      <c r="B627" s="1" t="s">
        <v>36</v>
      </c>
      <c r="C627" s="1">
        <v>1074874</v>
      </c>
      <c r="D627" s="1" t="s">
        <v>2265</v>
      </c>
      <c r="E627" s="1" t="s">
        <v>1439</v>
      </c>
      <c r="F627" s="1" t="s">
        <v>3406</v>
      </c>
      <c r="G627" s="1"/>
      <c r="H627" s="1" t="s">
        <v>3844</v>
      </c>
      <c r="I627" s="1"/>
      <c r="J627" s="1" t="str">
        <f t="shared" si="9"/>
        <v>多出1828个氨基酸，但无法验证哪个正确，NCBIrs无氨基酸注释信息chr11:1092802-1104263</v>
      </c>
    </row>
    <row r="628" spans="1:10" ht="14.25" customHeight="1" x14ac:dyDescent="0.2">
      <c r="A628" s="1" t="s">
        <v>791</v>
      </c>
      <c r="B628" s="1" t="s">
        <v>103</v>
      </c>
      <c r="C628" s="1">
        <v>128748314</v>
      </c>
      <c r="D628" s="1" t="s">
        <v>2707</v>
      </c>
      <c r="E628" s="1" t="s">
        <v>1686</v>
      </c>
      <c r="F628" s="1">
        <v>1</v>
      </c>
      <c r="G628" s="1"/>
      <c r="H628" s="1"/>
      <c r="I628" s="1"/>
      <c r="J628" s="1" t="str">
        <f t="shared" si="9"/>
        <v/>
      </c>
    </row>
    <row r="629" spans="1:10" ht="14.25" customHeight="1" x14ac:dyDescent="0.2">
      <c r="A629" s="1" t="s">
        <v>455</v>
      </c>
      <c r="B629" s="1" t="s">
        <v>1</v>
      </c>
      <c r="C629" s="1">
        <v>182540832</v>
      </c>
      <c r="D629" s="1" t="s">
        <v>2419</v>
      </c>
      <c r="E629" s="1" t="s">
        <v>1525</v>
      </c>
      <c r="F629" s="1">
        <v>1</v>
      </c>
      <c r="G629" s="1"/>
      <c r="H629" s="1"/>
      <c r="I629" s="1"/>
      <c r="J629" s="1" t="str">
        <f t="shared" si="9"/>
        <v/>
      </c>
    </row>
    <row r="630" spans="1:10" ht="14.25" customHeight="1" x14ac:dyDescent="0.2">
      <c r="A630" s="1" t="s">
        <v>8766</v>
      </c>
      <c r="B630" s="1" t="s">
        <v>113</v>
      </c>
      <c r="C630" s="1">
        <v>64979772</v>
      </c>
      <c r="D630" s="1" t="s">
        <v>3375</v>
      </c>
      <c r="E630" s="1" t="s">
        <v>8767</v>
      </c>
      <c r="F630" s="1" t="s">
        <v>2062</v>
      </c>
      <c r="G630" s="1" t="s">
        <v>8768</v>
      </c>
      <c r="H630" s="1"/>
      <c r="I630" s="1"/>
      <c r="J630" s="1" t="str">
        <f t="shared" si="9"/>
        <v/>
      </c>
    </row>
    <row r="631" spans="1:10" ht="14.25" customHeight="1" x14ac:dyDescent="0.2">
      <c r="A631" s="1" t="s">
        <v>1047</v>
      </c>
      <c r="B631" s="1" t="s">
        <v>212</v>
      </c>
      <c r="C631" s="1">
        <v>121570630</v>
      </c>
      <c r="D631" s="1" t="s">
        <v>2920</v>
      </c>
      <c r="E631" s="1" t="s">
        <v>1795</v>
      </c>
      <c r="F631" s="1">
        <v>1</v>
      </c>
      <c r="G631" s="1"/>
      <c r="H631" s="1"/>
      <c r="I631" s="1"/>
      <c r="J631" s="1" t="str">
        <f t="shared" si="9"/>
        <v/>
      </c>
    </row>
    <row r="632" spans="1:10" ht="14.25" customHeight="1" x14ac:dyDescent="0.2">
      <c r="A632" s="1" t="s">
        <v>112</v>
      </c>
      <c r="B632" s="1" t="s">
        <v>113</v>
      </c>
      <c r="C632" s="1">
        <v>101844132</v>
      </c>
      <c r="D632" s="1" t="s">
        <v>2113</v>
      </c>
      <c r="E632" s="1" t="s">
        <v>111</v>
      </c>
      <c r="F632" s="1" t="s">
        <v>2062</v>
      </c>
      <c r="G632" s="1"/>
      <c r="H632" s="1" t="s">
        <v>8394</v>
      </c>
      <c r="I632" s="1"/>
      <c r="J632" s="1" t="str">
        <f t="shared" si="9"/>
        <v>纠后正确</v>
      </c>
    </row>
    <row r="633" spans="1:10" ht="14.25" customHeight="1" x14ac:dyDescent="0.2">
      <c r="A633" s="1" t="s">
        <v>674</v>
      </c>
      <c r="B633" s="1" t="s">
        <v>175</v>
      </c>
      <c r="C633" s="1">
        <v>33378772</v>
      </c>
      <c r="D633" s="1" t="s">
        <v>2610</v>
      </c>
      <c r="E633" s="1" t="s">
        <v>1630</v>
      </c>
      <c r="F633" s="1">
        <v>1</v>
      </c>
      <c r="G633" s="1"/>
      <c r="H633" s="1"/>
      <c r="I633" s="1"/>
      <c r="J633" s="1" t="str">
        <f t="shared" si="9"/>
        <v/>
      </c>
    </row>
    <row r="634" spans="1:10" ht="14.25" customHeight="1" x14ac:dyDescent="0.2">
      <c r="A634" s="1" t="s">
        <v>873</v>
      </c>
      <c r="B634" s="1" t="s">
        <v>93</v>
      </c>
      <c r="C634" s="1">
        <v>75670861</v>
      </c>
      <c r="D634" s="1" t="s">
        <v>2778</v>
      </c>
      <c r="E634" s="1" t="s">
        <v>1722</v>
      </c>
      <c r="F634" s="1">
        <v>1</v>
      </c>
      <c r="G634" s="1"/>
      <c r="H634" s="1"/>
      <c r="I634" s="1"/>
      <c r="J634" s="1" t="str">
        <f t="shared" si="9"/>
        <v/>
      </c>
    </row>
    <row r="635" spans="1:10" ht="14.25" customHeight="1" x14ac:dyDescent="0.2">
      <c r="A635" s="1" t="s">
        <v>1073</v>
      </c>
      <c r="B635" s="1" t="s">
        <v>81</v>
      </c>
      <c r="C635" s="1">
        <v>39644386</v>
      </c>
      <c r="D635" s="1" t="s">
        <v>2942</v>
      </c>
      <c r="E635" s="1" t="s">
        <v>1812</v>
      </c>
      <c r="F635" s="1">
        <v>1</v>
      </c>
      <c r="G635" s="1"/>
      <c r="H635" s="1"/>
      <c r="I635" s="1"/>
      <c r="J635" s="1" t="str">
        <f t="shared" si="9"/>
        <v/>
      </c>
    </row>
    <row r="636" spans="1:10" ht="14.25" customHeight="1" x14ac:dyDescent="0.2">
      <c r="A636" s="1" t="s">
        <v>1224</v>
      </c>
      <c r="B636" s="1" t="s">
        <v>50</v>
      </c>
      <c r="C636" s="1">
        <v>1086577</v>
      </c>
      <c r="D636" s="1" t="s">
        <v>3071</v>
      </c>
      <c r="E636" s="1" t="s">
        <v>1897</v>
      </c>
      <c r="F636" s="1">
        <v>1</v>
      </c>
      <c r="G636" s="1"/>
      <c r="H636" s="1"/>
      <c r="I636" s="1"/>
      <c r="J636" s="1" t="str">
        <f t="shared" si="9"/>
        <v/>
      </c>
    </row>
    <row r="637" spans="1:10" ht="14.25" customHeight="1" x14ac:dyDescent="0.2">
      <c r="A637" s="1" t="s">
        <v>1115</v>
      </c>
      <c r="B637" s="1" t="s">
        <v>121</v>
      </c>
      <c r="C637" s="1">
        <v>4932507</v>
      </c>
      <c r="D637" s="1" t="s">
        <v>2980</v>
      </c>
      <c r="E637" s="1" t="s">
        <v>1837</v>
      </c>
      <c r="F637" s="1">
        <v>1</v>
      </c>
      <c r="G637" s="1"/>
      <c r="H637" s="1"/>
      <c r="I637" s="1"/>
      <c r="J637" s="1" t="str">
        <f t="shared" si="9"/>
        <v/>
      </c>
    </row>
    <row r="638" spans="1:10" ht="14.25" customHeight="1" x14ac:dyDescent="0.2">
      <c r="A638" s="1" t="s">
        <v>1193</v>
      </c>
      <c r="B638" s="1" t="s">
        <v>47</v>
      </c>
      <c r="C638" s="1">
        <v>64298925</v>
      </c>
      <c r="D638" s="1" t="s">
        <v>3044</v>
      </c>
      <c r="E638" s="1" t="s">
        <v>1881</v>
      </c>
      <c r="F638" s="1">
        <v>1</v>
      </c>
      <c r="G638" s="1"/>
      <c r="H638" s="1"/>
      <c r="I638" s="1"/>
      <c r="J638" s="1" t="str">
        <f t="shared" si="9"/>
        <v/>
      </c>
    </row>
    <row r="639" spans="1:10" ht="14.25" customHeight="1" x14ac:dyDescent="0.2">
      <c r="A639" s="1" t="s">
        <v>818</v>
      </c>
      <c r="B639" s="1" t="s">
        <v>33</v>
      </c>
      <c r="C639" s="1">
        <v>33795558</v>
      </c>
      <c r="D639" s="1" t="s">
        <v>2730</v>
      </c>
      <c r="E639" s="1" t="s">
        <v>1697</v>
      </c>
      <c r="F639" s="1">
        <v>1</v>
      </c>
      <c r="G639" s="1"/>
      <c r="H639" s="1"/>
      <c r="I639" s="1"/>
      <c r="J639" s="1" t="str">
        <f t="shared" si="9"/>
        <v/>
      </c>
    </row>
    <row r="640" spans="1:10" ht="14.25" customHeight="1" x14ac:dyDescent="0.2">
      <c r="A640" s="1" t="s">
        <v>1312</v>
      </c>
      <c r="B640" s="1" t="s">
        <v>241</v>
      </c>
      <c r="C640" s="1">
        <v>19641432</v>
      </c>
      <c r="D640" s="1" t="s">
        <v>3138</v>
      </c>
      <c r="E640" s="1" t="s">
        <v>1937</v>
      </c>
      <c r="F640" s="1">
        <v>1</v>
      </c>
      <c r="G640" s="1"/>
      <c r="H640" s="1"/>
      <c r="I640" s="1"/>
      <c r="J640" s="1" t="str">
        <f t="shared" si="9"/>
        <v/>
      </c>
    </row>
    <row r="641" spans="1:10" ht="14.25" customHeight="1" x14ac:dyDescent="0.2">
      <c r="A641" s="1" t="s">
        <v>3876</v>
      </c>
      <c r="B641" s="1" t="s">
        <v>106</v>
      </c>
      <c r="C641" s="1">
        <v>114426045</v>
      </c>
      <c r="D641" s="1" t="s">
        <v>2274</v>
      </c>
      <c r="E641" s="1" t="s">
        <v>1444</v>
      </c>
      <c r="F641" s="1" t="s">
        <v>3406</v>
      </c>
      <c r="G641" s="1" t="s">
        <v>8391</v>
      </c>
      <c r="H641" s="1" t="s">
        <v>3762</v>
      </c>
      <c r="I641" s="1"/>
      <c r="J641" s="1" t="str">
        <f t="shared" si="9"/>
        <v>无变化</v>
      </c>
    </row>
    <row r="642" spans="1:10" ht="14.25" customHeight="1" x14ac:dyDescent="0.2">
      <c r="A642" s="1" t="s">
        <v>3876</v>
      </c>
      <c r="B642" s="1" t="s">
        <v>106</v>
      </c>
      <c r="C642" s="1">
        <v>114321593</v>
      </c>
      <c r="D642" s="1" t="s">
        <v>3918</v>
      </c>
      <c r="E642" s="1" t="s">
        <v>1444</v>
      </c>
      <c r="F642" s="1" t="s">
        <v>3752</v>
      </c>
      <c r="G642" s="1" t="s">
        <v>8391</v>
      </c>
      <c r="H642" s="1" t="s">
        <v>3762</v>
      </c>
      <c r="I642" s="1"/>
      <c r="J642" s="1" t="str">
        <f t="shared" si="9"/>
        <v>无变化</v>
      </c>
    </row>
    <row r="643" spans="1:10" ht="14.25" customHeight="1" x14ac:dyDescent="0.2">
      <c r="A643" s="1" t="s">
        <v>144</v>
      </c>
      <c r="B643" s="1" t="s">
        <v>86</v>
      </c>
      <c r="C643" s="1">
        <v>133875977</v>
      </c>
      <c r="D643" s="1" t="s">
        <v>2133</v>
      </c>
      <c r="E643" s="1" t="s">
        <v>142</v>
      </c>
      <c r="F643" s="1" t="s">
        <v>2062</v>
      </c>
      <c r="G643" s="1"/>
      <c r="H643" s="1" t="s">
        <v>3763</v>
      </c>
      <c r="I643" s="1"/>
      <c r="J643" s="1" t="str">
        <f t="shared" ref="J643:J706" si="10">IF(H643="",IF(I643="","",I643),H643)</f>
        <v>纠后正确</v>
      </c>
    </row>
    <row r="644" spans="1:10" ht="14.25" customHeight="1" x14ac:dyDescent="0.2">
      <c r="A644" s="1" t="s">
        <v>452</v>
      </c>
      <c r="B644" s="1" t="s">
        <v>1</v>
      </c>
      <c r="C644" s="1">
        <v>167051694</v>
      </c>
      <c r="D644" s="1" t="s">
        <v>2416</v>
      </c>
      <c r="E644" s="1" t="s">
        <v>1522</v>
      </c>
      <c r="F644" s="1">
        <v>1</v>
      </c>
      <c r="G644" s="1"/>
      <c r="H644" s="1"/>
      <c r="I644" s="1"/>
      <c r="J644" s="1" t="str">
        <f t="shared" si="10"/>
        <v/>
      </c>
    </row>
    <row r="645" spans="1:10" ht="14.25" customHeight="1" x14ac:dyDescent="0.2">
      <c r="A645" s="1" t="s">
        <v>410</v>
      </c>
      <c r="B645" s="1" t="s">
        <v>1</v>
      </c>
      <c r="C645" s="1">
        <v>20400557</v>
      </c>
      <c r="D645" s="1" t="s">
        <v>2383</v>
      </c>
      <c r="E645" s="1" t="s">
        <v>1504</v>
      </c>
      <c r="F645" s="1">
        <v>1</v>
      </c>
      <c r="G645" s="1"/>
      <c r="H645" s="1"/>
      <c r="I645" s="1"/>
      <c r="J645" s="1" t="str">
        <f t="shared" si="10"/>
        <v/>
      </c>
    </row>
    <row r="646" spans="1:10" ht="14.25" customHeight="1" x14ac:dyDescent="0.2">
      <c r="A646" s="1" t="s">
        <v>1203</v>
      </c>
      <c r="B646" s="1" t="s">
        <v>47</v>
      </c>
      <c r="C646" s="1">
        <v>75137004</v>
      </c>
      <c r="D646" s="1" t="s">
        <v>3054</v>
      </c>
      <c r="E646" s="1" t="s">
        <v>1884</v>
      </c>
      <c r="F646" s="1">
        <v>1</v>
      </c>
      <c r="G646" s="1"/>
      <c r="H646" s="1"/>
      <c r="I646" s="1"/>
      <c r="J646" s="1" t="str">
        <f t="shared" si="10"/>
        <v/>
      </c>
    </row>
    <row r="647" spans="1:10" ht="14.25" customHeight="1" x14ac:dyDescent="0.2">
      <c r="A647" s="1" t="s">
        <v>665</v>
      </c>
      <c r="B647" s="1" t="s">
        <v>186</v>
      </c>
      <c r="C647" s="1">
        <v>168093070</v>
      </c>
      <c r="D647" s="1" t="s">
        <v>2602</v>
      </c>
      <c r="E647" s="1" t="s">
        <v>1625</v>
      </c>
      <c r="F647" s="1">
        <v>1</v>
      </c>
      <c r="G647" s="1"/>
      <c r="H647" s="1"/>
      <c r="I647" s="1"/>
      <c r="J647" s="1" t="str">
        <f t="shared" si="10"/>
        <v/>
      </c>
    </row>
    <row r="648" spans="1:10" ht="14.25" customHeight="1" x14ac:dyDescent="0.2">
      <c r="A648" s="1" t="s">
        <v>996</v>
      </c>
      <c r="B648" s="1" t="s">
        <v>36</v>
      </c>
      <c r="C648" s="1">
        <v>121322911</v>
      </c>
      <c r="D648" s="1" t="s">
        <v>3253</v>
      </c>
      <c r="E648" s="1" t="s">
        <v>1990</v>
      </c>
      <c r="F648" s="1">
        <v>2</v>
      </c>
      <c r="G648" s="1"/>
      <c r="H648" s="1"/>
      <c r="I648" s="1"/>
      <c r="J648" s="1" t="str">
        <f t="shared" si="10"/>
        <v/>
      </c>
    </row>
    <row r="649" spans="1:10" ht="14.25" customHeight="1" x14ac:dyDescent="0.2">
      <c r="A649" s="1" t="s">
        <v>8796</v>
      </c>
      <c r="B649" s="1" t="s">
        <v>86</v>
      </c>
      <c r="C649" s="1">
        <v>12182149</v>
      </c>
      <c r="D649" s="1" t="s">
        <v>3318</v>
      </c>
      <c r="E649" s="1" t="s">
        <v>2024</v>
      </c>
      <c r="F649" s="1" t="s">
        <v>2062</v>
      </c>
      <c r="G649" s="4" t="s">
        <v>8790</v>
      </c>
      <c r="H649" s="1"/>
      <c r="I649" s="1"/>
      <c r="J649" s="1" t="str">
        <f t="shared" si="10"/>
        <v/>
      </c>
    </row>
    <row r="650" spans="1:10" ht="14.25" customHeight="1" x14ac:dyDescent="0.2">
      <c r="A650" s="1" t="s">
        <v>789</v>
      </c>
      <c r="B650" s="1" t="s">
        <v>103</v>
      </c>
      <c r="C650" s="1">
        <v>120743013</v>
      </c>
      <c r="D650" s="1" t="s">
        <v>2705</v>
      </c>
      <c r="E650" s="1" t="s">
        <v>1684</v>
      </c>
      <c r="F650" s="1">
        <v>1</v>
      </c>
      <c r="G650" s="1"/>
      <c r="H650" s="1"/>
      <c r="I650" s="1"/>
      <c r="J650" s="1" t="str">
        <f t="shared" si="10"/>
        <v/>
      </c>
    </row>
    <row r="651" spans="1:10" ht="14.25" customHeight="1" x14ac:dyDescent="0.2">
      <c r="A651" s="1" t="s">
        <v>677</v>
      </c>
      <c r="B651" s="1" t="s">
        <v>175</v>
      </c>
      <c r="C651" s="1">
        <v>42712233</v>
      </c>
      <c r="D651" s="1" t="s">
        <v>2613</v>
      </c>
      <c r="E651" s="1" t="s">
        <v>1633</v>
      </c>
      <c r="F651" s="1">
        <v>1</v>
      </c>
      <c r="G651" s="1"/>
      <c r="H651" s="1"/>
      <c r="I651" s="1"/>
      <c r="J651" s="1" t="str">
        <f t="shared" si="10"/>
        <v/>
      </c>
    </row>
    <row r="652" spans="1:10" ht="14.25" customHeight="1" x14ac:dyDescent="0.2">
      <c r="A652" s="1" t="s">
        <v>1000</v>
      </c>
      <c r="B652" s="1" t="s">
        <v>212</v>
      </c>
      <c r="C652" s="1">
        <v>3068477</v>
      </c>
      <c r="D652" s="1" t="s">
        <v>2879</v>
      </c>
      <c r="E652" s="1" t="s">
        <v>1769</v>
      </c>
      <c r="F652" s="1">
        <v>1</v>
      </c>
      <c r="G652" s="1"/>
      <c r="H652" s="1"/>
      <c r="I652" s="1"/>
      <c r="J652" s="1" t="str">
        <f t="shared" si="10"/>
        <v/>
      </c>
    </row>
    <row r="653" spans="1:10" ht="14.25" customHeight="1" x14ac:dyDescent="0.2">
      <c r="A653" s="1" t="s">
        <v>675</v>
      </c>
      <c r="B653" s="1" t="s">
        <v>175</v>
      </c>
      <c r="C653" s="1">
        <v>35441373</v>
      </c>
      <c r="D653" s="1" t="s">
        <v>2611</v>
      </c>
      <c r="E653" s="1" t="s">
        <v>1631</v>
      </c>
      <c r="F653" s="1">
        <v>1</v>
      </c>
      <c r="G653" s="1"/>
      <c r="H653" s="1"/>
      <c r="I653" s="1"/>
      <c r="J653" s="1" t="str">
        <f t="shared" si="10"/>
        <v/>
      </c>
    </row>
    <row r="654" spans="1:10" ht="14.25" customHeight="1" x14ac:dyDescent="0.2">
      <c r="A654" s="1" t="s">
        <v>398</v>
      </c>
      <c r="B654" s="1" t="s">
        <v>139</v>
      </c>
      <c r="C654" s="1">
        <v>223282747</v>
      </c>
      <c r="D654" s="1" t="s">
        <v>2373</v>
      </c>
      <c r="E654" s="1" t="s">
        <v>1496</v>
      </c>
      <c r="F654" s="1">
        <v>1</v>
      </c>
      <c r="G654" s="1"/>
      <c r="H654" s="1"/>
      <c r="I654" s="1"/>
      <c r="J654" s="1" t="str">
        <f t="shared" si="10"/>
        <v/>
      </c>
    </row>
    <row r="655" spans="1:10" ht="14.25" customHeight="1" x14ac:dyDescent="0.2">
      <c r="A655" s="1" t="s">
        <v>1328</v>
      </c>
      <c r="B655" s="1" t="s">
        <v>241</v>
      </c>
      <c r="C655" s="1">
        <v>45773483</v>
      </c>
      <c r="D655" s="1" t="s">
        <v>3152</v>
      </c>
      <c r="E655" s="1" t="s">
        <v>1944</v>
      </c>
      <c r="F655" s="1">
        <v>1</v>
      </c>
      <c r="G655" s="1"/>
      <c r="H655" s="1"/>
      <c r="I655" s="1"/>
      <c r="J655" s="1" t="str">
        <f t="shared" si="10"/>
        <v/>
      </c>
    </row>
    <row r="656" spans="1:10" ht="14.25" customHeight="1" x14ac:dyDescent="0.2">
      <c r="A656" s="1" t="s">
        <v>622</v>
      </c>
      <c r="B656" s="1" t="s">
        <v>569</v>
      </c>
      <c r="C656" s="1">
        <v>115543522</v>
      </c>
      <c r="D656" s="1" t="s">
        <v>2564</v>
      </c>
      <c r="E656" s="1" t="s">
        <v>1594</v>
      </c>
      <c r="F656" s="1">
        <v>1</v>
      </c>
      <c r="G656" s="1"/>
      <c r="H656" s="1"/>
      <c r="I656" s="1"/>
      <c r="J656" s="1" t="str">
        <f t="shared" si="10"/>
        <v/>
      </c>
    </row>
    <row r="657" spans="1:10" ht="14.25" customHeight="1" x14ac:dyDescent="0.2">
      <c r="A657" s="1" t="s">
        <v>1408</v>
      </c>
      <c r="B657" s="1" t="s">
        <v>73</v>
      </c>
      <c r="C657" s="1">
        <v>154444700</v>
      </c>
      <c r="D657" s="1" t="s">
        <v>3210</v>
      </c>
      <c r="E657" s="1" t="s">
        <v>1970</v>
      </c>
      <c r="F657" s="1">
        <v>1</v>
      </c>
      <c r="G657" s="1"/>
      <c r="H657" s="1"/>
      <c r="I657" s="1"/>
      <c r="J657" s="1" t="str">
        <f t="shared" si="10"/>
        <v/>
      </c>
    </row>
    <row r="658" spans="1:10" ht="14.25" customHeight="1" x14ac:dyDescent="0.2">
      <c r="A658" s="1" t="s">
        <v>679</v>
      </c>
      <c r="B658" s="1" t="s">
        <v>175</v>
      </c>
      <c r="C658" s="1">
        <v>43737945</v>
      </c>
      <c r="D658" s="1" t="s">
        <v>2615</v>
      </c>
      <c r="E658" s="1" t="s">
        <v>1634</v>
      </c>
      <c r="F658" s="1">
        <v>1</v>
      </c>
      <c r="G658" s="1"/>
      <c r="H658" s="1"/>
      <c r="I658" s="1"/>
      <c r="J658" s="1" t="str">
        <f t="shared" si="10"/>
        <v/>
      </c>
    </row>
    <row r="659" spans="1:10" ht="14.25" customHeight="1" x14ac:dyDescent="0.2">
      <c r="A659" s="1" t="s">
        <v>748</v>
      </c>
      <c r="B659" s="1" t="s">
        <v>40</v>
      </c>
      <c r="C659" s="1">
        <v>100331248</v>
      </c>
      <c r="D659" s="1" t="s">
        <v>3351</v>
      </c>
      <c r="E659" s="1" t="s">
        <v>2031</v>
      </c>
      <c r="F659" s="1" t="s">
        <v>2062</v>
      </c>
      <c r="G659" s="1"/>
      <c r="H659" s="1" t="s">
        <v>3763</v>
      </c>
      <c r="I659" s="1"/>
      <c r="J659" s="1" t="str">
        <f t="shared" si="10"/>
        <v>纠后正确</v>
      </c>
    </row>
    <row r="660" spans="1:10" ht="14.25" customHeight="1" x14ac:dyDescent="0.2">
      <c r="A660" s="1" t="s">
        <v>741</v>
      </c>
      <c r="B660" s="1" t="s">
        <v>40</v>
      </c>
      <c r="C660" s="1">
        <v>73703804</v>
      </c>
      <c r="D660" s="1" t="s">
        <v>2668</v>
      </c>
      <c r="E660" s="1" t="s">
        <v>1660</v>
      </c>
      <c r="F660" s="1">
        <v>1</v>
      </c>
      <c r="G660" s="1"/>
      <c r="H660" s="1"/>
      <c r="I660" s="1"/>
      <c r="J660" s="1" t="str">
        <f t="shared" si="10"/>
        <v/>
      </c>
    </row>
    <row r="661" spans="1:10" ht="14.25" customHeight="1" x14ac:dyDescent="0.2">
      <c r="A661" s="1" t="s">
        <v>1140</v>
      </c>
      <c r="B661" s="1" t="s">
        <v>121</v>
      </c>
      <c r="C661" s="1">
        <v>31885078</v>
      </c>
      <c r="D661" s="1" t="s">
        <v>3001</v>
      </c>
      <c r="E661" s="1" t="s">
        <v>1849</v>
      </c>
      <c r="F661" s="1">
        <v>1</v>
      </c>
      <c r="G661" s="1"/>
      <c r="H661" s="1"/>
      <c r="I661" s="1"/>
      <c r="J661" s="1" t="str">
        <f t="shared" si="10"/>
        <v/>
      </c>
    </row>
    <row r="662" spans="1:10" ht="14.25" customHeight="1" x14ac:dyDescent="0.2">
      <c r="A662" s="1" t="s">
        <v>1296</v>
      </c>
      <c r="B662" s="1" t="s">
        <v>53</v>
      </c>
      <c r="C662" s="1">
        <v>18269120</v>
      </c>
      <c r="D662" s="1" t="s">
        <v>3122</v>
      </c>
      <c r="E662" s="1" t="s">
        <v>1927</v>
      </c>
      <c r="F662" s="1">
        <v>1</v>
      </c>
      <c r="G662" s="1"/>
      <c r="H662" s="1"/>
      <c r="I662" s="1"/>
      <c r="J662" s="1" t="str">
        <f t="shared" si="10"/>
        <v/>
      </c>
    </row>
    <row r="663" spans="1:10" ht="14.25" customHeight="1" x14ac:dyDescent="0.2">
      <c r="A663" s="1" t="s">
        <v>1260</v>
      </c>
      <c r="B663" s="1" t="s">
        <v>50</v>
      </c>
      <c r="C663" s="1">
        <v>44488321</v>
      </c>
      <c r="D663" s="1" t="s">
        <v>3093</v>
      </c>
      <c r="E663" s="1" t="s">
        <v>1912</v>
      </c>
      <c r="F663" s="1">
        <v>1</v>
      </c>
      <c r="G663" s="1"/>
      <c r="H663" s="1"/>
      <c r="I663" s="1"/>
      <c r="J663" s="1" t="str">
        <f t="shared" si="10"/>
        <v/>
      </c>
    </row>
    <row r="664" spans="1:10" ht="14.25" customHeight="1" x14ac:dyDescent="0.2">
      <c r="A664" s="1" t="s">
        <v>1050</v>
      </c>
      <c r="B664" s="1" t="s">
        <v>212</v>
      </c>
      <c r="C664" s="1">
        <v>132379278</v>
      </c>
      <c r="D664" s="1" t="s">
        <v>2922</v>
      </c>
      <c r="E664" s="1" t="s">
        <v>1797</v>
      </c>
      <c r="F664" s="1">
        <v>1</v>
      </c>
      <c r="G664" s="1"/>
      <c r="H664" s="1"/>
      <c r="I664" s="1"/>
      <c r="J664" s="1" t="str">
        <f t="shared" si="10"/>
        <v/>
      </c>
    </row>
    <row r="665" spans="1:10" ht="14.25" customHeight="1" x14ac:dyDescent="0.2">
      <c r="A665" s="1" t="s">
        <v>1042</v>
      </c>
      <c r="B665" s="1" t="s">
        <v>212</v>
      </c>
      <c r="C665" s="1">
        <v>93166284</v>
      </c>
      <c r="D665" s="1" t="s">
        <v>2916</v>
      </c>
      <c r="E665" s="1" t="s">
        <v>1791</v>
      </c>
      <c r="F665" s="1">
        <v>1</v>
      </c>
      <c r="G665" s="1"/>
      <c r="H665" s="1"/>
      <c r="I665" s="1"/>
      <c r="J665" s="1" t="str">
        <f t="shared" si="10"/>
        <v/>
      </c>
    </row>
    <row r="666" spans="1:10" ht="14.25" customHeight="1" x14ac:dyDescent="0.2">
      <c r="A666" s="1" t="s">
        <v>100</v>
      </c>
      <c r="B666" s="1" t="s">
        <v>50</v>
      </c>
      <c r="C666" s="1">
        <v>41099071</v>
      </c>
      <c r="D666" s="1" t="s">
        <v>2107</v>
      </c>
      <c r="E666" s="1" t="s">
        <v>97</v>
      </c>
      <c r="F666" s="1" t="s">
        <v>2062</v>
      </c>
      <c r="G666" s="1"/>
      <c r="H666" s="1" t="s">
        <v>3763</v>
      </c>
      <c r="I666" s="1"/>
      <c r="J666" s="1" t="str">
        <f t="shared" si="10"/>
        <v>纠后正确</v>
      </c>
    </row>
    <row r="667" spans="1:10" ht="14.25" customHeight="1" x14ac:dyDescent="0.2">
      <c r="A667" s="1" t="s">
        <v>8769</v>
      </c>
      <c r="B667" s="1" t="s">
        <v>47</v>
      </c>
      <c r="C667" s="1">
        <v>6008</v>
      </c>
      <c r="D667" s="1" t="s">
        <v>3399</v>
      </c>
      <c r="E667" s="1" t="s">
        <v>2060</v>
      </c>
      <c r="F667" s="1" t="s">
        <v>2067</v>
      </c>
      <c r="G667" s="1"/>
      <c r="H667" s="1"/>
      <c r="I667" s="1"/>
      <c r="J667" s="1" t="str">
        <f t="shared" si="10"/>
        <v/>
      </c>
    </row>
    <row r="668" spans="1:10" ht="14.25" customHeight="1" x14ac:dyDescent="0.2">
      <c r="A668" s="1" t="s">
        <v>1092</v>
      </c>
      <c r="B668" s="1" t="s">
        <v>113</v>
      </c>
      <c r="C668" s="1">
        <v>65488336</v>
      </c>
      <c r="D668" s="1" t="s">
        <v>2961</v>
      </c>
      <c r="E668" s="1" t="s">
        <v>1826</v>
      </c>
      <c r="F668" s="1">
        <v>1</v>
      </c>
      <c r="G668" s="1"/>
      <c r="H668" s="1"/>
      <c r="I668" s="1"/>
      <c r="J668" s="1" t="str">
        <f t="shared" si="10"/>
        <v/>
      </c>
    </row>
    <row r="669" spans="1:10" ht="14.25" customHeight="1" x14ac:dyDescent="0.2">
      <c r="A669" s="1" t="s">
        <v>904</v>
      </c>
      <c r="B669" s="1" t="s">
        <v>36</v>
      </c>
      <c r="C669" s="1">
        <v>7534995</v>
      </c>
      <c r="D669" s="1" t="s">
        <v>2804</v>
      </c>
      <c r="E669" s="1" t="s">
        <v>1734</v>
      </c>
      <c r="F669" s="1">
        <v>1</v>
      </c>
      <c r="G669" s="1"/>
      <c r="H669" s="1"/>
      <c r="I669" s="1"/>
      <c r="J669" s="1" t="str">
        <f t="shared" si="10"/>
        <v/>
      </c>
    </row>
    <row r="670" spans="1:10" ht="14.25" customHeight="1" x14ac:dyDescent="0.2">
      <c r="A670" s="1" t="s">
        <v>1022</v>
      </c>
      <c r="B670" s="1" t="s">
        <v>212</v>
      </c>
      <c r="C670" s="1">
        <v>27677044</v>
      </c>
      <c r="D670" s="1" t="s">
        <v>2899</v>
      </c>
      <c r="E670" s="1" t="s">
        <v>1780</v>
      </c>
      <c r="F670" s="1">
        <v>1</v>
      </c>
      <c r="G670" s="1"/>
      <c r="H670" s="1"/>
      <c r="I670" s="1"/>
      <c r="J670" s="1" t="str">
        <f t="shared" si="10"/>
        <v/>
      </c>
    </row>
    <row r="671" spans="1:10" ht="14.25" customHeight="1" x14ac:dyDescent="0.2">
      <c r="A671" s="1" t="s">
        <v>8770</v>
      </c>
      <c r="B671" s="1" t="s">
        <v>93</v>
      </c>
      <c r="C671" s="1">
        <v>51026324</v>
      </c>
      <c r="D671" s="1" t="s">
        <v>2261</v>
      </c>
      <c r="E671" s="1" t="s">
        <v>1436</v>
      </c>
      <c r="F671" s="1" t="s">
        <v>3406</v>
      </c>
      <c r="H671" s="1"/>
      <c r="I671" s="1"/>
      <c r="J671" s="1" t="str">
        <f>IF(H671="",IF(I671="","",I671),H671)</f>
        <v/>
      </c>
    </row>
    <row r="672" spans="1:10" ht="14.25" customHeight="1" x14ac:dyDescent="0.2">
      <c r="A672" s="1" t="s">
        <v>852</v>
      </c>
      <c r="B672" s="1" t="s">
        <v>93</v>
      </c>
      <c r="C672" s="1">
        <v>15559087</v>
      </c>
      <c r="D672" s="1" t="s">
        <v>2759</v>
      </c>
      <c r="E672" s="1" t="s">
        <v>1715</v>
      </c>
      <c r="F672" s="1">
        <v>1</v>
      </c>
      <c r="G672" s="1"/>
      <c r="H672" s="1"/>
      <c r="I672" s="1"/>
      <c r="J672" s="1" t="str">
        <f t="shared" si="10"/>
        <v/>
      </c>
    </row>
    <row r="673" spans="1:10" ht="14.25" customHeight="1" x14ac:dyDescent="0.2">
      <c r="A673" s="1" t="s">
        <v>896</v>
      </c>
      <c r="B673" s="1" t="s">
        <v>36</v>
      </c>
      <c r="C673" s="1">
        <v>313990</v>
      </c>
      <c r="D673" s="1" t="s">
        <v>2797</v>
      </c>
      <c r="E673" s="1" t="s">
        <v>1730</v>
      </c>
      <c r="F673" s="1">
        <v>1</v>
      </c>
      <c r="G673" s="1"/>
      <c r="H673" s="1"/>
      <c r="I673" s="1"/>
      <c r="J673" s="1" t="str">
        <f t="shared" si="10"/>
        <v/>
      </c>
    </row>
    <row r="674" spans="1:10" ht="14.25" customHeight="1" x14ac:dyDescent="0.2">
      <c r="A674" s="1" t="s">
        <v>585</v>
      </c>
      <c r="B674" s="1" t="s">
        <v>569</v>
      </c>
      <c r="C674" s="1">
        <v>8594386</v>
      </c>
      <c r="D674" s="1" t="s">
        <v>3229</v>
      </c>
      <c r="E674" s="1" t="s">
        <v>1575</v>
      </c>
      <c r="F674" s="1">
        <v>2</v>
      </c>
      <c r="G674" s="1"/>
      <c r="H674" s="1"/>
      <c r="I674" s="1"/>
      <c r="J674" s="1" t="str">
        <f t="shared" si="10"/>
        <v/>
      </c>
    </row>
    <row r="675" spans="1:10" ht="14.25" customHeight="1" x14ac:dyDescent="0.2">
      <c r="A675" s="1" t="s">
        <v>3877</v>
      </c>
      <c r="B675" s="1" t="s">
        <v>569</v>
      </c>
      <c r="C675" s="1">
        <v>76649828</v>
      </c>
      <c r="D675" s="1" t="s">
        <v>2241</v>
      </c>
      <c r="E675" s="1" t="s">
        <v>1425</v>
      </c>
      <c r="F675" s="1" t="s">
        <v>3406</v>
      </c>
      <c r="G675" s="1"/>
      <c r="H675" s="1"/>
      <c r="I675" s="1" t="s">
        <v>8402</v>
      </c>
      <c r="J675" s="1" t="str">
        <f t="shared" si="10"/>
        <v>纠后正确，区间略有变化，加41个氨基酸chr4:76657491-76735366</v>
      </c>
    </row>
    <row r="676" spans="1:10" ht="14.25" customHeight="1" x14ac:dyDescent="0.2">
      <c r="A676" s="1" t="s">
        <v>3878</v>
      </c>
      <c r="B676" s="1" t="s">
        <v>103</v>
      </c>
      <c r="C676" s="1">
        <v>143738873</v>
      </c>
      <c r="D676" s="1" t="s">
        <v>3354</v>
      </c>
      <c r="E676" s="1" t="s">
        <v>2033</v>
      </c>
      <c r="F676" s="1" t="s">
        <v>2062</v>
      </c>
      <c r="G676" s="1"/>
      <c r="H676" s="1"/>
      <c r="I676" s="1" t="s">
        <v>8376</v>
      </c>
      <c r="J676" s="1" t="str">
        <f t="shared" si="10"/>
        <v>纠后正确，版本不一致，utr略有变化</v>
      </c>
    </row>
    <row r="677" spans="1:10" ht="14.25" customHeight="1" x14ac:dyDescent="0.2">
      <c r="A677" s="1" t="s">
        <v>3924</v>
      </c>
      <c r="B677" s="1" t="s">
        <v>40</v>
      </c>
      <c r="C677" s="1">
        <v>21582832</v>
      </c>
      <c r="D677" s="1" t="s">
        <v>3325</v>
      </c>
      <c r="E677" s="1" t="s">
        <v>3719</v>
      </c>
      <c r="F677" s="1" t="s">
        <v>2062</v>
      </c>
      <c r="G677" s="1"/>
      <c r="H677" s="1" t="s">
        <v>8403</v>
      </c>
      <c r="I677" s="1"/>
      <c r="J677" s="1" t="str">
        <f t="shared" si="10"/>
        <v>无此变体信息</v>
      </c>
    </row>
    <row r="678" spans="1:10" ht="14.25" customHeight="1" x14ac:dyDescent="0.2">
      <c r="A678" s="1" t="s">
        <v>1084</v>
      </c>
      <c r="B678" s="1" t="s">
        <v>81</v>
      </c>
      <c r="C678" s="1">
        <v>101193201</v>
      </c>
      <c r="D678" s="1" t="s">
        <v>2950</v>
      </c>
      <c r="E678" s="1" t="s">
        <v>1818</v>
      </c>
      <c r="F678" s="1">
        <v>1</v>
      </c>
      <c r="G678" s="1"/>
      <c r="H678" s="1"/>
      <c r="I678" s="1"/>
      <c r="J678" s="1" t="str">
        <f t="shared" si="10"/>
        <v/>
      </c>
    </row>
    <row r="679" spans="1:10" ht="14.25" customHeight="1" x14ac:dyDescent="0.2">
      <c r="A679" s="1" t="s">
        <v>776</v>
      </c>
      <c r="B679" s="1" t="s">
        <v>103</v>
      </c>
      <c r="C679" s="1">
        <v>22960326</v>
      </c>
      <c r="D679" s="1" t="s">
        <v>2696</v>
      </c>
      <c r="E679" s="1" t="s">
        <v>1678</v>
      </c>
      <c r="F679" s="1">
        <v>1</v>
      </c>
      <c r="G679" s="1"/>
      <c r="H679" s="1"/>
      <c r="I679" s="1"/>
      <c r="J679" s="1" t="str">
        <f t="shared" si="10"/>
        <v/>
      </c>
    </row>
    <row r="680" spans="1:10" ht="14.25" customHeight="1" x14ac:dyDescent="0.2">
      <c r="A680" s="1" t="s">
        <v>8771</v>
      </c>
      <c r="B680" s="1" t="s">
        <v>73</v>
      </c>
      <c r="C680" s="1">
        <v>76709644</v>
      </c>
      <c r="D680" s="1" t="s">
        <v>3395</v>
      </c>
      <c r="E680" s="1" t="s">
        <v>2057</v>
      </c>
      <c r="F680" s="1" t="s">
        <v>2062</v>
      </c>
      <c r="G680" s="4" t="s">
        <v>8794</v>
      </c>
      <c r="H680" s="1"/>
      <c r="I680" s="1"/>
      <c r="J680" s="1" t="str">
        <f t="shared" si="10"/>
        <v/>
      </c>
    </row>
    <row r="681" spans="1:10" ht="14.25" customHeight="1" x14ac:dyDescent="0.2">
      <c r="A681" s="1" t="s">
        <v>464</v>
      </c>
      <c r="B681" s="1" t="s">
        <v>1</v>
      </c>
      <c r="C681" s="1">
        <v>206547223</v>
      </c>
      <c r="D681" s="1" t="s">
        <v>2428</v>
      </c>
      <c r="E681" s="1" t="s">
        <v>1531</v>
      </c>
      <c r="F681" s="1">
        <v>1</v>
      </c>
      <c r="G681" s="1"/>
      <c r="H681" s="1"/>
      <c r="I681" s="1"/>
      <c r="J681" s="1" t="str">
        <f t="shared" si="10"/>
        <v/>
      </c>
    </row>
    <row r="682" spans="1:10" ht="14.25" customHeight="1" x14ac:dyDescent="0.2">
      <c r="A682" s="1" t="s">
        <v>855</v>
      </c>
      <c r="B682" s="1" t="s">
        <v>93</v>
      </c>
      <c r="C682" s="1">
        <v>33466418</v>
      </c>
      <c r="D682" s="1" t="s">
        <v>2762</v>
      </c>
      <c r="E682" s="1" t="s">
        <v>1716</v>
      </c>
      <c r="F682" s="1">
        <v>1</v>
      </c>
      <c r="G682" s="1"/>
      <c r="H682" s="1"/>
      <c r="I682" s="1"/>
      <c r="J682" s="1" t="str">
        <f t="shared" si="10"/>
        <v/>
      </c>
    </row>
    <row r="683" spans="1:10" ht="14.25" customHeight="1" x14ac:dyDescent="0.2">
      <c r="A683" s="1" t="s">
        <v>537</v>
      </c>
      <c r="B683" s="1" t="s">
        <v>86</v>
      </c>
      <c r="C683" s="1">
        <v>119499330</v>
      </c>
      <c r="D683" s="1" t="s">
        <v>2488</v>
      </c>
      <c r="E683" s="1" t="s">
        <v>1557</v>
      </c>
      <c r="F683" s="1">
        <v>1</v>
      </c>
      <c r="G683" s="1"/>
      <c r="H683" s="1"/>
      <c r="I683" s="1"/>
      <c r="J683" s="1" t="str">
        <f t="shared" si="10"/>
        <v/>
      </c>
    </row>
    <row r="684" spans="1:10" ht="14.25" customHeight="1" x14ac:dyDescent="0.2">
      <c r="A684" s="1" t="s">
        <v>202</v>
      </c>
      <c r="B684" s="1" t="s">
        <v>47</v>
      </c>
      <c r="C684" s="1">
        <v>43340487</v>
      </c>
      <c r="D684" s="1" t="s">
        <v>2174</v>
      </c>
      <c r="E684" s="1" t="s">
        <v>285</v>
      </c>
      <c r="F684" s="1" t="s">
        <v>2062</v>
      </c>
      <c r="G684" s="1"/>
      <c r="H684" s="1" t="s">
        <v>3763</v>
      </c>
      <c r="I684" s="1"/>
      <c r="J684" s="1" t="str">
        <f t="shared" si="10"/>
        <v>纠后正确</v>
      </c>
    </row>
    <row r="685" spans="1:10" ht="14.25" customHeight="1" x14ac:dyDescent="0.2">
      <c r="A685" s="1" t="s">
        <v>1099</v>
      </c>
      <c r="B685" s="1" t="s">
        <v>113</v>
      </c>
      <c r="C685" s="1">
        <v>91509267</v>
      </c>
      <c r="D685" s="1" t="s">
        <v>2966</v>
      </c>
      <c r="E685" s="1" t="s">
        <v>1829</v>
      </c>
      <c r="F685" s="1">
        <v>1</v>
      </c>
      <c r="G685" s="1"/>
      <c r="H685" s="1"/>
      <c r="I685" s="1"/>
      <c r="J685" s="1" t="str">
        <f t="shared" si="10"/>
        <v/>
      </c>
    </row>
    <row r="686" spans="1:10" ht="14.25" customHeight="1" x14ac:dyDescent="0.2">
      <c r="A686" s="1" t="s">
        <v>890</v>
      </c>
      <c r="B686" s="1" t="s">
        <v>93</v>
      </c>
      <c r="C686" s="1">
        <v>102505467</v>
      </c>
      <c r="D686" s="1" t="s">
        <v>3304</v>
      </c>
      <c r="E686" s="1" t="s">
        <v>1437</v>
      </c>
      <c r="F686" s="1">
        <v>9</v>
      </c>
      <c r="G686" s="1"/>
      <c r="H686" s="1" t="s">
        <v>3817</v>
      </c>
      <c r="I686" s="1"/>
      <c r="J686" s="1" t="str">
        <f t="shared" si="10"/>
        <v>纠后正确，少1个氨基酸chr10:102587349-102587376</v>
      </c>
    </row>
    <row r="687" spans="1:10" ht="14.25" customHeight="1" x14ac:dyDescent="0.2">
      <c r="A687" s="1" t="s">
        <v>893</v>
      </c>
      <c r="B687" s="1" t="s">
        <v>93</v>
      </c>
      <c r="C687" s="1">
        <v>102505467</v>
      </c>
      <c r="D687" s="1" t="s">
        <v>2263</v>
      </c>
      <c r="E687" s="1" t="s">
        <v>1437</v>
      </c>
      <c r="F687" s="1" t="s">
        <v>3406</v>
      </c>
      <c r="G687" s="1"/>
      <c r="H687" s="1" t="s">
        <v>3817</v>
      </c>
      <c r="I687" s="1"/>
      <c r="J687" s="1" t="str">
        <f t="shared" si="10"/>
        <v>纠后正确，少1个氨基酸chr10:102587349-102587376</v>
      </c>
    </row>
    <row r="688" spans="1:10" ht="14.25" customHeight="1" x14ac:dyDescent="0.2">
      <c r="A688" s="1" t="s">
        <v>891</v>
      </c>
      <c r="B688" s="1" t="s">
        <v>93</v>
      </c>
      <c r="C688" s="1">
        <v>102505467</v>
      </c>
      <c r="D688" s="1" t="s">
        <v>2262</v>
      </c>
      <c r="E688" s="1" t="s">
        <v>1437</v>
      </c>
      <c r="F688" s="1" t="s">
        <v>3406</v>
      </c>
      <c r="G688" s="1"/>
      <c r="H688" s="1" t="s">
        <v>3817</v>
      </c>
      <c r="I688" s="1"/>
      <c r="J688" s="1" t="str">
        <f t="shared" si="10"/>
        <v>纠后正确，少1个氨基酸chr10:102587349-102587376</v>
      </c>
    </row>
    <row r="689" spans="1:10" ht="14.25" customHeight="1" x14ac:dyDescent="0.2">
      <c r="A689" s="1" t="s">
        <v>1369</v>
      </c>
      <c r="B689" s="1" t="s">
        <v>73</v>
      </c>
      <c r="C689" s="1">
        <v>31137344</v>
      </c>
      <c r="D689" s="1" t="s">
        <v>3292</v>
      </c>
      <c r="E689" s="1" t="s">
        <v>1959</v>
      </c>
      <c r="F689" s="1">
        <v>3</v>
      </c>
      <c r="G689" s="1"/>
      <c r="H689" s="1"/>
      <c r="I689" s="1"/>
      <c r="J689" s="1" t="str">
        <f t="shared" si="10"/>
        <v/>
      </c>
    </row>
    <row r="690" spans="1:10" ht="14.25" customHeight="1" x14ac:dyDescent="0.2">
      <c r="A690" s="1" t="s">
        <v>1372</v>
      </c>
      <c r="B690" s="1" t="s">
        <v>73</v>
      </c>
      <c r="C690" s="1">
        <v>31137344</v>
      </c>
      <c r="D690" s="1" t="s">
        <v>3295</v>
      </c>
      <c r="E690" s="1" t="s">
        <v>1959</v>
      </c>
      <c r="F690" s="1">
        <v>3</v>
      </c>
      <c r="G690" s="1"/>
      <c r="H690" s="1"/>
      <c r="I690" s="1"/>
      <c r="J690" s="1" t="str">
        <f t="shared" si="10"/>
        <v/>
      </c>
    </row>
    <row r="691" spans="1:10" ht="14.25" customHeight="1" x14ac:dyDescent="0.2">
      <c r="A691" s="1" t="s">
        <v>1370</v>
      </c>
      <c r="B691" s="1" t="s">
        <v>73</v>
      </c>
      <c r="C691" s="1">
        <v>31137344</v>
      </c>
      <c r="D691" s="1" t="s">
        <v>3293</v>
      </c>
      <c r="E691" s="1" t="s">
        <v>1959</v>
      </c>
      <c r="F691" s="1">
        <v>3</v>
      </c>
      <c r="G691" s="1"/>
      <c r="H691" s="1"/>
      <c r="I691" s="1"/>
      <c r="J691" s="1" t="str">
        <f t="shared" si="10"/>
        <v/>
      </c>
    </row>
    <row r="692" spans="1:10" ht="14.25" customHeight="1" x14ac:dyDescent="0.2">
      <c r="A692" s="1" t="s">
        <v>1371</v>
      </c>
      <c r="B692" s="1" t="s">
        <v>73</v>
      </c>
      <c r="C692" s="1">
        <v>31137344</v>
      </c>
      <c r="D692" s="1" t="s">
        <v>3294</v>
      </c>
      <c r="E692" s="1" t="s">
        <v>1959</v>
      </c>
      <c r="F692" s="1">
        <v>3</v>
      </c>
      <c r="G692" s="1"/>
      <c r="H692" s="1"/>
      <c r="I692" s="1"/>
      <c r="J692" s="1" t="str">
        <f t="shared" si="10"/>
        <v/>
      </c>
    </row>
    <row r="693" spans="1:10" ht="14.25" customHeight="1" x14ac:dyDescent="0.2">
      <c r="A693" s="1" t="s">
        <v>1373</v>
      </c>
      <c r="B693" s="1" t="s">
        <v>73</v>
      </c>
      <c r="C693" s="1">
        <v>31137344</v>
      </c>
      <c r="D693" s="1" t="s">
        <v>3286</v>
      </c>
      <c r="E693" s="1" t="s">
        <v>1959</v>
      </c>
      <c r="F693" s="1">
        <v>2</v>
      </c>
      <c r="G693" s="1"/>
      <c r="H693" s="1"/>
      <c r="I693" s="1"/>
      <c r="J693" s="1" t="str">
        <f t="shared" si="10"/>
        <v/>
      </c>
    </row>
    <row r="694" spans="1:10" ht="14.25" customHeight="1" x14ac:dyDescent="0.2">
      <c r="A694" s="1" t="s">
        <v>1374</v>
      </c>
      <c r="B694" s="1" t="s">
        <v>73</v>
      </c>
      <c r="C694" s="1">
        <v>31137344</v>
      </c>
      <c r="D694" s="1" t="s">
        <v>3287</v>
      </c>
      <c r="E694" s="1" t="s">
        <v>1959</v>
      </c>
      <c r="F694" s="1">
        <v>2</v>
      </c>
      <c r="G694" s="1"/>
      <c r="H694" s="1"/>
      <c r="I694" s="1"/>
      <c r="J694" s="1" t="str">
        <f t="shared" si="10"/>
        <v/>
      </c>
    </row>
    <row r="695" spans="1:10" ht="14.25" customHeight="1" x14ac:dyDescent="0.2">
      <c r="A695" s="1" t="s">
        <v>1379</v>
      </c>
      <c r="B695" s="1" t="s">
        <v>73</v>
      </c>
      <c r="C695" s="1">
        <v>31137344</v>
      </c>
      <c r="D695" s="1" t="s">
        <v>3185</v>
      </c>
      <c r="E695" s="1" t="s">
        <v>1959</v>
      </c>
      <c r="F695" s="1">
        <v>1</v>
      </c>
      <c r="G695" s="1"/>
      <c r="H695" s="1"/>
      <c r="I695" s="1"/>
      <c r="J695" s="1" t="str">
        <f t="shared" si="10"/>
        <v/>
      </c>
    </row>
    <row r="696" spans="1:10" ht="14.25" customHeight="1" x14ac:dyDescent="0.2">
      <c r="A696" s="1" t="s">
        <v>1380</v>
      </c>
      <c r="B696" s="1" t="s">
        <v>73</v>
      </c>
      <c r="C696" s="1">
        <v>31137344</v>
      </c>
      <c r="D696" s="1" t="s">
        <v>3186</v>
      </c>
      <c r="E696" s="1" t="s">
        <v>1959</v>
      </c>
      <c r="F696" s="1">
        <v>1</v>
      </c>
      <c r="G696" s="1"/>
      <c r="H696" s="1"/>
      <c r="I696" s="1"/>
      <c r="J696" s="1" t="str">
        <f t="shared" si="10"/>
        <v/>
      </c>
    </row>
    <row r="697" spans="1:10" ht="14.25" customHeight="1" x14ac:dyDescent="0.2">
      <c r="A697" s="1" t="s">
        <v>1376</v>
      </c>
      <c r="B697" s="1" t="s">
        <v>73</v>
      </c>
      <c r="C697" s="1">
        <v>31137344</v>
      </c>
      <c r="D697" s="1" t="s">
        <v>3182</v>
      </c>
      <c r="E697" s="1" t="s">
        <v>1959</v>
      </c>
      <c r="F697" s="1">
        <v>1</v>
      </c>
      <c r="G697" s="1"/>
      <c r="H697" s="1"/>
      <c r="I697" s="1"/>
      <c r="J697" s="1" t="str">
        <f t="shared" si="10"/>
        <v/>
      </c>
    </row>
    <row r="698" spans="1:10" ht="14.25" customHeight="1" x14ac:dyDescent="0.2">
      <c r="A698" s="1" t="s">
        <v>1378</v>
      </c>
      <c r="B698" s="1" t="s">
        <v>73</v>
      </c>
      <c r="C698" s="1">
        <v>31137344</v>
      </c>
      <c r="D698" s="1" t="s">
        <v>3184</v>
      </c>
      <c r="E698" s="1" t="s">
        <v>1959</v>
      </c>
      <c r="F698" s="1">
        <v>1</v>
      </c>
      <c r="G698" s="1"/>
      <c r="H698" s="1"/>
      <c r="I698" s="1"/>
      <c r="J698" s="1" t="str">
        <f t="shared" si="10"/>
        <v/>
      </c>
    </row>
    <row r="699" spans="1:10" ht="14.25" customHeight="1" x14ac:dyDescent="0.2">
      <c r="A699" s="1" t="s">
        <v>1377</v>
      </c>
      <c r="B699" s="1" t="s">
        <v>73</v>
      </c>
      <c r="C699" s="1">
        <v>31137344</v>
      </c>
      <c r="D699" s="1" t="s">
        <v>3183</v>
      </c>
      <c r="E699" s="1" t="s">
        <v>1959</v>
      </c>
      <c r="F699" s="1">
        <v>1</v>
      </c>
      <c r="G699" s="1"/>
      <c r="H699" s="1"/>
      <c r="I699" s="1"/>
      <c r="J699" s="1" t="str">
        <f t="shared" si="10"/>
        <v/>
      </c>
    </row>
    <row r="700" spans="1:10" ht="14.25" customHeight="1" x14ac:dyDescent="0.2">
      <c r="A700" s="1" t="s">
        <v>1375</v>
      </c>
      <c r="B700" s="1" t="s">
        <v>73</v>
      </c>
      <c r="C700" s="1">
        <v>31137344</v>
      </c>
      <c r="D700" s="1" t="s">
        <v>3181</v>
      </c>
      <c r="E700" s="1" t="s">
        <v>1959</v>
      </c>
      <c r="F700" s="1">
        <v>1</v>
      </c>
      <c r="G700" s="1"/>
      <c r="H700" s="1"/>
      <c r="I700" s="1"/>
      <c r="J700" s="1" t="str">
        <f t="shared" si="10"/>
        <v/>
      </c>
    </row>
    <row r="701" spans="1:10" ht="14.25" customHeight="1" x14ac:dyDescent="0.2">
      <c r="A701" s="1" t="s">
        <v>1068</v>
      </c>
      <c r="B701" s="1" t="s">
        <v>81</v>
      </c>
      <c r="C701" s="1">
        <v>23775970</v>
      </c>
      <c r="D701" s="1" t="s">
        <v>2939</v>
      </c>
      <c r="E701" s="1" t="s">
        <v>1810</v>
      </c>
      <c r="F701" s="1">
        <v>1</v>
      </c>
      <c r="G701" s="1"/>
      <c r="H701" s="1"/>
      <c r="I701" s="1"/>
      <c r="J701" s="1" t="str">
        <f t="shared" si="10"/>
        <v/>
      </c>
    </row>
    <row r="702" spans="1:10" ht="14.25" customHeight="1" x14ac:dyDescent="0.2">
      <c r="A702" s="1" t="s">
        <v>1096</v>
      </c>
      <c r="B702" s="1" t="s">
        <v>113</v>
      </c>
      <c r="C702" s="1">
        <v>78730517</v>
      </c>
      <c r="D702" s="1" t="s">
        <v>3263</v>
      </c>
      <c r="E702" s="1" t="s">
        <v>1998</v>
      </c>
      <c r="F702" s="1">
        <v>2</v>
      </c>
      <c r="G702" s="1"/>
      <c r="H702" s="1"/>
      <c r="I702" s="1"/>
      <c r="J702" s="1" t="str">
        <f t="shared" si="10"/>
        <v/>
      </c>
    </row>
    <row r="703" spans="1:10" ht="14.25" customHeight="1" x14ac:dyDescent="0.2">
      <c r="A703" s="1" t="s">
        <v>1162</v>
      </c>
      <c r="B703" s="1" t="s">
        <v>47</v>
      </c>
      <c r="C703" s="1">
        <v>18128935</v>
      </c>
      <c r="D703" s="1" t="s">
        <v>3020</v>
      </c>
      <c r="E703" s="1" t="s">
        <v>1862</v>
      </c>
      <c r="F703" s="1">
        <v>1</v>
      </c>
      <c r="G703" s="1"/>
      <c r="H703" s="1"/>
      <c r="I703" s="1"/>
      <c r="J703" s="1" t="str">
        <f t="shared" si="10"/>
        <v/>
      </c>
    </row>
    <row r="704" spans="1:10" ht="14.25" customHeight="1" x14ac:dyDescent="0.2">
      <c r="A704" s="1" t="s">
        <v>8772</v>
      </c>
      <c r="B704" s="1" t="s">
        <v>50</v>
      </c>
      <c r="C704" s="1">
        <v>2269519</v>
      </c>
      <c r="D704" s="1" t="s">
        <v>3389</v>
      </c>
      <c r="E704" s="1" t="s">
        <v>2053</v>
      </c>
      <c r="F704" s="1" t="s">
        <v>2062</v>
      </c>
      <c r="G704" s="1"/>
      <c r="H704" s="1"/>
      <c r="I704" s="1"/>
      <c r="J704" s="1" t="str">
        <f t="shared" si="10"/>
        <v/>
      </c>
    </row>
    <row r="705" spans="1:10" ht="14.25" customHeight="1" x14ac:dyDescent="0.2">
      <c r="A705" s="1" t="s">
        <v>1180</v>
      </c>
      <c r="B705" s="1" t="s">
        <v>47</v>
      </c>
      <c r="C705" s="1">
        <v>42030105</v>
      </c>
      <c r="D705" s="1" t="s">
        <v>3033</v>
      </c>
      <c r="E705" s="1" t="s">
        <v>1873</v>
      </c>
      <c r="F705" s="1">
        <v>1</v>
      </c>
      <c r="G705" s="1"/>
      <c r="H705" s="1"/>
      <c r="I705" s="1"/>
      <c r="J705" s="1" t="str">
        <f t="shared" si="10"/>
        <v/>
      </c>
    </row>
    <row r="706" spans="1:10" ht="14.25" customHeight="1" x14ac:dyDescent="0.2">
      <c r="A706" s="1" t="s">
        <v>894</v>
      </c>
      <c r="B706" s="1" t="s">
        <v>93</v>
      </c>
      <c r="C706" s="1">
        <v>120352915</v>
      </c>
      <c r="D706" s="1" t="s">
        <v>2795</v>
      </c>
      <c r="E706" s="1" t="s">
        <v>1728</v>
      </c>
      <c r="F706" s="1">
        <v>1</v>
      </c>
      <c r="G706" s="1"/>
      <c r="H706" s="1"/>
      <c r="I706" s="1"/>
      <c r="J706" s="1" t="str">
        <f t="shared" si="10"/>
        <v/>
      </c>
    </row>
    <row r="707" spans="1:10" ht="14.25" customHeight="1" x14ac:dyDescent="0.2">
      <c r="A707" s="1" t="s">
        <v>136</v>
      </c>
      <c r="B707" s="1" t="s">
        <v>103</v>
      </c>
      <c r="C707" s="1">
        <v>145736666</v>
      </c>
      <c r="D707" s="1" t="s">
        <v>2128</v>
      </c>
      <c r="E707" s="1" t="s">
        <v>135</v>
      </c>
      <c r="F707" s="1" t="s">
        <v>2062</v>
      </c>
      <c r="G707" s="1"/>
      <c r="H707" s="1" t="s">
        <v>3764</v>
      </c>
      <c r="I707" s="1"/>
      <c r="J707" s="1" t="str">
        <f t="shared" ref="J707:J770" si="11">IF(H707="",IF(I707="","",I707),H707)</f>
        <v>纠后正确，chr8:145736816终止</v>
      </c>
    </row>
    <row r="708" spans="1:10" ht="14.25" customHeight="1" x14ac:dyDescent="0.2">
      <c r="A708" s="1" t="s">
        <v>377</v>
      </c>
      <c r="B708" s="1" t="s">
        <v>139</v>
      </c>
      <c r="C708" s="1">
        <v>146714290</v>
      </c>
      <c r="D708" s="1" t="s">
        <v>2353</v>
      </c>
      <c r="E708" s="1" t="s">
        <v>1486</v>
      </c>
      <c r="F708" s="1">
        <v>1</v>
      </c>
      <c r="G708" s="1"/>
      <c r="H708" s="1"/>
      <c r="I708" s="1"/>
      <c r="J708" s="1" t="str">
        <f t="shared" si="11"/>
        <v/>
      </c>
    </row>
    <row r="709" spans="1:10" ht="14.25" customHeight="1" x14ac:dyDescent="0.2">
      <c r="A709" s="1" t="s">
        <v>814</v>
      </c>
      <c r="B709" s="1" t="s">
        <v>33</v>
      </c>
      <c r="C709" s="1">
        <v>33252468</v>
      </c>
      <c r="D709" s="1" t="s">
        <v>3239</v>
      </c>
      <c r="E709" s="1" t="s">
        <v>1985</v>
      </c>
      <c r="F709" s="1">
        <v>2</v>
      </c>
      <c r="G709" s="1"/>
      <c r="H709" s="1"/>
      <c r="I709" s="1"/>
      <c r="J709" s="1" t="str">
        <f t="shared" si="11"/>
        <v/>
      </c>
    </row>
    <row r="710" spans="1:10" ht="14.25" customHeight="1" x14ac:dyDescent="0.2">
      <c r="A710" s="1" t="s">
        <v>519</v>
      </c>
      <c r="B710" s="1" t="s">
        <v>86</v>
      </c>
      <c r="C710" s="1">
        <v>49507564</v>
      </c>
      <c r="D710" s="1" t="s">
        <v>2473</v>
      </c>
      <c r="E710" s="1" t="s">
        <v>1546</v>
      </c>
      <c r="F710" s="1">
        <v>1</v>
      </c>
      <c r="G710" s="1"/>
      <c r="H710" s="1"/>
      <c r="I710" s="1"/>
      <c r="J710" s="1" t="str">
        <f t="shared" si="11"/>
        <v/>
      </c>
    </row>
    <row r="711" spans="1:10" ht="14.25" customHeight="1" x14ac:dyDescent="0.2">
      <c r="A711" s="1" t="s">
        <v>666</v>
      </c>
      <c r="B711" s="1" t="s">
        <v>186</v>
      </c>
      <c r="C711" s="1">
        <v>176883613</v>
      </c>
      <c r="D711" s="1" t="s">
        <v>2603</v>
      </c>
      <c r="E711" s="1" t="s">
        <v>1626</v>
      </c>
      <c r="F711" s="1">
        <v>1</v>
      </c>
      <c r="G711" s="1"/>
      <c r="H711" s="1"/>
      <c r="I711" s="1"/>
      <c r="J711" s="1" t="str">
        <f t="shared" si="11"/>
        <v/>
      </c>
    </row>
    <row r="712" spans="1:10" ht="14.25" customHeight="1" x14ac:dyDescent="0.2">
      <c r="A712" s="1" t="s">
        <v>203</v>
      </c>
      <c r="B712" s="1" t="s">
        <v>186</v>
      </c>
      <c r="C712" s="1">
        <v>72742082</v>
      </c>
      <c r="D712" s="1" t="s">
        <v>2167</v>
      </c>
      <c r="E712" s="1" t="s">
        <v>279</v>
      </c>
      <c r="F712" s="1" t="s">
        <v>2062</v>
      </c>
      <c r="G712" s="1"/>
      <c r="H712" s="1" t="s">
        <v>3763</v>
      </c>
      <c r="I712" s="1"/>
      <c r="J712" s="1" t="str">
        <f t="shared" si="11"/>
        <v>纠后正确</v>
      </c>
    </row>
    <row r="713" spans="1:10" ht="14.25" customHeight="1" x14ac:dyDescent="0.2">
      <c r="A713" s="1" t="s">
        <v>484</v>
      </c>
      <c r="B713" s="1" t="s">
        <v>1</v>
      </c>
      <c r="C713" s="1">
        <v>231033633</v>
      </c>
      <c r="D713" s="1" t="s">
        <v>3222</v>
      </c>
      <c r="E713" s="1" t="s">
        <v>1976</v>
      </c>
      <c r="F713" s="1">
        <v>2</v>
      </c>
      <c r="G713" s="1"/>
      <c r="H713" s="1"/>
      <c r="I713" s="1"/>
      <c r="J713" s="1" t="str">
        <f t="shared" si="11"/>
        <v/>
      </c>
    </row>
    <row r="714" spans="1:10" ht="14.25" customHeight="1" x14ac:dyDescent="0.2">
      <c r="A714" s="1" t="s">
        <v>486</v>
      </c>
      <c r="B714" s="1" t="s">
        <v>1</v>
      </c>
      <c r="C714" s="1">
        <v>231041188</v>
      </c>
      <c r="D714" s="1" t="s">
        <v>3224</v>
      </c>
      <c r="E714" s="1" t="s">
        <v>1976</v>
      </c>
      <c r="F714" s="1">
        <v>2</v>
      </c>
      <c r="G714" s="1"/>
      <c r="H714" s="1"/>
      <c r="I714" s="1"/>
      <c r="J714" s="1" t="str">
        <f t="shared" si="11"/>
        <v/>
      </c>
    </row>
    <row r="715" spans="1:10" ht="14.25" customHeight="1" x14ac:dyDescent="0.2">
      <c r="A715" s="1" t="s">
        <v>259</v>
      </c>
      <c r="B715" s="1" t="s">
        <v>1</v>
      </c>
      <c r="C715" s="1">
        <v>149793795</v>
      </c>
      <c r="D715" s="1" t="s">
        <v>3315</v>
      </c>
      <c r="E715" s="1" t="s">
        <v>2023</v>
      </c>
      <c r="F715" s="1" t="s">
        <v>2062</v>
      </c>
      <c r="G715" s="1" t="s">
        <v>8391</v>
      </c>
      <c r="H715" s="1"/>
      <c r="I715" s="1"/>
      <c r="J715" s="1" t="str">
        <f t="shared" si="11"/>
        <v/>
      </c>
    </row>
    <row r="716" spans="1:10" ht="14.25" customHeight="1" x14ac:dyDescent="0.2">
      <c r="A716" s="1" t="s">
        <v>445</v>
      </c>
      <c r="B716" s="1" t="s">
        <v>1</v>
      </c>
      <c r="C716" s="1">
        <v>152341852</v>
      </c>
      <c r="D716" s="1" t="s">
        <v>2409</v>
      </c>
      <c r="E716" s="1" t="s">
        <v>1520</v>
      </c>
      <c r="F716" s="1">
        <v>1</v>
      </c>
      <c r="G716" s="1"/>
      <c r="H716" s="1"/>
      <c r="I716" s="1"/>
      <c r="J716" s="1" t="str">
        <f t="shared" si="11"/>
        <v/>
      </c>
    </row>
    <row r="717" spans="1:10" ht="14.25" customHeight="1" x14ac:dyDescent="0.2">
      <c r="A717" s="1" t="s">
        <v>1293</v>
      </c>
      <c r="B717" s="1" t="s">
        <v>53</v>
      </c>
      <c r="C717" s="1">
        <v>17594322</v>
      </c>
      <c r="D717" s="1" t="s">
        <v>3119</v>
      </c>
      <c r="E717" s="1" t="s">
        <v>1925</v>
      </c>
      <c r="F717" s="1">
        <v>1</v>
      </c>
      <c r="G717" s="1"/>
      <c r="H717" s="1"/>
      <c r="I717" s="1"/>
      <c r="J717" s="1" t="str">
        <f t="shared" si="11"/>
        <v/>
      </c>
    </row>
    <row r="718" spans="1:10" ht="14.25" customHeight="1" x14ac:dyDescent="0.2">
      <c r="A718" s="1" t="s">
        <v>1292</v>
      </c>
      <c r="B718" s="1" t="s">
        <v>53</v>
      </c>
      <c r="C718" s="1">
        <v>584636</v>
      </c>
      <c r="D718" s="1" t="s">
        <v>3118</v>
      </c>
      <c r="E718" s="1" t="s">
        <v>1924</v>
      </c>
      <c r="F718" s="1">
        <v>1</v>
      </c>
      <c r="G718" s="1"/>
      <c r="H718" s="1"/>
      <c r="I718" s="1"/>
      <c r="J718" s="1" t="str">
        <f t="shared" si="11"/>
        <v/>
      </c>
    </row>
    <row r="719" spans="1:10" ht="14.25" customHeight="1" x14ac:dyDescent="0.2">
      <c r="A719" s="1" t="s">
        <v>204</v>
      </c>
      <c r="B719" s="1" t="s">
        <v>86</v>
      </c>
      <c r="C719" s="1">
        <v>50305039</v>
      </c>
      <c r="D719" s="1" t="s">
        <v>2194</v>
      </c>
      <c r="E719" s="1" t="s">
        <v>299</v>
      </c>
      <c r="F719" s="1" t="s">
        <v>2062</v>
      </c>
      <c r="G719" s="1"/>
      <c r="H719" s="1" t="s">
        <v>3763</v>
      </c>
      <c r="I719" s="1"/>
      <c r="J719" s="1" t="str">
        <f t="shared" si="11"/>
        <v>纠后正确</v>
      </c>
    </row>
    <row r="720" spans="1:10" ht="14.25" customHeight="1" x14ac:dyDescent="0.2">
      <c r="A720" s="1" t="s">
        <v>1326</v>
      </c>
      <c r="B720" s="1" t="s">
        <v>241</v>
      </c>
      <c r="C720" s="1">
        <v>45553493</v>
      </c>
      <c r="D720" s="1" t="s">
        <v>3150</v>
      </c>
      <c r="E720" s="1" t="s">
        <v>1943</v>
      </c>
      <c r="F720" s="1">
        <v>1</v>
      </c>
      <c r="G720" s="1"/>
      <c r="H720" s="1"/>
      <c r="I720" s="1"/>
      <c r="J720" s="1" t="str">
        <f t="shared" si="11"/>
        <v/>
      </c>
    </row>
    <row r="721" spans="1:10" ht="14.25" customHeight="1" x14ac:dyDescent="0.2">
      <c r="A721" s="1" t="s">
        <v>703</v>
      </c>
      <c r="B721" s="1" t="s">
        <v>175</v>
      </c>
      <c r="C721" s="1">
        <v>133065008</v>
      </c>
      <c r="D721" s="1" t="s">
        <v>2636</v>
      </c>
      <c r="E721" s="1" t="s">
        <v>1644</v>
      </c>
      <c r="F721" s="1">
        <v>1</v>
      </c>
      <c r="G721" s="1"/>
      <c r="H721" s="1"/>
      <c r="I721" s="1"/>
      <c r="J721" s="1" t="str">
        <f t="shared" si="11"/>
        <v/>
      </c>
    </row>
    <row r="722" spans="1:10" ht="14.25" customHeight="1" x14ac:dyDescent="0.2">
      <c r="A722" s="1" t="s">
        <v>1074</v>
      </c>
      <c r="B722" s="1" t="s">
        <v>81</v>
      </c>
      <c r="C722" s="1">
        <v>50250531</v>
      </c>
      <c r="D722" s="1" t="s">
        <v>2943</v>
      </c>
      <c r="E722" s="1" t="s">
        <v>1813</v>
      </c>
      <c r="F722" s="1">
        <v>1</v>
      </c>
      <c r="G722" s="1"/>
      <c r="H722" s="1"/>
      <c r="I722" s="1"/>
      <c r="J722" s="1" t="str">
        <f t="shared" si="11"/>
        <v/>
      </c>
    </row>
    <row r="723" spans="1:10" ht="14.25" customHeight="1" x14ac:dyDescent="0.2">
      <c r="A723" s="1" t="s">
        <v>932</v>
      </c>
      <c r="B723" s="1" t="s">
        <v>36</v>
      </c>
      <c r="C723" s="1">
        <v>45931219</v>
      </c>
      <c r="D723" s="1" t="s">
        <v>2832</v>
      </c>
      <c r="E723" s="1" t="s">
        <v>1747</v>
      </c>
      <c r="F723" s="1">
        <v>1</v>
      </c>
      <c r="G723" s="1"/>
      <c r="H723" s="1"/>
      <c r="I723" s="1"/>
      <c r="J723" s="1" t="str">
        <f t="shared" si="11"/>
        <v/>
      </c>
    </row>
    <row r="724" spans="1:10" ht="14.25" customHeight="1" x14ac:dyDescent="0.2">
      <c r="A724" s="1" t="s">
        <v>205</v>
      </c>
      <c r="B724" s="1" t="s">
        <v>186</v>
      </c>
      <c r="C724" s="1">
        <v>77656338</v>
      </c>
      <c r="D724" s="1" t="s">
        <v>2192</v>
      </c>
      <c r="E724" s="1" t="s">
        <v>298</v>
      </c>
      <c r="F724" s="1" t="s">
        <v>2062</v>
      </c>
      <c r="G724" s="1"/>
      <c r="H724" s="1" t="s">
        <v>3763</v>
      </c>
      <c r="I724" s="1"/>
      <c r="J724" s="1" t="str">
        <f t="shared" si="11"/>
        <v>纠后正确</v>
      </c>
    </row>
    <row r="725" spans="1:10" ht="14.25" customHeight="1" x14ac:dyDescent="0.2">
      <c r="A725" s="1" t="s">
        <v>3748</v>
      </c>
      <c r="B725" s="1" t="s">
        <v>36</v>
      </c>
      <c r="C725" s="1">
        <v>125439297</v>
      </c>
      <c r="D725" s="1" t="s">
        <v>2164</v>
      </c>
      <c r="E725" s="1" t="s">
        <v>276</v>
      </c>
      <c r="F725" s="1" t="s">
        <v>2062</v>
      </c>
      <c r="G725" s="1"/>
      <c r="H725" s="1" t="s">
        <v>3763</v>
      </c>
      <c r="I725" s="1"/>
      <c r="J725" s="1" t="str">
        <f t="shared" si="11"/>
        <v>纠后正确</v>
      </c>
    </row>
    <row r="726" spans="1:10" ht="14.25" customHeight="1" x14ac:dyDescent="0.2">
      <c r="A726" s="1" t="s">
        <v>1348</v>
      </c>
      <c r="B726" s="1" t="s">
        <v>43</v>
      </c>
      <c r="C726" s="1">
        <v>39378403</v>
      </c>
      <c r="D726" s="1" t="s">
        <v>3167</v>
      </c>
      <c r="E726" s="1" t="s">
        <v>1952</v>
      </c>
      <c r="F726" s="1">
        <v>1</v>
      </c>
      <c r="G726" s="1"/>
      <c r="H726" s="1"/>
      <c r="I726" s="1"/>
      <c r="J726" s="1" t="str">
        <f t="shared" si="11"/>
        <v/>
      </c>
    </row>
    <row r="727" spans="1:10" ht="14.25" customHeight="1" x14ac:dyDescent="0.2">
      <c r="A727" s="1" t="s">
        <v>917</v>
      </c>
      <c r="B727" s="1" t="s">
        <v>36</v>
      </c>
      <c r="C727" s="1">
        <v>17298285</v>
      </c>
      <c r="D727" s="1" t="s">
        <v>2817</v>
      </c>
      <c r="E727" s="1" t="s">
        <v>1740</v>
      </c>
      <c r="F727" s="1">
        <v>1</v>
      </c>
      <c r="G727" s="1"/>
      <c r="H727" s="1"/>
      <c r="I727" s="1"/>
      <c r="J727" s="1" t="str">
        <f t="shared" si="11"/>
        <v/>
      </c>
    </row>
    <row r="728" spans="1:10" ht="14.25" customHeight="1" x14ac:dyDescent="0.2">
      <c r="A728" s="1" t="s">
        <v>1241</v>
      </c>
      <c r="B728" s="1" t="s">
        <v>50</v>
      </c>
      <c r="C728" s="1">
        <v>18264015</v>
      </c>
      <c r="D728" s="1" t="s">
        <v>3274</v>
      </c>
      <c r="E728" s="1" t="s">
        <v>2006</v>
      </c>
      <c r="F728" s="1">
        <v>2</v>
      </c>
      <c r="G728" s="1"/>
      <c r="H728" s="1"/>
      <c r="I728" s="1"/>
      <c r="J728" s="1" t="str">
        <f t="shared" si="11"/>
        <v/>
      </c>
    </row>
    <row r="729" spans="1:10" ht="14.25" customHeight="1" x14ac:dyDescent="0.2">
      <c r="A729" s="1" t="s">
        <v>1015</v>
      </c>
      <c r="B729" s="1" t="s">
        <v>212</v>
      </c>
      <c r="C729" s="1">
        <v>11504756</v>
      </c>
      <c r="D729" s="1" t="s">
        <v>2892</v>
      </c>
      <c r="E729" s="1" t="s">
        <v>1777</v>
      </c>
      <c r="F729" s="1">
        <v>1</v>
      </c>
      <c r="G729" s="1"/>
      <c r="H729" s="1"/>
      <c r="I729" s="1"/>
      <c r="J729" s="1" t="str">
        <f t="shared" si="11"/>
        <v/>
      </c>
    </row>
    <row r="730" spans="1:10" ht="14.25" customHeight="1" x14ac:dyDescent="0.2">
      <c r="A730" s="1" t="s">
        <v>482</v>
      </c>
      <c r="B730" s="1" t="s">
        <v>1</v>
      </c>
      <c r="C730" s="1">
        <v>220492291</v>
      </c>
      <c r="D730" s="1" t="s">
        <v>2440</v>
      </c>
      <c r="E730" s="1" t="s">
        <v>1538</v>
      </c>
      <c r="F730" s="1">
        <v>1</v>
      </c>
      <c r="G730" s="1"/>
      <c r="H730" s="1"/>
      <c r="I730" s="1"/>
      <c r="J730" s="1" t="str">
        <f t="shared" si="11"/>
        <v/>
      </c>
    </row>
    <row r="731" spans="1:10" ht="14.25" customHeight="1" x14ac:dyDescent="0.2">
      <c r="A731" s="1" t="s">
        <v>503</v>
      </c>
      <c r="B731" s="1" t="s">
        <v>86</v>
      </c>
      <c r="C731" s="1">
        <v>23986750</v>
      </c>
      <c r="D731" s="1" t="s">
        <v>2458</v>
      </c>
      <c r="E731" s="1" t="s">
        <v>1544</v>
      </c>
      <c r="F731" s="1">
        <v>1</v>
      </c>
      <c r="G731" s="1"/>
      <c r="H731" s="1"/>
      <c r="I731" s="1"/>
      <c r="J731" s="1" t="str">
        <f t="shared" si="11"/>
        <v/>
      </c>
    </row>
    <row r="732" spans="1:10" ht="14.25" customHeight="1" x14ac:dyDescent="0.2">
      <c r="A732" s="1" t="s">
        <v>1072</v>
      </c>
      <c r="B732" s="1" t="s">
        <v>81</v>
      </c>
      <c r="C732" s="1">
        <v>24641233</v>
      </c>
      <c r="D732" s="1" t="s">
        <v>2276</v>
      </c>
      <c r="E732" s="1" t="s">
        <v>1445</v>
      </c>
      <c r="F732" s="1" t="s">
        <v>3406</v>
      </c>
      <c r="G732" s="1"/>
      <c r="H732" s="1" t="s">
        <v>3816</v>
      </c>
      <c r="I732" s="1"/>
      <c r="J732" s="1" t="str">
        <f t="shared" si="11"/>
        <v>纠后正确，加1个氨基酸chr14:24646414-24649301</v>
      </c>
    </row>
    <row r="733" spans="1:10" ht="14.25" customHeight="1" x14ac:dyDescent="0.2">
      <c r="A733" s="1" t="s">
        <v>329</v>
      </c>
      <c r="B733" s="1" t="s">
        <v>139</v>
      </c>
      <c r="C733" s="1">
        <v>20978259</v>
      </c>
      <c r="D733" s="1" t="s">
        <v>2308</v>
      </c>
      <c r="E733" s="1" t="s">
        <v>1465</v>
      </c>
      <c r="F733" s="1">
        <v>1</v>
      </c>
      <c r="G733" s="1"/>
      <c r="H733" s="1"/>
      <c r="I733" s="1"/>
      <c r="J733" s="1" t="str">
        <f t="shared" si="11"/>
        <v/>
      </c>
    </row>
    <row r="734" spans="1:10" ht="14.25" customHeight="1" x14ac:dyDescent="0.2">
      <c r="A734" s="1" t="s">
        <v>641</v>
      </c>
      <c r="B734" s="1" t="s">
        <v>186</v>
      </c>
      <c r="C734" s="1">
        <v>76114832</v>
      </c>
      <c r="D734" s="1" t="s">
        <v>2581</v>
      </c>
      <c r="E734" s="1" t="s">
        <v>1608</v>
      </c>
      <c r="F734" s="1">
        <v>1</v>
      </c>
      <c r="G734" s="1"/>
      <c r="H734" s="1"/>
      <c r="I734" s="1"/>
      <c r="J734" s="1" t="str">
        <f t="shared" si="11"/>
        <v/>
      </c>
    </row>
    <row r="735" spans="1:10" ht="14.25" customHeight="1" x14ac:dyDescent="0.2">
      <c r="A735" s="1" t="s">
        <v>1221</v>
      </c>
      <c r="B735" s="1" t="s">
        <v>50</v>
      </c>
      <c r="C735" s="1">
        <v>544033</v>
      </c>
      <c r="D735" s="1" t="s">
        <v>3068</v>
      </c>
      <c r="E735" s="1" t="s">
        <v>1895</v>
      </c>
      <c r="F735" s="1">
        <v>1</v>
      </c>
      <c r="G735" s="1"/>
      <c r="H735" s="1"/>
      <c r="I735" s="1"/>
      <c r="J735" s="1" t="str">
        <f t="shared" si="11"/>
        <v/>
      </c>
    </row>
    <row r="736" spans="1:10" ht="14.25" customHeight="1" x14ac:dyDescent="0.2">
      <c r="A736" s="1" t="s">
        <v>618</v>
      </c>
      <c r="B736" s="1" t="s">
        <v>569</v>
      </c>
      <c r="C736" s="1">
        <v>108910869</v>
      </c>
      <c r="D736" s="1" t="s">
        <v>2560</v>
      </c>
      <c r="E736" s="1" t="s">
        <v>1591</v>
      </c>
      <c r="F736" s="1">
        <v>1</v>
      </c>
      <c r="G736" s="1"/>
      <c r="H736" s="1"/>
      <c r="I736" s="1"/>
      <c r="J736" s="1" t="str">
        <f t="shared" si="11"/>
        <v/>
      </c>
    </row>
    <row r="737" spans="1:10" ht="14.25" customHeight="1" x14ac:dyDescent="0.2">
      <c r="A737" s="1" t="s">
        <v>539</v>
      </c>
      <c r="B737" s="1" t="s">
        <v>86</v>
      </c>
      <c r="C737" s="1">
        <v>121350245</v>
      </c>
      <c r="D737" s="1" t="s">
        <v>2490</v>
      </c>
      <c r="E737" s="1" t="s">
        <v>1558</v>
      </c>
      <c r="F737" s="1">
        <v>1</v>
      </c>
      <c r="G737" s="1"/>
      <c r="H737" s="1"/>
      <c r="I737" s="1"/>
      <c r="J737" s="1" t="str">
        <f t="shared" si="11"/>
        <v/>
      </c>
    </row>
    <row r="738" spans="1:10" ht="14.25" customHeight="1" x14ac:dyDescent="0.2">
      <c r="A738" s="1" t="s">
        <v>490</v>
      </c>
      <c r="B738" s="1" t="s">
        <v>1</v>
      </c>
      <c r="C738" s="1">
        <v>242166681</v>
      </c>
      <c r="D738" s="1" t="s">
        <v>2445</v>
      </c>
      <c r="E738" s="1" t="s">
        <v>1540</v>
      </c>
      <c r="F738" s="1">
        <v>1</v>
      </c>
      <c r="G738" s="1"/>
      <c r="H738" s="1"/>
      <c r="I738" s="1"/>
      <c r="J738" s="1" t="str">
        <f t="shared" si="11"/>
        <v/>
      </c>
    </row>
    <row r="739" spans="1:10" ht="14.25" customHeight="1" x14ac:dyDescent="0.2">
      <c r="A739" s="1" t="s">
        <v>131</v>
      </c>
      <c r="B739" s="1" t="s">
        <v>93</v>
      </c>
      <c r="C739" s="1">
        <v>118380464</v>
      </c>
      <c r="D739" s="1" t="s">
        <v>2125</v>
      </c>
      <c r="E739" s="1" t="s">
        <v>130</v>
      </c>
      <c r="F739" s="1" t="s">
        <v>2062</v>
      </c>
      <c r="G739" s="1"/>
      <c r="H739" s="1" t="s">
        <v>3763</v>
      </c>
      <c r="I739" s="1"/>
      <c r="J739" s="1" t="str">
        <f t="shared" si="11"/>
        <v>纠后正确</v>
      </c>
    </row>
    <row r="740" spans="1:10" ht="14.25" customHeight="1" x14ac:dyDescent="0.2">
      <c r="A740" s="1" t="s">
        <v>632</v>
      </c>
      <c r="B740" s="1" t="s">
        <v>569</v>
      </c>
      <c r="C740" s="1">
        <v>177604690</v>
      </c>
      <c r="D740" s="1" t="s">
        <v>3230</v>
      </c>
      <c r="E740" s="1" t="s">
        <v>1979</v>
      </c>
      <c r="F740" s="1">
        <v>2</v>
      </c>
      <c r="G740" s="1"/>
      <c r="H740" s="1"/>
      <c r="I740" s="1"/>
      <c r="J740" s="1" t="str">
        <f t="shared" si="11"/>
        <v/>
      </c>
    </row>
    <row r="741" spans="1:10" ht="14.25" customHeight="1" x14ac:dyDescent="0.2">
      <c r="A741" s="1" t="s">
        <v>1226</v>
      </c>
      <c r="B741" s="1" t="s">
        <v>50</v>
      </c>
      <c r="C741" s="1">
        <v>4402659</v>
      </c>
      <c r="D741" s="1" t="s">
        <v>3073</v>
      </c>
      <c r="E741" s="1" t="s">
        <v>1899</v>
      </c>
      <c r="F741" s="1">
        <v>1</v>
      </c>
      <c r="G741" s="1"/>
      <c r="H741" s="1"/>
      <c r="I741" s="1"/>
      <c r="J741" s="1" t="str">
        <f t="shared" si="11"/>
        <v/>
      </c>
    </row>
    <row r="742" spans="1:10" ht="14.25" customHeight="1" x14ac:dyDescent="0.2">
      <c r="A742" s="1" t="s">
        <v>720</v>
      </c>
      <c r="B742" s="1" t="s">
        <v>40</v>
      </c>
      <c r="C742" s="1">
        <v>27132611</v>
      </c>
      <c r="D742" s="1" t="s">
        <v>2653</v>
      </c>
      <c r="E742" s="1" t="s">
        <v>1654</v>
      </c>
      <c r="F742" s="1">
        <v>1</v>
      </c>
      <c r="G742" s="1"/>
      <c r="H742" s="1"/>
      <c r="I742" s="1"/>
      <c r="J742" s="1" t="str">
        <f t="shared" si="11"/>
        <v/>
      </c>
    </row>
    <row r="743" spans="1:10" ht="14.25" customHeight="1" x14ac:dyDescent="0.2">
      <c r="A743" s="1" t="s">
        <v>3751</v>
      </c>
      <c r="B743" s="1" t="s">
        <v>1</v>
      </c>
      <c r="C743" s="1">
        <v>233925035</v>
      </c>
      <c r="D743" s="1" t="s">
        <v>2213</v>
      </c>
      <c r="E743" s="1" t="s">
        <v>1410</v>
      </c>
      <c r="F743" s="1">
        <v>10</v>
      </c>
      <c r="G743" s="1" t="s">
        <v>8391</v>
      </c>
      <c r="H743" s="1"/>
      <c r="I743" s="1"/>
      <c r="J743" s="1" t="str">
        <f t="shared" si="11"/>
        <v/>
      </c>
    </row>
    <row r="744" spans="1:10" ht="14.25" customHeight="1" x14ac:dyDescent="0.2">
      <c r="A744" s="1" t="s">
        <v>260</v>
      </c>
      <c r="B744" s="1" t="s">
        <v>1</v>
      </c>
      <c r="C744" s="1">
        <v>234054794</v>
      </c>
      <c r="D744" s="1" t="s">
        <v>2215</v>
      </c>
      <c r="E744" s="1" t="s">
        <v>1410</v>
      </c>
      <c r="F744" s="1" t="s">
        <v>2062</v>
      </c>
      <c r="G744" s="1" t="s">
        <v>8391</v>
      </c>
      <c r="H744" s="1" t="s">
        <v>3762</v>
      </c>
      <c r="I744" s="1"/>
      <c r="J744" s="1" t="str">
        <f t="shared" si="11"/>
        <v>无变化</v>
      </c>
    </row>
    <row r="745" spans="1:10" ht="14.25" customHeight="1" x14ac:dyDescent="0.2">
      <c r="A745" s="1" t="s">
        <v>1214</v>
      </c>
      <c r="B745" s="1" t="s">
        <v>179</v>
      </c>
      <c r="C745" s="1">
        <v>55313657</v>
      </c>
      <c r="D745" s="1" t="s">
        <v>3061</v>
      </c>
      <c r="E745" s="1" t="s">
        <v>1890</v>
      </c>
      <c r="F745" s="1">
        <v>1</v>
      </c>
      <c r="G745" s="1"/>
      <c r="H745" s="1"/>
      <c r="I745" s="1"/>
      <c r="J745" s="1" t="str">
        <f t="shared" si="11"/>
        <v/>
      </c>
    </row>
    <row r="746" spans="1:10" ht="14.25" customHeight="1" x14ac:dyDescent="0.2">
      <c r="A746" s="1" t="s">
        <v>207</v>
      </c>
      <c r="B746" s="1" t="s">
        <v>103</v>
      </c>
      <c r="C746" s="1">
        <v>30601689</v>
      </c>
      <c r="D746" s="1" t="s">
        <v>2201</v>
      </c>
      <c r="E746" s="1" t="s">
        <v>304</v>
      </c>
      <c r="F746" s="1" t="s">
        <v>2062</v>
      </c>
      <c r="G746" s="1"/>
      <c r="H746" s="1" t="s">
        <v>3763</v>
      </c>
      <c r="I746" s="1"/>
      <c r="J746" s="1" t="str">
        <f t="shared" si="11"/>
        <v>纠后正确</v>
      </c>
    </row>
    <row r="747" spans="1:10" ht="14.25" customHeight="1" x14ac:dyDescent="0.2">
      <c r="A747" s="1" t="s">
        <v>1152</v>
      </c>
      <c r="B747" s="1" t="s">
        <v>121</v>
      </c>
      <c r="C747" s="1">
        <v>84211452</v>
      </c>
      <c r="D747" s="1" t="s">
        <v>3012</v>
      </c>
      <c r="E747" s="1" t="s">
        <v>1856</v>
      </c>
      <c r="F747" s="1">
        <v>1</v>
      </c>
      <c r="G747" s="1"/>
      <c r="H747" s="1"/>
      <c r="I747" s="1"/>
      <c r="J747" s="1" t="str">
        <f t="shared" si="11"/>
        <v/>
      </c>
    </row>
    <row r="748" spans="1:10" ht="14.25" customHeight="1" x14ac:dyDescent="0.2">
      <c r="A748" s="1" t="s">
        <v>407</v>
      </c>
      <c r="B748" s="1" t="s">
        <v>1</v>
      </c>
      <c r="C748" s="1">
        <v>9983570</v>
      </c>
      <c r="D748" s="1" t="s">
        <v>2380</v>
      </c>
      <c r="E748" s="1" t="s">
        <v>1502</v>
      </c>
      <c r="F748" s="1">
        <v>1</v>
      </c>
      <c r="G748" s="1"/>
      <c r="H748" s="1"/>
      <c r="I748" s="1"/>
      <c r="J748" s="1" t="str">
        <f t="shared" si="11"/>
        <v/>
      </c>
    </row>
    <row r="749" spans="1:10" ht="14.25" customHeight="1" x14ac:dyDescent="0.2">
      <c r="A749" s="1" t="s">
        <v>922</v>
      </c>
      <c r="B749" s="1" t="s">
        <v>36</v>
      </c>
      <c r="C749" s="1">
        <v>20409075</v>
      </c>
      <c r="D749" s="1" t="s">
        <v>2822</v>
      </c>
      <c r="E749" s="1" t="s">
        <v>1743</v>
      </c>
      <c r="F749" s="1">
        <v>1</v>
      </c>
      <c r="G749" s="1"/>
      <c r="H749" s="1"/>
      <c r="I749" s="1"/>
      <c r="J749" s="1" t="str">
        <f t="shared" si="11"/>
        <v/>
      </c>
    </row>
    <row r="750" spans="1:10" ht="14.25" customHeight="1" x14ac:dyDescent="0.2">
      <c r="A750" s="1" t="s">
        <v>459</v>
      </c>
      <c r="B750" s="1" t="s">
        <v>1</v>
      </c>
      <c r="C750" s="1">
        <v>188207845</v>
      </c>
      <c r="D750" s="1" t="s">
        <v>2423</v>
      </c>
      <c r="E750" s="1" t="s">
        <v>1527</v>
      </c>
      <c r="F750" s="1">
        <v>1</v>
      </c>
      <c r="G750" s="1"/>
      <c r="H750" s="1"/>
      <c r="I750" s="1"/>
      <c r="J750" s="1" t="str">
        <f t="shared" si="11"/>
        <v/>
      </c>
    </row>
    <row r="751" spans="1:10" ht="14.25" customHeight="1" x14ac:dyDescent="0.2">
      <c r="A751" s="1" t="s">
        <v>1235</v>
      </c>
      <c r="B751" s="1" t="s">
        <v>50</v>
      </c>
      <c r="C751" s="1">
        <v>12540519</v>
      </c>
      <c r="D751" s="1" t="s">
        <v>3076</v>
      </c>
      <c r="E751" s="1" t="s">
        <v>1902</v>
      </c>
      <c r="F751" s="1">
        <v>1</v>
      </c>
      <c r="G751" s="1"/>
      <c r="H751" s="1"/>
      <c r="I751" s="1"/>
      <c r="J751" s="1" t="str">
        <f t="shared" si="11"/>
        <v/>
      </c>
    </row>
    <row r="752" spans="1:10" ht="14.25" customHeight="1" x14ac:dyDescent="0.2">
      <c r="A752" s="1" t="s">
        <v>208</v>
      </c>
      <c r="B752" s="1" t="s">
        <v>47</v>
      </c>
      <c r="C752" s="1">
        <v>61627821</v>
      </c>
      <c r="D752" s="1" t="s">
        <v>3846</v>
      </c>
      <c r="E752" s="1" t="s">
        <v>274</v>
      </c>
      <c r="F752" s="1" t="s">
        <v>2062</v>
      </c>
      <c r="G752" s="1"/>
      <c r="H752" s="1" t="s">
        <v>8393</v>
      </c>
      <c r="I752" s="1"/>
      <c r="J752" s="1" t="str">
        <f t="shared" si="11"/>
        <v>纠后正确，utr略有变化，版本不一致</v>
      </c>
    </row>
    <row r="753" spans="1:10" ht="14.25" customHeight="1" x14ac:dyDescent="0.2">
      <c r="A753" s="1" t="s">
        <v>658</v>
      </c>
      <c r="B753" s="1" t="s">
        <v>186</v>
      </c>
      <c r="C753" s="1">
        <v>138702884</v>
      </c>
      <c r="D753" s="1" t="s">
        <v>2596</v>
      </c>
      <c r="E753" s="1" t="s">
        <v>1620</v>
      </c>
      <c r="F753" s="1">
        <v>1</v>
      </c>
      <c r="G753" s="1"/>
      <c r="H753" s="1"/>
      <c r="I753" s="1"/>
      <c r="J753" s="1" t="str">
        <f t="shared" si="11"/>
        <v/>
      </c>
    </row>
    <row r="754" spans="1:10" ht="14.25" customHeight="1" x14ac:dyDescent="0.2">
      <c r="A754" s="1" t="s">
        <v>1181</v>
      </c>
      <c r="B754" s="1" t="s">
        <v>47</v>
      </c>
      <c r="C754" s="1">
        <v>43299291</v>
      </c>
      <c r="D754" s="1" t="s">
        <v>3034</v>
      </c>
      <c r="E754" s="1" t="s">
        <v>1874</v>
      </c>
      <c r="F754" s="1">
        <v>1</v>
      </c>
      <c r="G754" s="1"/>
      <c r="H754" s="1"/>
      <c r="I754" s="1"/>
      <c r="J754" s="1" t="str">
        <f t="shared" si="11"/>
        <v/>
      </c>
    </row>
    <row r="755" spans="1:10" ht="14.25" customHeight="1" x14ac:dyDescent="0.2">
      <c r="A755" s="1" t="s">
        <v>209</v>
      </c>
      <c r="B755" s="1" t="s">
        <v>186</v>
      </c>
      <c r="C755" s="1">
        <v>135468535</v>
      </c>
      <c r="D755" s="1" t="s">
        <v>2197</v>
      </c>
      <c r="E755" s="1" t="s">
        <v>300</v>
      </c>
      <c r="F755" s="1" t="s">
        <v>2062</v>
      </c>
      <c r="G755" s="1"/>
      <c r="H755" s="1" t="s">
        <v>3763</v>
      </c>
      <c r="I755" s="1"/>
      <c r="J755" s="1" t="str">
        <f t="shared" si="11"/>
        <v>纠后正确</v>
      </c>
    </row>
    <row r="756" spans="1:10" ht="14.25" customHeight="1" x14ac:dyDescent="0.2">
      <c r="A756" s="1" t="s">
        <v>712</v>
      </c>
      <c r="B756" s="1" t="s">
        <v>175</v>
      </c>
      <c r="C756" s="1">
        <v>161412821</v>
      </c>
      <c r="D756" s="1" t="s">
        <v>2645</v>
      </c>
      <c r="E756" s="1" t="s">
        <v>1648</v>
      </c>
      <c r="F756" s="1">
        <v>1</v>
      </c>
      <c r="G756" s="1"/>
      <c r="H756" s="1"/>
      <c r="I756" s="1"/>
      <c r="J756" s="1" t="str">
        <f t="shared" si="11"/>
        <v/>
      </c>
    </row>
    <row r="757" spans="1:10" ht="14.25" customHeight="1" x14ac:dyDescent="0.2">
      <c r="A757" s="1" t="s">
        <v>1052</v>
      </c>
      <c r="B757" s="1" t="s">
        <v>106</v>
      </c>
      <c r="C757" s="1">
        <v>24304327</v>
      </c>
      <c r="D757" s="1" t="s">
        <v>2924</v>
      </c>
      <c r="E757" s="1" t="s">
        <v>1799</v>
      </c>
      <c r="F757" s="1">
        <v>1</v>
      </c>
      <c r="G757" s="1"/>
      <c r="H757" s="1"/>
      <c r="I757" s="1"/>
      <c r="J757" s="1" t="str">
        <f t="shared" si="11"/>
        <v/>
      </c>
    </row>
    <row r="758" spans="1:10" ht="14.25" customHeight="1" x14ac:dyDescent="0.2">
      <c r="A758" s="1" t="s">
        <v>1168</v>
      </c>
      <c r="B758" s="1" t="s">
        <v>47</v>
      </c>
      <c r="C758" s="1">
        <v>36861872</v>
      </c>
      <c r="D758" s="1" t="s">
        <v>3023</v>
      </c>
      <c r="E758" s="1" t="s">
        <v>1864</v>
      </c>
      <c r="F758" s="1">
        <v>1</v>
      </c>
      <c r="G758" s="1"/>
      <c r="H758" s="1"/>
      <c r="I758" s="1"/>
      <c r="J758" s="1" t="str">
        <f t="shared" si="11"/>
        <v/>
      </c>
    </row>
    <row r="759" spans="1:10" ht="14.25" customHeight="1" x14ac:dyDescent="0.2">
      <c r="A759" s="1" t="s">
        <v>261</v>
      </c>
      <c r="B759" s="1" t="s">
        <v>40</v>
      </c>
      <c r="C759" s="1">
        <v>50344377</v>
      </c>
      <c r="D759" s="1" t="s">
        <v>3326</v>
      </c>
      <c r="E759" s="1" t="s">
        <v>2030</v>
      </c>
      <c r="F759" s="1" t="s">
        <v>2062</v>
      </c>
      <c r="G759" s="1" t="s">
        <v>8391</v>
      </c>
      <c r="H759" s="1" t="s">
        <v>3762</v>
      </c>
      <c r="I759" s="1"/>
      <c r="J759" s="1" t="str">
        <f t="shared" si="11"/>
        <v>无变化</v>
      </c>
    </row>
    <row r="760" spans="1:10" ht="14.25" customHeight="1" x14ac:dyDescent="0.2">
      <c r="A760" s="1" t="s">
        <v>261</v>
      </c>
      <c r="B760" s="1" t="s">
        <v>40</v>
      </c>
      <c r="C760" s="1">
        <v>50444230</v>
      </c>
      <c r="D760" s="1" t="s">
        <v>3330</v>
      </c>
      <c r="E760" s="1" t="s">
        <v>2030</v>
      </c>
      <c r="F760" s="1" t="s">
        <v>2062</v>
      </c>
      <c r="G760" s="1" t="s">
        <v>8391</v>
      </c>
      <c r="H760" s="1" t="s">
        <v>3765</v>
      </c>
      <c r="I760" s="1"/>
      <c r="J760" s="1" t="str">
        <f t="shared" si="11"/>
        <v>前后均不正确</v>
      </c>
    </row>
    <row r="761" spans="1:10" ht="14.25" customHeight="1" x14ac:dyDescent="0.2">
      <c r="A761" s="1" t="s">
        <v>1029</v>
      </c>
      <c r="B761" s="1" t="s">
        <v>212</v>
      </c>
      <c r="C761" s="1">
        <v>48128452</v>
      </c>
      <c r="D761" s="1" t="s">
        <v>2905</v>
      </c>
      <c r="E761" s="1" t="s">
        <v>1784</v>
      </c>
      <c r="F761" s="1">
        <v>1</v>
      </c>
      <c r="G761" s="1"/>
      <c r="H761" s="1"/>
      <c r="I761" s="1"/>
      <c r="J761" s="1" t="str">
        <f t="shared" si="11"/>
        <v/>
      </c>
    </row>
    <row r="762" spans="1:10" ht="14.25" customHeight="1" x14ac:dyDescent="0.2">
      <c r="A762" s="1" t="s">
        <v>156</v>
      </c>
      <c r="B762" s="1" t="s">
        <v>36</v>
      </c>
      <c r="C762" s="1">
        <v>13984183</v>
      </c>
      <c r="D762" s="1" t="s">
        <v>2141</v>
      </c>
      <c r="E762" s="1" t="s">
        <v>155</v>
      </c>
      <c r="F762" s="1" t="s">
        <v>2062</v>
      </c>
      <c r="G762" s="1"/>
      <c r="H762" s="1" t="s">
        <v>3763</v>
      </c>
      <c r="I762" s="1"/>
      <c r="J762" s="1" t="str">
        <f t="shared" si="11"/>
        <v>纠后正确</v>
      </c>
    </row>
    <row r="763" spans="1:10" ht="14.25" customHeight="1" x14ac:dyDescent="0.2">
      <c r="A763" s="1" t="s">
        <v>1016</v>
      </c>
      <c r="B763" s="1" t="s">
        <v>212</v>
      </c>
      <c r="C763" s="1">
        <v>12813994</v>
      </c>
      <c r="D763" s="1" t="s">
        <v>2893</v>
      </c>
      <c r="E763" s="1" t="s">
        <v>1778</v>
      </c>
      <c r="F763" s="1">
        <v>1</v>
      </c>
      <c r="G763" s="1"/>
      <c r="H763" s="1"/>
      <c r="I763" s="1"/>
      <c r="J763" s="1" t="str">
        <f t="shared" si="11"/>
        <v/>
      </c>
    </row>
    <row r="764" spans="1:10" ht="14.25" customHeight="1" x14ac:dyDescent="0.2">
      <c r="A764" s="1" t="s">
        <v>638</v>
      </c>
      <c r="B764" s="1" t="s">
        <v>186</v>
      </c>
      <c r="C764" s="1">
        <v>54398473</v>
      </c>
      <c r="D764" s="1" t="s">
        <v>2578</v>
      </c>
      <c r="E764" s="1" t="s">
        <v>1605</v>
      </c>
      <c r="F764" s="1">
        <v>1</v>
      </c>
      <c r="G764" s="1"/>
      <c r="H764" s="1"/>
      <c r="I764" s="1"/>
      <c r="J764" s="1" t="str">
        <f t="shared" si="11"/>
        <v/>
      </c>
    </row>
    <row r="765" spans="1:10" ht="14.25" customHeight="1" x14ac:dyDescent="0.2">
      <c r="A765" s="1" t="s">
        <v>210</v>
      </c>
      <c r="B765" s="1" t="s">
        <v>103</v>
      </c>
      <c r="C765" s="1">
        <v>24808467</v>
      </c>
      <c r="D765" s="1" t="s">
        <v>3847</v>
      </c>
      <c r="E765" s="1" t="s">
        <v>288</v>
      </c>
      <c r="F765" s="1" t="s">
        <v>2062</v>
      </c>
      <c r="G765" s="1"/>
      <c r="H765" s="1" t="s">
        <v>8393</v>
      </c>
      <c r="I765" s="1"/>
      <c r="J765" s="1" t="str">
        <f t="shared" si="11"/>
        <v>纠后正确，utr略有变化，版本不一致</v>
      </c>
    </row>
    <row r="766" spans="1:10" ht="14.25" customHeight="1" x14ac:dyDescent="0.2">
      <c r="A766" s="1" t="s">
        <v>775</v>
      </c>
      <c r="B766" s="1" t="s">
        <v>103</v>
      </c>
      <c r="C766" s="1">
        <v>17780365</v>
      </c>
      <c r="D766" s="1" t="s">
        <v>2695</v>
      </c>
      <c r="E766" s="1" t="s">
        <v>1677</v>
      </c>
      <c r="F766" s="1">
        <v>1</v>
      </c>
      <c r="G766" s="1"/>
      <c r="H766" s="1"/>
      <c r="I766" s="1"/>
      <c r="J766" s="1" t="str">
        <f t="shared" si="11"/>
        <v/>
      </c>
    </row>
    <row r="767" spans="1:10" ht="14.25" customHeight="1" x14ac:dyDescent="0.2">
      <c r="A767" s="1" t="s">
        <v>211</v>
      </c>
      <c r="B767" s="1" t="s">
        <v>212</v>
      </c>
      <c r="C767" s="1">
        <v>11418856</v>
      </c>
      <c r="D767" s="1" t="s">
        <v>2190</v>
      </c>
      <c r="E767" s="1" t="s">
        <v>296</v>
      </c>
      <c r="F767" s="1" t="s">
        <v>2062</v>
      </c>
      <c r="G767" s="1"/>
      <c r="H767" s="1" t="s">
        <v>3763</v>
      </c>
      <c r="I767" s="1"/>
      <c r="J767" s="1" t="str">
        <f t="shared" si="11"/>
        <v>纠后正确</v>
      </c>
    </row>
    <row r="768" spans="1:10" ht="14.25" customHeight="1" x14ac:dyDescent="0.2">
      <c r="A768" s="1" t="s">
        <v>668</v>
      </c>
      <c r="B768" s="1" t="s">
        <v>186</v>
      </c>
      <c r="C768" s="1">
        <v>177419235</v>
      </c>
      <c r="D768" s="1" t="s">
        <v>2605</v>
      </c>
      <c r="E768" s="1" t="s">
        <v>1627</v>
      </c>
      <c r="F768" s="1">
        <v>1</v>
      </c>
      <c r="G768" s="1"/>
      <c r="H768" s="1"/>
      <c r="I768" s="1"/>
      <c r="J768" s="1" t="str">
        <f t="shared" si="11"/>
        <v/>
      </c>
    </row>
    <row r="769" spans="1:10" ht="14.25" customHeight="1" x14ac:dyDescent="0.2">
      <c r="A769" s="1" t="s">
        <v>1257</v>
      </c>
      <c r="B769" s="1" t="s">
        <v>50</v>
      </c>
      <c r="C769" s="1">
        <v>44047463</v>
      </c>
      <c r="D769" s="1" t="s">
        <v>3090</v>
      </c>
      <c r="E769" s="1" t="s">
        <v>1910</v>
      </c>
      <c r="F769" s="1">
        <v>1</v>
      </c>
      <c r="G769" s="1"/>
      <c r="H769" s="1"/>
      <c r="I769" s="1"/>
      <c r="J769" s="1" t="str">
        <f t="shared" si="11"/>
        <v/>
      </c>
    </row>
    <row r="770" spans="1:10" ht="14.25" customHeight="1" x14ac:dyDescent="0.2">
      <c r="A770" s="1" t="s">
        <v>1004</v>
      </c>
      <c r="B770" s="1" t="s">
        <v>212</v>
      </c>
      <c r="C770" s="1">
        <v>7079943</v>
      </c>
      <c r="D770" s="1" t="s">
        <v>3367</v>
      </c>
      <c r="E770" s="1" t="s">
        <v>2039</v>
      </c>
      <c r="F770" s="1" t="s">
        <v>2062</v>
      </c>
      <c r="G770" s="1"/>
      <c r="H770" s="1" t="s">
        <v>3763</v>
      </c>
      <c r="I770" s="1"/>
      <c r="J770" s="1" t="str">
        <f t="shared" si="11"/>
        <v>纠后正确</v>
      </c>
    </row>
    <row r="771" spans="1:10" ht="14.25" customHeight="1" x14ac:dyDescent="0.2">
      <c r="A771" s="1" t="s">
        <v>340</v>
      </c>
      <c r="B771" s="1" t="s">
        <v>139</v>
      </c>
      <c r="C771" s="1">
        <v>40506254</v>
      </c>
      <c r="D771" s="1" t="s">
        <v>3302</v>
      </c>
      <c r="E771" s="1" t="s">
        <v>2017</v>
      </c>
      <c r="F771" s="1">
        <v>6</v>
      </c>
      <c r="G771" s="1"/>
      <c r="H771" s="1"/>
      <c r="I771" s="1"/>
      <c r="J771" s="1" t="str">
        <f t="shared" ref="J771:J834" si="12">IF(H771="",IF(I771="","",I771),H771)</f>
        <v/>
      </c>
    </row>
    <row r="772" spans="1:10" ht="14.25" customHeight="1" x14ac:dyDescent="0.2">
      <c r="A772" s="1" t="s">
        <v>1345</v>
      </c>
      <c r="B772" s="1" t="s">
        <v>43</v>
      </c>
      <c r="C772" s="1">
        <v>38879442</v>
      </c>
      <c r="D772" s="1" t="s">
        <v>3164</v>
      </c>
      <c r="E772" s="1" t="s">
        <v>1950</v>
      </c>
      <c r="F772" s="1">
        <v>1</v>
      </c>
      <c r="G772" s="1"/>
      <c r="H772" s="1"/>
      <c r="I772" s="1"/>
      <c r="J772" s="1" t="str">
        <f t="shared" si="12"/>
        <v/>
      </c>
    </row>
    <row r="773" spans="1:10" ht="14.25" customHeight="1" x14ac:dyDescent="0.2">
      <c r="A773" s="1" t="s">
        <v>586</v>
      </c>
      <c r="B773" s="1" t="s">
        <v>569</v>
      </c>
      <c r="C773" s="1">
        <v>25657434</v>
      </c>
      <c r="D773" s="1" t="s">
        <v>2529</v>
      </c>
      <c r="E773" s="1" t="s">
        <v>1577</v>
      </c>
      <c r="F773" s="1">
        <v>1</v>
      </c>
      <c r="G773" s="1"/>
      <c r="H773" s="1"/>
      <c r="I773" s="1"/>
      <c r="J773" s="1" t="str">
        <f t="shared" si="12"/>
        <v/>
      </c>
    </row>
    <row r="774" spans="1:10" ht="14.25" customHeight="1" x14ac:dyDescent="0.2">
      <c r="A774" s="1" t="s">
        <v>879</v>
      </c>
      <c r="B774" s="1" t="s">
        <v>93</v>
      </c>
      <c r="C774" s="1">
        <v>97071529</v>
      </c>
      <c r="D774" s="1" t="s">
        <v>2784</v>
      </c>
      <c r="E774" s="1" t="s">
        <v>1725</v>
      </c>
      <c r="F774" s="1">
        <v>1</v>
      </c>
      <c r="G774" s="1"/>
      <c r="H774" s="1"/>
      <c r="I774" s="1"/>
      <c r="J774" s="1" t="str">
        <f t="shared" si="12"/>
        <v/>
      </c>
    </row>
    <row r="775" spans="1:10" ht="14.25" customHeight="1" x14ac:dyDescent="0.2">
      <c r="A775" s="1" t="s">
        <v>599</v>
      </c>
      <c r="B775" s="1" t="s">
        <v>569</v>
      </c>
      <c r="C775" s="1">
        <v>95373007</v>
      </c>
      <c r="D775" s="1" t="s">
        <v>2541</v>
      </c>
      <c r="E775" s="1" t="s">
        <v>1585</v>
      </c>
      <c r="F775" s="1">
        <v>1</v>
      </c>
      <c r="G775" s="1"/>
      <c r="H775" s="1"/>
      <c r="I775" s="1"/>
      <c r="J775" s="1" t="str">
        <f t="shared" si="12"/>
        <v/>
      </c>
    </row>
    <row r="776" spans="1:10" ht="14.25" customHeight="1" x14ac:dyDescent="0.2">
      <c r="A776" s="1" t="s">
        <v>213</v>
      </c>
      <c r="B776" s="1" t="s">
        <v>43</v>
      </c>
      <c r="C776" s="1">
        <v>29702996</v>
      </c>
      <c r="D776" s="1" t="s">
        <v>3848</v>
      </c>
      <c r="E776" s="1" t="s">
        <v>280</v>
      </c>
      <c r="F776" s="1" t="s">
        <v>2062</v>
      </c>
      <c r="G776" s="1"/>
      <c r="H776" s="1" t="s">
        <v>8393</v>
      </c>
      <c r="I776" s="1"/>
      <c r="J776" s="1" t="str">
        <f t="shared" si="12"/>
        <v>纠后正确，utr略有变化，版本不一致</v>
      </c>
    </row>
    <row r="777" spans="1:10" ht="14.25" customHeight="1" x14ac:dyDescent="0.2">
      <c r="A777" s="1" t="s">
        <v>1353</v>
      </c>
      <c r="B777" s="1" t="s">
        <v>43</v>
      </c>
      <c r="C777" s="1">
        <v>45898718</v>
      </c>
      <c r="D777" s="1" t="s">
        <v>3170</v>
      </c>
      <c r="E777" s="1" t="s">
        <v>1953</v>
      </c>
      <c r="F777" s="1">
        <v>1</v>
      </c>
      <c r="G777" s="1"/>
      <c r="H777" s="1"/>
      <c r="I777" s="1"/>
      <c r="J777" s="1" t="str">
        <f t="shared" si="12"/>
        <v/>
      </c>
    </row>
    <row r="778" spans="1:10" ht="14.25" customHeight="1" x14ac:dyDescent="0.2">
      <c r="A778" s="1" t="s">
        <v>1352</v>
      </c>
      <c r="B778" s="1" t="s">
        <v>43</v>
      </c>
      <c r="C778" s="1">
        <v>45898718</v>
      </c>
      <c r="D778" s="1" t="s">
        <v>3169</v>
      </c>
      <c r="E778" s="1" t="s">
        <v>1953</v>
      </c>
      <c r="F778" s="1">
        <v>1</v>
      </c>
      <c r="G778" s="1"/>
      <c r="H778" s="1"/>
      <c r="I778" s="1"/>
      <c r="J778" s="1" t="str">
        <f t="shared" si="12"/>
        <v/>
      </c>
    </row>
    <row r="779" spans="1:10" ht="14.25" customHeight="1" x14ac:dyDescent="0.2">
      <c r="A779" s="1" t="s">
        <v>1355</v>
      </c>
      <c r="B779" s="1" t="s">
        <v>43</v>
      </c>
      <c r="C779" s="1">
        <v>45898718</v>
      </c>
      <c r="D779" s="1" t="s">
        <v>3172</v>
      </c>
      <c r="E779" s="1" t="s">
        <v>1953</v>
      </c>
      <c r="F779" s="1">
        <v>1</v>
      </c>
      <c r="G779" s="1"/>
      <c r="H779" s="1"/>
      <c r="I779" s="1"/>
      <c r="J779" s="1" t="str">
        <f t="shared" si="12"/>
        <v/>
      </c>
    </row>
    <row r="780" spans="1:10" ht="14.25" customHeight="1" x14ac:dyDescent="0.2">
      <c r="A780" s="1" t="s">
        <v>739</v>
      </c>
      <c r="B780" s="1" t="s">
        <v>40</v>
      </c>
      <c r="C780" s="1">
        <v>64254770</v>
      </c>
      <c r="D780" s="1" t="s">
        <v>2667</v>
      </c>
      <c r="E780" s="1" t="s">
        <v>1659</v>
      </c>
      <c r="F780" s="1">
        <v>1</v>
      </c>
      <c r="G780" s="1"/>
      <c r="H780" s="1"/>
      <c r="I780" s="1"/>
      <c r="J780" s="1" t="str">
        <f t="shared" si="12"/>
        <v/>
      </c>
    </row>
    <row r="781" spans="1:10" ht="14.25" customHeight="1" x14ac:dyDescent="0.2">
      <c r="A781" s="1" t="s">
        <v>640</v>
      </c>
      <c r="B781" s="1" t="s">
        <v>186</v>
      </c>
      <c r="C781" s="1">
        <v>75699148</v>
      </c>
      <c r="D781" s="1" t="s">
        <v>2580</v>
      </c>
      <c r="E781" s="1" t="s">
        <v>1607</v>
      </c>
      <c r="F781" s="1">
        <v>1</v>
      </c>
      <c r="G781" s="1"/>
      <c r="H781" s="1"/>
      <c r="I781" s="1"/>
      <c r="J781" s="1" t="str">
        <f t="shared" si="12"/>
        <v/>
      </c>
    </row>
    <row r="782" spans="1:10" ht="14.25" customHeight="1" x14ac:dyDescent="0.2">
      <c r="A782" s="1" t="s">
        <v>713</v>
      </c>
      <c r="B782" s="1" t="s">
        <v>175</v>
      </c>
      <c r="C782" s="1">
        <v>161412821</v>
      </c>
      <c r="D782" s="1" t="s">
        <v>2646</v>
      </c>
      <c r="E782" s="1" t="s">
        <v>1648</v>
      </c>
      <c r="F782" s="1">
        <v>1</v>
      </c>
      <c r="G782" s="1"/>
      <c r="H782" s="1"/>
      <c r="I782" s="1"/>
      <c r="J782" s="1" t="str">
        <f t="shared" si="12"/>
        <v/>
      </c>
    </row>
    <row r="783" spans="1:10" ht="14.25" customHeight="1" x14ac:dyDescent="0.2">
      <c r="A783" s="1" t="s">
        <v>1033</v>
      </c>
      <c r="B783" s="1" t="s">
        <v>212</v>
      </c>
      <c r="C783" s="1">
        <v>54973023</v>
      </c>
      <c r="D783" s="1" t="s">
        <v>2909</v>
      </c>
      <c r="E783" s="1" t="s">
        <v>1787</v>
      </c>
      <c r="F783" s="1">
        <v>1</v>
      </c>
      <c r="G783" s="1"/>
      <c r="H783" s="1"/>
      <c r="I783" s="1"/>
      <c r="J783" s="1" t="str">
        <f t="shared" si="12"/>
        <v/>
      </c>
    </row>
    <row r="784" spans="1:10" ht="14.25" customHeight="1" x14ac:dyDescent="0.2">
      <c r="A784" s="1" t="s">
        <v>655</v>
      </c>
      <c r="B784" s="1" t="s">
        <v>186</v>
      </c>
      <c r="C784" s="1">
        <v>137203544</v>
      </c>
      <c r="D784" s="1" t="s">
        <v>2593</v>
      </c>
      <c r="E784" s="1" t="s">
        <v>1617</v>
      </c>
      <c r="F784" s="1">
        <v>1</v>
      </c>
      <c r="G784" s="1"/>
      <c r="H784" s="1"/>
      <c r="I784" s="1"/>
      <c r="J784" s="1" t="str">
        <f t="shared" si="12"/>
        <v/>
      </c>
    </row>
    <row r="785" spans="1:10" ht="14.25" customHeight="1" x14ac:dyDescent="0.2">
      <c r="A785" s="1" t="s">
        <v>1045</v>
      </c>
      <c r="B785" s="1" t="s">
        <v>212</v>
      </c>
      <c r="C785" s="1">
        <v>120565013</v>
      </c>
      <c r="D785" s="1" t="s">
        <v>2918</v>
      </c>
      <c r="E785" s="1" t="s">
        <v>1793</v>
      </c>
      <c r="F785" s="1">
        <v>1</v>
      </c>
      <c r="G785" s="1"/>
      <c r="H785" s="1"/>
      <c r="I785" s="1"/>
      <c r="J785" s="1" t="str">
        <f t="shared" si="12"/>
        <v/>
      </c>
    </row>
    <row r="786" spans="1:10" ht="14.25" customHeight="1" x14ac:dyDescent="0.2">
      <c r="A786" s="1" t="s">
        <v>714</v>
      </c>
      <c r="B786" s="1" t="s">
        <v>40</v>
      </c>
      <c r="C786" s="1">
        <v>937536</v>
      </c>
      <c r="D786" s="1" t="s">
        <v>2647</v>
      </c>
      <c r="E786" s="1" t="s">
        <v>1649</v>
      </c>
      <c r="F786" s="1">
        <v>1</v>
      </c>
      <c r="G786" s="1"/>
      <c r="H786" s="1"/>
      <c r="I786" s="1"/>
      <c r="J786" s="1" t="str">
        <f t="shared" si="12"/>
        <v/>
      </c>
    </row>
    <row r="787" spans="1:10" ht="14.25" customHeight="1" x14ac:dyDescent="0.2">
      <c r="A787" s="1" t="s">
        <v>543</v>
      </c>
      <c r="B787" s="1" t="s">
        <v>86</v>
      </c>
      <c r="C787" s="1">
        <v>121796695</v>
      </c>
      <c r="D787" s="1" t="s">
        <v>2494</v>
      </c>
      <c r="E787" s="1" t="s">
        <v>1559</v>
      </c>
      <c r="F787" s="1">
        <v>1</v>
      </c>
      <c r="G787" s="1"/>
      <c r="H787" s="1" t="s">
        <v>3762</v>
      </c>
      <c r="I787" s="1"/>
      <c r="J787" s="1" t="str">
        <f t="shared" si="12"/>
        <v>无变化</v>
      </c>
    </row>
    <row r="788" spans="1:10" ht="14.25" customHeight="1" x14ac:dyDescent="0.2">
      <c r="A788" s="1" t="s">
        <v>134</v>
      </c>
      <c r="B788" s="1" t="s">
        <v>103</v>
      </c>
      <c r="C788" s="1">
        <v>48685668</v>
      </c>
      <c r="D788" s="1" t="s">
        <v>2127</v>
      </c>
      <c r="E788" s="1" t="s">
        <v>132</v>
      </c>
      <c r="F788" s="1" t="s">
        <v>2062</v>
      </c>
      <c r="G788" s="1"/>
      <c r="H788" s="1" t="s">
        <v>3763</v>
      </c>
      <c r="I788" s="1"/>
      <c r="J788" s="1" t="str">
        <f t="shared" si="12"/>
        <v>纠后正确</v>
      </c>
    </row>
    <row r="789" spans="1:10" ht="14.25" customHeight="1" x14ac:dyDescent="0.2">
      <c r="A789" s="1" t="s">
        <v>954</v>
      </c>
      <c r="B789" s="1" t="s">
        <v>36</v>
      </c>
      <c r="C789" s="1">
        <v>66452719</v>
      </c>
      <c r="D789" s="1" t="s">
        <v>2851</v>
      </c>
      <c r="E789" s="1" t="s">
        <v>1755</v>
      </c>
      <c r="F789" s="1">
        <v>1</v>
      </c>
      <c r="G789" s="1"/>
      <c r="H789" s="1"/>
      <c r="I789" s="1"/>
      <c r="J789" s="1" t="str">
        <f t="shared" si="12"/>
        <v/>
      </c>
    </row>
    <row r="790" spans="1:10" ht="14.25" customHeight="1" x14ac:dyDescent="0.2">
      <c r="A790" s="1" t="s">
        <v>413</v>
      </c>
      <c r="B790" s="1" t="s">
        <v>1</v>
      </c>
      <c r="C790" s="1">
        <v>27301434</v>
      </c>
      <c r="D790" s="1" t="s">
        <v>2385</v>
      </c>
      <c r="E790" s="1" t="s">
        <v>1506</v>
      </c>
      <c r="F790" s="1">
        <v>1</v>
      </c>
      <c r="G790" s="1"/>
      <c r="H790" s="1"/>
      <c r="I790" s="1"/>
      <c r="J790" s="1" t="str">
        <f t="shared" si="12"/>
        <v/>
      </c>
    </row>
    <row r="791" spans="1:10" ht="14.25" customHeight="1" x14ac:dyDescent="0.2">
      <c r="A791" s="1" t="s">
        <v>1264</v>
      </c>
      <c r="B791" s="1" t="s">
        <v>50</v>
      </c>
      <c r="C791" s="1">
        <v>45542297</v>
      </c>
      <c r="D791" s="1" t="s">
        <v>3097</v>
      </c>
      <c r="E791" s="1" t="s">
        <v>1913</v>
      </c>
      <c r="F791" s="1">
        <v>1</v>
      </c>
      <c r="G791" s="1"/>
      <c r="H791" s="1"/>
      <c r="I791" s="1"/>
      <c r="J791" s="1" t="str">
        <f t="shared" si="12"/>
        <v/>
      </c>
    </row>
    <row r="792" spans="1:10" ht="14.25" customHeight="1" x14ac:dyDescent="0.2">
      <c r="A792" s="1" t="s">
        <v>1273</v>
      </c>
      <c r="B792" s="1" t="s">
        <v>50</v>
      </c>
      <c r="C792" s="1">
        <v>50879679</v>
      </c>
      <c r="D792" s="1" t="s">
        <v>2287</v>
      </c>
      <c r="E792" s="1" t="s">
        <v>1452</v>
      </c>
      <c r="F792" s="1" t="s">
        <v>3406</v>
      </c>
      <c r="G792" s="1"/>
      <c r="H792" s="1" t="s">
        <v>3820</v>
      </c>
      <c r="I792" s="1"/>
      <c r="J792" s="1" t="str">
        <f t="shared" si="12"/>
        <v>纠后正确，加1个氨基酸chr19:50881825-50885859</v>
      </c>
    </row>
    <row r="793" spans="1:10" ht="14.25" customHeight="1" x14ac:dyDescent="0.2">
      <c r="A793" s="1" t="s">
        <v>396</v>
      </c>
      <c r="B793" s="1" t="s">
        <v>139</v>
      </c>
      <c r="C793" s="1">
        <v>216347287</v>
      </c>
      <c r="D793" s="1" t="s">
        <v>2371</v>
      </c>
      <c r="E793" s="1" t="s">
        <v>1494</v>
      </c>
      <c r="F793" s="1">
        <v>1</v>
      </c>
      <c r="G793" s="1"/>
      <c r="H793" s="1"/>
      <c r="I793" s="1"/>
      <c r="J793" s="1" t="str">
        <f t="shared" si="12"/>
        <v/>
      </c>
    </row>
    <row r="794" spans="1:10" ht="14.25" customHeight="1" x14ac:dyDescent="0.2">
      <c r="A794" s="1" t="s">
        <v>836</v>
      </c>
      <c r="B794" s="1" t="s">
        <v>33</v>
      </c>
      <c r="C794" s="1">
        <v>134378288</v>
      </c>
      <c r="D794" s="1" t="s">
        <v>2744</v>
      </c>
      <c r="E794" s="1" t="s">
        <v>1707</v>
      </c>
      <c r="F794" s="1">
        <v>1</v>
      </c>
      <c r="G794" s="1"/>
      <c r="H794" s="1"/>
      <c r="I794" s="1"/>
      <c r="J794" s="1" t="str">
        <f t="shared" si="12"/>
        <v/>
      </c>
    </row>
    <row r="795" spans="1:10" ht="14.25" customHeight="1" x14ac:dyDescent="0.2">
      <c r="A795" s="1" t="s">
        <v>170</v>
      </c>
      <c r="B795" s="1" t="s">
        <v>36</v>
      </c>
      <c r="C795" s="1">
        <v>118528941</v>
      </c>
      <c r="D795" s="1" t="s">
        <v>2150</v>
      </c>
      <c r="E795" s="1" t="s">
        <v>169</v>
      </c>
      <c r="F795" s="1" t="s">
        <v>2062</v>
      </c>
      <c r="G795" s="1"/>
      <c r="H795" s="1" t="s">
        <v>3763</v>
      </c>
      <c r="I795" s="1"/>
      <c r="J795" s="1" t="str">
        <f t="shared" si="12"/>
        <v>纠后正确</v>
      </c>
    </row>
    <row r="796" spans="1:10" ht="14.25" customHeight="1" x14ac:dyDescent="0.2">
      <c r="A796" s="1" t="s">
        <v>529</v>
      </c>
      <c r="B796" s="1" t="s">
        <v>86</v>
      </c>
      <c r="C796" s="1">
        <v>52489523</v>
      </c>
      <c r="D796" s="1" t="s">
        <v>2481</v>
      </c>
      <c r="E796" s="1" t="s">
        <v>1550</v>
      </c>
      <c r="F796" s="1">
        <v>1</v>
      </c>
      <c r="G796" s="1"/>
      <c r="H796" s="1"/>
      <c r="I796" s="1"/>
      <c r="J796" s="1" t="str">
        <f t="shared" si="12"/>
        <v/>
      </c>
    </row>
    <row r="797" spans="1:10" ht="14.25" customHeight="1" x14ac:dyDescent="0.2">
      <c r="A797" s="1" t="s">
        <v>66</v>
      </c>
      <c r="B797" s="1" t="s">
        <v>50</v>
      </c>
      <c r="C797" s="1">
        <v>15726028</v>
      </c>
      <c r="D797" s="1" t="s">
        <v>2090</v>
      </c>
      <c r="E797" s="1" t="s">
        <v>65</v>
      </c>
      <c r="F797" s="1" t="s">
        <v>2062</v>
      </c>
      <c r="G797" s="1"/>
      <c r="H797" s="1" t="s">
        <v>3763</v>
      </c>
      <c r="I797" s="1"/>
      <c r="J797" s="1" t="str">
        <f t="shared" si="12"/>
        <v>纠后正确</v>
      </c>
    </row>
    <row r="798" spans="1:10" ht="14.25" customHeight="1" x14ac:dyDescent="0.2">
      <c r="A798" s="1" t="s">
        <v>963</v>
      </c>
      <c r="B798" s="1" t="s">
        <v>36</v>
      </c>
      <c r="C798" s="1">
        <v>74862031</v>
      </c>
      <c r="D798" s="1" t="s">
        <v>2855</v>
      </c>
      <c r="E798" s="1" t="s">
        <v>1758</v>
      </c>
      <c r="F798" s="1">
        <v>1</v>
      </c>
      <c r="G798" s="1"/>
      <c r="H798" s="1"/>
      <c r="I798" s="1"/>
      <c r="J798" s="1" t="str">
        <f t="shared" si="12"/>
        <v/>
      </c>
    </row>
    <row r="799" spans="1:10" ht="14.25" customHeight="1" x14ac:dyDescent="0.2">
      <c r="A799" s="1" t="s">
        <v>1395</v>
      </c>
      <c r="B799" s="1" t="s">
        <v>73</v>
      </c>
      <c r="C799" s="1">
        <v>122318095</v>
      </c>
      <c r="D799" s="1" t="s">
        <v>3197</v>
      </c>
      <c r="E799" s="1" t="s">
        <v>82</v>
      </c>
      <c r="F799" s="1">
        <v>1</v>
      </c>
      <c r="G799" s="1"/>
      <c r="H799" s="1" t="s">
        <v>3762</v>
      </c>
      <c r="I799" s="1"/>
      <c r="J799" s="1" t="str">
        <f t="shared" si="12"/>
        <v>无变化</v>
      </c>
    </row>
    <row r="800" spans="1:10" ht="14.25" customHeight="1" x14ac:dyDescent="0.2">
      <c r="A800" s="1" t="s">
        <v>1013</v>
      </c>
      <c r="B800" s="1" t="s">
        <v>212</v>
      </c>
      <c r="C800" s="1">
        <v>10598626</v>
      </c>
      <c r="D800" s="1" t="s">
        <v>2890</v>
      </c>
      <c r="E800" s="1" t="s">
        <v>1776</v>
      </c>
      <c r="F800" s="1">
        <v>1</v>
      </c>
      <c r="G800" s="1"/>
      <c r="H800" s="1"/>
      <c r="I800" s="1"/>
      <c r="J800" s="1" t="str">
        <f t="shared" si="12"/>
        <v/>
      </c>
    </row>
    <row r="801" spans="1:10" ht="14.25" customHeight="1" x14ac:dyDescent="0.2">
      <c r="A801" s="1" t="s">
        <v>1321</v>
      </c>
      <c r="B801" s="1" t="s">
        <v>241</v>
      </c>
      <c r="C801" s="1">
        <v>40823779</v>
      </c>
      <c r="D801" s="1" t="s">
        <v>3145</v>
      </c>
      <c r="E801" s="1" t="s">
        <v>1941</v>
      </c>
      <c r="F801" s="1">
        <v>1</v>
      </c>
      <c r="G801" s="1"/>
      <c r="H801" s="1"/>
      <c r="I801" s="1"/>
      <c r="J801" s="1" t="str">
        <f t="shared" si="12"/>
        <v/>
      </c>
    </row>
    <row r="802" spans="1:10" ht="14.25" customHeight="1" x14ac:dyDescent="0.2">
      <c r="A802" s="1" t="s">
        <v>816</v>
      </c>
      <c r="B802" s="1" t="s">
        <v>33</v>
      </c>
      <c r="C802" s="1">
        <v>33750463</v>
      </c>
      <c r="D802" s="1" t="s">
        <v>2728</v>
      </c>
      <c r="E802" s="1" t="s">
        <v>1697</v>
      </c>
      <c r="F802" s="1">
        <v>1</v>
      </c>
      <c r="G802" s="1"/>
      <c r="H802" s="1"/>
      <c r="I802" s="1"/>
      <c r="J802" s="1" t="str">
        <f t="shared" si="12"/>
        <v/>
      </c>
    </row>
    <row r="803" spans="1:10" ht="14.25" customHeight="1" x14ac:dyDescent="0.2">
      <c r="A803" s="1" t="s">
        <v>358</v>
      </c>
      <c r="B803" s="1" t="s">
        <v>139</v>
      </c>
      <c r="C803" s="1">
        <v>93544791</v>
      </c>
      <c r="D803" s="1" t="s">
        <v>2334</v>
      </c>
      <c r="E803" s="1" t="s">
        <v>1479</v>
      </c>
      <c r="F803" s="1">
        <v>1</v>
      </c>
      <c r="G803" s="1"/>
      <c r="H803" s="1"/>
      <c r="I803" s="1"/>
      <c r="J803" s="1" t="str">
        <f t="shared" si="12"/>
        <v/>
      </c>
    </row>
    <row r="804" spans="1:10" ht="14.25" customHeight="1" x14ac:dyDescent="0.2">
      <c r="A804" s="1" t="s">
        <v>942</v>
      </c>
      <c r="B804" s="1" t="s">
        <v>36</v>
      </c>
      <c r="C804" s="1">
        <v>64085559</v>
      </c>
      <c r="D804" s="1" t="s">
        <v>2839</v>
      </c>
      <c r="E804" s="1" t="s">
        <v>1751</v>
      </c>
      <c r="F804" s="1">
        <v>1</v>
      </c>
      <c r="G804" s="1"/>
      <c r="H804" s="1"/>
      <c r="I804" s="1"/>
      <c r="J804" s="1" t="str">
        <f t="shared" si="12"/>
        <v/>
      </c>
    </row>
    <row r="805" spans="1:10" ht="14.25" customHeight="1" x14ac:dyDescent="0.2">
      <c r="A805" s="1" t="s">
        <v>478</v>
      </c>
      <c r="B805" s="1" t="s">
        <v>1</v>
      </c>
      <c r="C805" s="1">
        <v>220238179</v>
      </c>
      <c r="D805" s="1" t="s">
        <v>2436</v>
      </c>
      <c r="E805" s="1" t="s">
        <v>1535</v>
      </c>
      <c r="F805" s="1">
        <v>1</v>
      </c>
      <c r="G805" s="1"/>
      <c r="H805" s="1"/>
      <c r="I805" s="1"/>
      <c r="J805" s="1" t="str">
        <f t="shared" si="12"/>
        <v/>
      </c>
    </row>
    <row r="806" spans="1:10" ht="14.25" customHeight="1" x14ac:dyDescent="0.2">
      <c r="A806" s="1" t="s">
        <v>989</v>
      </c>
      <c r="B806" s="1" t="s">
        <v>36</v>
      </c>
      <c r="C806" s="1">
        <v>117156401</v>
      </c>
      <c r="D806" s="1" t="s">
        <v>2870</v>
      </c>
      <c r="E806" s="1" t="s">
        <v>1765</v>
      </c>
      <c r="F806" s="1">
        <v>1</v>
      </c>
      <c r="G806" s="1"/>
      <c r="H806" s="1"/>
      <c r="I806" s="1"/>
      <c r="J806" s="1" t="str">
        <f t="shared" si="12"/>
        <v/>
      </c>
    </row>
    <row r="807" spans="1:10" ht="14.25" customHeight="1" x14ac:dyDescent="0.2">
      <c r="A807" s="1" t="s">
        <v>691</v>
      </c>
      <c r="B807" s="1" t="s">
        <v>175</v>
      </c>
      <c r="C807" s="1">
        <v>90539618</v>
      </c>
      <c r="D807" s="1" t="s">
        <v>3235</v>
      </c>
      <c r="E807" s="1" t="s">
        <v>1983</v>
      </c>
      <c r="F807" s="1">
        <v>2</v>
      </c>
      <c r="G807" s="1"/>
      <c r="H807" s="1"/>
      <c r="I807" s="1"/>
      <c r="J807" s="1" t="str">
        <f t="shared" si="12"/>
        <v/>
      </c>
    </row>
    <row r="808" spans="1:10" ht="14.25" customHeight="1" x14ac:dyDescent="0.2">
      <c r="A808" s="1" t="s">
        <v>3879</v>
      </c>
      <c r="B808" s="1" t="s">
        <v>40</v>
      </c>
      <c r="C808" s="1">
        <v>130146078</v>
      </c>
      <c r="D808" s="1" t="s">
        <v>2249</v>
      </c>
      <c r="E808" s="1" t="s">
        <v>1431</v>
      </c>
      <c r="F808" s="1" t="s">
        <v>3406</v>
      </c>
      <c r="G808" s="1"/>
      <c r="H808" s="1"/>
      <c r="I808" s="1" t="s">
        <v>8378</v>
      </c>
      <c r="J808" s="1" t="str">
        <f t="shared" si="12"/>
        <v>纠后正确，区间略有变化，加433个氨基酸chr7:130146517-130287359</v>
      </c>
    </row>
    <row r="809" spans="1:10" ht="14.25" customHeight="1" x14ac:dyDescent="0.2">
      <c r="A809" s="1" t="s">
        <v>654</v>
      </c>
      <c r="B809" s="1" t="s">
        <v>186</v>
      </c>
      <c r="C809" s="1">
        <v>135266005</v>
      </c>
      <c r="D809" s="1" t="s">
        <v>2592</v>
      </c>
      <c r="E809" s="1" t="s">
        <v>1616</v>
      </c>
      <c r="F809" s="1">
        <v>1</v>
      </c>
      <c r="G809" s="1"/>
      <c r="H809" s="1"/>
      <c r="I809" s="1"/>
      <c r="J809" s="1" t="str">
        <f t="shared" si="12"/>
        <v/>
      </c>
    </row>
    <row r="810" spans="1:10" ht="14.25" customHeight="1" x14ac:dyDescent="0.2">
      <c r="A810" s="1" t="s">
        <v>8773</v>
      </c>
      <c r="B810" s="1" t="s">
        <v>73</v>
      </c>
      <c r="C810" s="1">
        <v>221425</v>
      </c>
      <c r="D810" s="1" t="s">
        <v>3394</v>
      </c>
      <c r="E810" s="1" t="s">
        <v>2056</v>
      </c>
      <c r="F810" s="1" t="s">
        <v>2062</v>
      </c>
      <c r="G810" s="4" t="s">
        <v>8790</v>
      </c>
      <c r="H810" s="1"/>
      <c r="I810" s="1"/>
      <c r="J810" s="1" t="str">
        <f t="shared" si="12"/>
        <v/>
      </c>
    </row>
    <row r="811" spans="1:10" ht="14.25" customHeight="1" x14ac:dyDescent="0.2">
      <c r="A811" s="1" t="s">
        <v>8793</v>
      </c>
      <c r="B811" s="1" t="s">
        <v>1409</v>
      </c>
      <c r="C811" s="1">
        <v>171425</v>
      </c>
      <c r="D811" s="1" t="s">
        <v>3396</v>
      </c>
      <c r="E811" s="1" t="s">
        <v>2056</v>
      </c>
      <c r="F811" s="1" t="s">
        <v>2062</v>
      </c>
      <c r="G811" s="4" t="s">
        <v>8790</v>
      </c>
      <c r="H811" s="1"/>
      <c r="I811" s="1"/>
      <c r="J811" s="1" t="str">
        <f t="shared" si="12"/>
        <v/>
      </c>
    </row>
    <row r="812" spans="1:10" ht="14.25" customHeight="1" x14ac:dyDescent="0.2">
      <c r="A812" s="1" t="s">
        <v>8791</v>
      </c>
      <c r="B812" s="1" t="s">
        <v>86</v>
      </c>
      <c r="C812" s="1">
        <v>72423743</v>
      </c>
      <c r="D812" s="1" t="s">
        <v>2237</v>
      </c>
      <c r="E812" s="1" t="s">
        <v>1421</v>
      </c>
      <c r="F812" s="1" t="s">
        <v>3406</v>
      </c>
      <c r="G812" s="4" t="s">
        <v>8792</v>
      </c>
      <c r="H812" s="1"/>
      <c r="I812" s="1"/>
      <c r="J812" s="1" t="str">
        <f t="shared" si="12"/>
        <v/>
      </c>
    </row>
    <row r="813" spans="1:10" ht="14.25" customHeight="1" x14ac:dyDescent="0.2">
      <c r="A813" s="1" t="s">
        <v>3880</v>
      </c>
      <c r="B813" s="1" t="s">
        <v>36</v>
      </c>
      <c r="C813" s="1">
        <v>70313960</v>
      </c>
      <c r="D813" s="1" t="s">
        <v>3359</v>
      </c>
      <c r="E813" s="1" t="s">
        <v>2037</v>
      </c>
      <c r="F813" s="1" t="s">
        <v>2062</v>
      </c>
      <c r="G813" s="1"/>
      <c r="H813" s="1"/>
      <c r="I813" s="1" t="s">
        <v>8404</v>
      </c>
      <c r="J813" s="1" t="str">
        <f t="shared" si="12"/>
        <v>纠后正确，区间略有变化</v>
      </c>
    </row>
    <row r="814" spans="1:10" ht="14.25" customHeight="1" x14ac:dyDescent="0.2">
      <c r="A814" s="1" t="s">
        <v>3909</v>
      </c>
      <c r="B814" s="1" t="s">
        <v>50</v>
      </c>
      <c r="C814" s="1">
        <v>55344173</v>
      </c>
      <c r="D814" s="1" t="s">
        <v>2170</v>
      </c>
      <c r="E814" s="1" t="s">
        <v>281</v>
      </c>
      <c r="F814" s="1" t="s">
        <v>2062</v>
      </c>
      <c r="G814" s="1"/>
      <c r="H814" s="1" t="s">
        <v>8405</v>
      </c>
      <c r="I814" s="11"/>
      <c r="J814" s="1" t="str">
        <f t="shared" si="12"/>
        <v>Browser与原结果匹配，纠后与rs匹配(rs746499983)chr19:55350966-55359398</v>
      </c>
    </row>
    <row r="815" spans="1:10" ht="14.25" customHeight="1" x14ac:dyDescent="0.2">
      <c r="A815" s="1" t="s">
        <v>1211</v>
      </c>
      <c r="B815" s="1" t="s">
        <v>179</v>
      </c>
      <c r="C815" s="1">
        <v>33688493</v>
      </c>
      <c r="D815" s="1" t="s">
        <v>3060</v>
      </c>
      <c r="E815" s="1" t="s">
        <v>1889</v>
      </c>
      <c r="F815" s="1">
        <v>1</v>
      </c>
      <c r="G815" s="1"/>
      <c r="H815" s="1"/>
      <c r="I815" s="1"/>
      <c r="J815" s="1" t="str">
        <f t="shared" si="12"/>
        <v/>
      </c>
    </row>
    <row r="816" spans="1:10" ht="14.25" customHeight="1" x14ac:dyDescent="0.2">
      <c r="A816" s="1" t="s">
        <v>215</v>
      </c>
      <c r="B816" s="1" t="s">
        <v>43</v>
      </c>
      <c r="C816" s="1">
        <v>51039130</v>
      </c>
      <c r="D816" s="1" t="s">
        <v>2175</v>
      </c>
      <c r="E816" s="1" t="s">
        <v>286</v>
      </c>
      <c r="F816" s="1" t="s">
        <v>2062</v>
      </c>
      <c r="G816" s="1"/>
      <c r="H816" s="1" t="s">
        <v>3763</v>
      </c>
      <c r="I816" s="1"/>
      <c r="J816" s="1" t="str">
        <f t="shared" si="12"/>
        <v>纠后正确</v>
      </c>
    </row>
    <row r="817" spans="1:10" ht="14.25" customHeight="1" x14ac:dyDescent="0.2">
      <c r="A817" s="1" t="s">
        <v>408</v>
      </c>
      <c r="B817" s="1" t="s">
        <v>1</v>
      </c>
      <c r="C817" s="1">
        <v>11798303</v>
      </c>
      <c r="D817" s="1" t="s">
        <v>2381</v>
      </c>
      <c r="E817" s="1" t="s">
        <v>1503</v>
      </c>
      <c r="F817" s="1">
        <v>1</v>
      </c>
      <c r="G817" s="1"/>
      <c r="H817" s="1"/>
      <c r="I817" s="1"/>
      <c r="J817" s="1" t="str">
        <f t="shared" si="12"/>
        <v/>
      </c>
    </row>
    <row r="818" spans="1:10" ht="14.25" customHeight="1" x14ac:dyDescent="0.2">
      <c r="A818" s="1" t="s">
        <v>374</v>
      </c>
      <c r="B818" s="1" t="s">
        <v>139</v>
      </c>
      <c r="C818" s="1">
        <v>114356432</v>
      </c>
      <c r="D818" s="1" t="s">
        <v>2350</v>
      </c>
      <c r="E818" s="1" t="s">
        <v>1485</v>
      </c>
      <c r="F818" s="1">
        <v>1</v>
      </c>
      <c r="G818" s="1"/>
      <c r="H818" s="1"/>
      <c r="I818" s="1"/>
      <c r="J818" s="1" t="str">
        <f t="shared" si="12"/>
        <v/>
      </c>
    </row>
    <row r="819" spans="1:10" ht="14.25" customHeight="1" x14ac:dyDescent="0.2">
      <c r="A819" s="1" t="s">
        <v>1278</v>
      </c>
      <c r="B819" s="1" t="s">
        <v>50</v>
      </c>
      <c r="C819" s="1">
        <v>51446558</v>
      </c>
      <c r="D819" s="1" t="s">
        <v>3108</v>
      </c>
      <c r="E819" s="1" t="s">
        <v>1918</v>
      </c>
      <c r="F819" s="1">
        <v>1</v>
      </c>
      <c r="G819" s="1"/>
      <c r="H819" s="1"/>
      <c r="I819" s="1"/>
      <c r="J819" s="1" t="str">
        <f t="shared" si="12"/>
        <v/>
      </c>
    </row>
    <row r="820" spans="1:10" ht="14.25" customHeight="1" x14ac:dyDescent="0.2">
      <c r="A820" s="1" t="s">
        <v>576</v>
      </c>
      <c r="B820" s="1" t="s">
        <v>569</v>
      </c>
      <c r="C820" s="1">
        <v>1160719</v>
      </c>
      <c r="D820" s="1" t="s">
        <v>2520</v>
      </c>
      <c r="E820" s="1" t="s">
        <v>1571</v>
      </c>
      <c r="F820" s="1">
        <v>1</v>
      </c>
      <c r="G820" s="1"/>
      <c r="H820" s="1"/>
      <c r="I820" s="1"/>
      <c r="J820" s="1" t="str">
        <f t="shared" si="12"/>
        <v/>
      </c>
    </row>
    <row r="821" spans="1:10" ht="14.25" customHeight="1" x14ac:dyDescent="0.2">
      <c r="A821" s="1" t="s">
        <v>709</v>
      </c>
      <c r="B821" s="1" t="s">
        <v>175</v>
      </c>
      <c r="C821" s="1">
        <v>155411422</v>
      </c>
      <c r="D821" s="1" t="s">
        <v>2642</v>
      </c>
      <c r="E821" s="1" t="s">
        <v>1646</v>
      </c>
      <c r="F821" s="1">
        <v>1</v>
      </c>
      <c r="G821" s="1"/>
      <c r="H821" s="1"/>
      <c r="I821" s="1"/>
      <c r="J821" s="1" t="str">
        <f t="shared" si="12"/>
        <v/>
      </c>
    </row>
    <row r="822" spans="1:10" ht="14.25" customHeight="1" x14ac:dyDescent="0.2">
      <c r="A822" s="1" t="s">
        <v>1109</v>
      </c>
      <c r="B822" s="1" t="s">
        <v>121</v>
      </c>
      <c r="C822" s="1">
        <v>1271650</v>
      </c>
      <c r="D822" s="1" t="s">
        <v>2974</v>
      </c>
      <c r="E822" s="1" t="s">
        <v>1832</v>
      </c>
      <c r="F822" s="1">
        <v>1</v>
      </c>
      <c r="G822" s="1"/>
      <c r="H822" s="1"/>
      <c r="I822" s="1"/>
      <c r="J822" s="1" t="str">
        <f t="shared" si="12"/>
        <v/>
      </c>
    </row>
    <row r="823" spans="1:10" ht="14.25" customHeight="1" x14ac:dyDescent="0.2">
      <c r="A823" s="1" t="s">
        <v>1316</v>
      </c>
      <c r="B823" s="1" t="s">
        <v>241</v>
      </c>
      <c r="C823" s="1">
        <v>30248385</v>
      </c>
      <c r="D823" s="1" t="s">
        <v>3281</v>
      </c>
      <c r="E823" s="1" t="s">
        <v>2009</v>
      </c>
      <c r="F823" s="1">
        <v>2</v>
      </c>
      <c r="G823" s="1"/>
      <c r="H823" s="1"/>
      <c r="I823" s="1"/>
      <c r="J823" s="1" t="str">
        <f t="shared" si="12"/>
        <v/>
      </c>
    </row>
    <row r="824" spans="1:10" ht="14.25" customHeight="1" x14ac:dyDescent="0.2">
      <c r="A824" s="1" t="s">
        <v>1153</v>
      </c>
      <c r="B824" s="1" t="s">
        <v>47</v>
      </c>
      <c r="C824" s="1">
        <v>3511555</v>
      </c>
      <c r="D824" s="1" t="s">
        <v>3013</v>
      </c>
      <c r="E824" s="1" t="s">
        <v>1857</v>
      </c>
      <c r="F824" s="1">
        <v>1</v>
      </c>
      <c r="G824" s="1"/>
      <c r="H824" s="1"/>
      <c r="I824" s="1"/>
      <c r="J824" s="1" t="str">
        <f t="shared" si="12"/>
        <v/>
      </c>
    </row>
    <row r="825" spans="1:10" ht="14.25" customHeight="1" x14ac:dyDescent="0.2">
      <c r="A825" s="1" t="s">
        <v>216</v>
      </c>
      <c r="B825" s="1" t="s">
        <v>50</v>
      </c>
      <c r="C825" s="1">
        <v>4910565</v>
      </c>
      <c r="D825" s="1" t="s">
        <v>2203</v>
      </c>
      <c r="E825" s="1" t="s">
        <v>305</v>
      </c>
      <c r="F825" s="1" t="s">
        <v>2062</v>
      </c>
      <c r="G825" s="1"/>
      <c r="H825" s="1" t="s">
        <v>3763</v>
      </c>
      <c r="I825" s="1"/>
      <c r="J825" s="1" t="str">
        <f t="shared" si="12"/>
        <v>纠后正确</v>
      </c>
    </row>
    <row r="826" spans="1:10" ht="14.25" customHeight="1" x14ac:dyDescent="0.2">
      <c r="A826" s="1" t="s">
        <v>1126</v>
      </c>
      <c r="B826" s="1" t="s">
        <v>121</v>
      </c>
      <c r="C826" s="1">
        <v>22217591</v>
      </c>
      <c r="D826" s="1" t="s">
        <v>2988</v>
      </c>
      <c r="E826" s="1" t="s">
        <v>1843</v>
      </c>
      <c r="F826" s="1">
        <v>1</v>
      </c>
      <c r="G826" s="1"/>
      <c r="H826" s="1"/>
      <c r="I826" s="1"/>
      <c r="J826" s="1" t="str">
        <f t="shared" si="12"/>
        <v/>
      </c>
    </row>
    <row r="827" spans="1:10" ht="14.25" customHeight="1" x14ac:dyDescent="0.2">
      <c r="A827" s="1" t="s">
        <v>523</v>
      </c>
      <c r="B827" s="1" t="s">
        <v>86</v>
      </c>
      <c r="C827" s="1">
        <v>49758931</v>
      </c>
      <c r="D827" s="1" t="s">
        <v>2477</v>
      </c>
      <c r="E827" s="1" t="s">
        <v>1547</v>
      </c>
      <c r="F827" s="1">
        <v>1</v>
      </c>
      <c r="G827" s="1"/>
      <c r="H827" s="1"/>
      <c r="I827" s="1"/>
      <c r="J827" s="1" t="str">
        <f t="shared" si="12"/>
        <v/>
      </c>
    </row>
    <row r="828" spans="1:10" ht="14.25" customHeight="1" x14ac:dyDescent="0.2">
      <c r="A828" s="1" t="s">
        <v>1258</v>
      </c>
      <c r="B828" s="1" t="s">
        <v>50</v>
      </c>
      <c r="C828" s="1">
        <v>44455396</v>
      </c>
      <c r="D828" s="1" t="s">
        <v>3091</v>
      </c>
      <c r="E828" s="1" t="s">
        <v>1911</v>
      </c>
      <c r="F828" s="1">
        <v>1</v>
      </c>
      <c r="G828" s="1"/>
      <c r="H828" s="1"/>
      <c r="I828" s="1"/>
      <c r="J828" s="1" t="str">
        <f t="shared" si="12"/>
        <v/>
      </c>
    </row>
    <row r="829" spans="1:10" ht="14.25" customHeight="1" x14ac:dyDescent="0.2">
      <c r="A829" s="1" t="s">
        <v>217</v>
      </c>
      <c r="B829" s="1" t="s">
        <v>113</v>
      </c>
      <c r="C829" s="1">
        <v>72102893</v>
      </c>
      <c r="D829" s="1" t="s">
        <v>3849</v>
      </c>
      <c r="E829" s="1" t="s">
        <v>291</v>
      </c>
      <c r="F829" s="1" t="s">
        <v>2062</v>
      </c>
      <c r="G829" s="1"/>
      <c r="H829" s="1" t="s">
        <v>8393</v>
      </c>
      <c r="I829" s="1"/>
      <c r="J829" s="1" t="str">
        <f t="shared" si="12"/>
        <v>纠后正确，utr略有变化，版本不一致</v>
      </c>
    </row>
    <row r="830" spans="1:10" ht="14.25" customHeight="1" x14ac:dyDescent="0.2">
      <c r="A830" s="1" t="s">
        <v>218</v>
      </c>
      <c r="B830" s="1" t="s">
        <v>212</v>
      </c>
      <c r="C830" s="1">
        <v>6937571</v>
      </c>
      <c r="D830" s="1" t="s">
        <v>2173</v>
      </c>
      <c r="E830" s="1" t="s">
        <v>284</v>
      </c>
      <c r="F830" s="1" t="s">
        <v>2062</v>
      </c>
      <c r="G830" s="1"/>
      <c r="H830" s="1" t="s">
        <v>3763</v>
      </c>
      <c r="I830" s="1"/>
      <c r="J830" s="1" t="str">
        <f t="shared" si="12"/>
        <v>纠后正确</v>
      </c>
    </row>
    <row r="831" spans="1:10" ht="14.25" customHeight="1" x14ac:dyDescent="0.2">
      <c r="A831" s="1" t="s">
        <v>1347</v>
      </c>
      <c r="B831" s="1" t="s">
        <v>43</v>
      </c>
      <c r="C831" s="1">
        <v>39214455</v>
      </c>
      <c r="D831" s="1" t="s">
        <v>3166</v>
      </c>
      <c r="E831" s="1" t="s">
        <v>1951</v>
      </c>
      <c r="F831" s="1">
        <v>1</v>
      </c>
      <c r="G831" s="1"/>
      <c r="H831" s="1"/>
      <c r="I831" s="1"/>
      <c r="J831" s="1" t="str">
        <f t="shared" si="12"/>
        <v/>
      </c>
    </row>
    <row r="832" spans="1:10" ht="14.25" customHeight="1" x14ac:dyDescent="0.2">
      <c r="A832" s="1" t="s">
        <v>1130</v>
      </c>
      <c r="B832" s="1" t="s">
        <v>121</v>
      </c>
      <c r="C832" s="1">
        <v>29690440</v>
      </c>
      <c r="D832" s="1" t="s">
        <v>2992</v>
      </c>
      <c r="E832" s="1" t="s">
        <v>1846</v>
      </c>
      <c r="F832" s="1">
        <v>1</v>
      </c>
      <c r="G832" s="1"/>
      <c r="H832" s="1"/>
      <c r="I832" s="1"/>
      <c r="J832" s="1" t="str">
        <f t="shared" si="12"/>
        <v/>
      </c>
    </row>
    <row r="833" spans="1:10" ht="14.25" customHeight="1" x14ac:dyDescent="0.2">
      <c r="A833" s="1" t="s">
        <v>886</v>
      </c>
      <c r="B833" s="1" t="s">
        <v>93</v>
      </c>
      <c r="C833" s="1">
        <v>99894380</v>
      </c>
      <c r="D833" s="1" t="s">
        <v>2791</v>
      </c>
      <c r="E833" s="1" t="s">
        <v>1726</v>
      </c>
      <c r="F833" s="1">
        <v>1</v>
      </c>
      <c r="G833" s="1"/>
      <c r="H833" s="1"/>
      <c r="I833" s="1"/>
      <c r="J833" s="1" t="str">
        <f t="shared" si="12"/>
        <v/>
      </c>
    </row>
    <row r="834" spans="1:10" ht="14.25" customHeight="1" x14ac:dyDescent="0.2">
      <c r="A834" s="1" t="s">
        <v>339</v>
      </c>
      <c r="B834" s="1" t="s">
        <v>139</v>
      </c>
      <c r="C834" s="1">
        <v>40089102</v>
      </c>
      <c r="D834" s="1" t="s">
        <v>2318</v>
      </c>
      <c r="E834" s="1" t="s">
        <v>1471</v>
      </c>
      <c r="F834" s="1">
        <v>1</v>
      </c>
      <c r="G834" s="1"/>
      <c r="H834" s="1"/>
      <c r="I834" s="1"/>
      <c r="J834" s="1" t="str">
        <f t="shared" si="12"/>
        <v/>
      </c>
    </row>
    <row r="835" spans="1:10" ht="14.25" customHeight="1" x14ac:dyDescent="0.2">
      <c r="A835" s="1" t="s">
        <v>955</v>
      </c>
      <c r="B835" s="1" t="s">
        <v>36</v>
      </c>
      <c r="C835" s="1">
        <v>66824288</v>
      </c>
      <c r="D835" s="1" t="s">
        <v>2852</v>
      </c>
      <c r="E835" s="1" t="s">
        <v>1756</v>
      </c>
      <c r="F835" s="1">
        <v>1</v>
      </c>
      <c r="G835" s="1"/>
      <c r="H835" s="1"/>
      <c r="I835" s="1"/>
      <c r="J835" s="1" t="str">
        <f t="shared" ref="J835:J898" si="13">IF(H835="",IF(I835="","",I835),H835)</f>
        <v/>
      </c>
    </row>
    <row r="836" spans="1:10" ht="14.25" customHeight="1" x14ac:dyDescent="0.2">
      <c r="A836" s="1" t="s">
        <v>178</v>
      </c>
      <c r="B836" s="1" t="s">
        <v>179</v>
      </c>
      <c r="C836" s="1">
        <v>74069636</v>
      </c>
      <c r="D836" s="1" t="s">
        <v>2154</v>
      </c>
      <c r="E836" s="1" t="s">
        <v>177</v>
      </c>
      <c r="F836" s="1" t="s">
        <v>2062</v>
      </c>
      <c r="G836" s="1"/>
      <c r="H836" s="1" t="s">
        <v>3763</v>
      </c>
      <c r="I836" s="1"/>
      <c r="J836" s="1" t="str">
        <f t="shared" si="13"/>
        <v>纠后正确</v>
      </c>
    </row>
    <row r="837" spans="1:10" ht="14.25" customHeight="1" x14ac:dyDescent="0.2">
      <c r="A837" s="1" t="s">
        <v>527</v>
      </c>
      <c r="B837" s="1" t="s">
        <v>86</v>
      </c>
      <c r="C837" s="1">
        <v>51433297</v>
      </c>
      <c r="D837" s="1" t="s">
        <v>2235</v>
      </c>
      <c r="E837" s="1" t="s">
        <v>1419</v>
      </c>
      <c r="F837" s="1" t="s">
        <v>3406</v>
      </c>
      <c r="G837" s="1"/>
      <c r="H837" s="1" t="s">
        <v>3828</v>
      </c>
      <c r="I837" s="1"/>
      <c r="J837" s="1" t="str">
        <f t="shared" si="13"/>
        <v>纠后正确，加53个氨基酸chr3:51436200-51467663</v>
      </c>
    </row>
    <row r="838" spans="1:10" ht="14.25" customHeight="1" x14ac:dyDescent="0.2">
      <c r="A838" s="1" t="s">
        <v>1121</v>
      </c>
      <c r="B838" s="1" t="s">
        <v>121</v>
      </c>
      <c r="C838" s="1">
        <v>19535178</v>
      </c>
      <c r="D838" s="1" t="s">
        <v>2985</v>
      </c>
      <c r="E838" s="1" t="s">
        <v>1841</v>
      </c>
      <c r="F838" s="1">
        <v>1</v>
      </c>
      <c r="G838" s="1"/>
      <c r="H838" s="1"/>
      <c r="I838" s="1"/>
      <c r="J838" s="1" t="str">
        <f t="shared" si="13"/>
        <v/>
      </c>
    </row>
    <row r="839" spans="1:10" ht="14.25" customHeight="1" x14ac:dyDescent="0.2">
      <c r="A839" s="1" t="s">
        <v>769</v>
      </c>
      <c r="B839" s="1" t="s">
        <v>40</v>
      </c>
      <c r="C839" s="1">
        <v>143548460</v>
      </c>
      <c r="D839" s="1" t="s">
        <v>2691</v>
      </c>
      <c r="E839" s="1" t="s">
        <v>1674</v>
      </c>
      <c r="F839" s="1">
        <v>1</v>
      </c>
      <c r="G839" s="1"/>
      <c r="H839" s="1"/>
      <c r="I839" s="1"/>
      <c r="J839" s="1" t="str">
        <f t="shared" si="13"/>
        <v/>
      </c>
    </row>
    <row r="840" spans="1:10" ht="14.25" customHeight="1" x14ac:dyDescent="0.2">
      <c r="A840" s="1" t="s">
        <v>643</v>
      </c>
      <c r="B840" s="1" t="s">
        <v>186</v>
      </c>
      <c r="C840" s="1">
        <v>79703837</v>
      </c>
      <c r="D840" s="1" t="s">
        <v>3232</v>
      </c>
      <c r="E840" s="1" t="s">
        <v>1980</v>
      </c>
      <c r="F840" s="1">
        <v>2</v>
      </c>
      <c r="G840" s="1"/>
      <c r="H840" s="1"/>
      <c r="I840" s="1"/>
      <c r="J840" s="1" t="str">
        <f t="shared" si="13"/>
        <v/>
      </c>
    </row>
    <row r="841" spans="1:10" ht="14.25" customHeight="1" x14ac:dyDescent="0.2">
      <c r="A841" s="1" t="s">
        <v>999</v>
      </c>
      <c r="B841" s="1" t="s">
        <v>36</v>
      </c>
      <c r="C841" s="1">
        <v>130745765</v>
      </c>
      <c r="D841" s="1" t="s">
        <v>2878</v>
      </c>
      <c r="E841" s="1" t="s">
        <v>1768</v>
      </c>
      <c r="F841" s="1">
        <v>1</v>
      </c>
      <c r="G841" s="1"/>
      <c r="H841" s="1"/>
      <c r="I841" s="1"/>
      <c r="J841" s="1" t="str">
        <f t="shared" si="13"/>
        <v/>
      </c>
    </row>
    <row r="842" spans="1:10" ht="14.25" customHeight="1" x14ac:dyDescent="0.2">
      <c r="A842" s="1" t="s">
        <v>1132</v>
      </c>
      <c r="B842" s="1" t="s">
        <v>121</v>
      </c>
      <c r="C842" s="1">
        <v>30772932</v>
      </c>
      <c r="D842" s="1" t="s">
        <v>2993</v>
      </c>
      <c r="E842" s="1" t="s">
        <v>1847</v>
      </c>
      <c r="F842" s="1">
        <v>1</v>
      </c>
      <c r="G842" s="1"/>
      <c r="H842" s="1"/>
      <c r="I842" s="1"/>
      <c r="J842" s="1" t="str">
        <f t="shared" si="13"/>
        <v/>
      </c>
    </row>
    <row r="843" spans="1:10" ht="14.25" customHeight="1" x14ac:dyDescent="0.2">
      <c r="A843" s="1" t="s">
        <v>799</v>
      </c>
      <c r="B843" s="1" t="s">
        <v>103</v>
      </c>
      <c r="C843" s="1">
        <v>144731953</v>
      </c>
      <c r="D843" s="1" t="s">
        <v>2713</v>
      </c>
      <c r="E843" s="1" t="s">
        <v>1689</v>
      </c>
      <c r="F843" s="1">
        <v>1</v>
      </c>
      <c r="G843" s="1"/>
      <c r="H843" s="1"/>
      <c r="I843" s="1"/>
      <c r="J843" s="1" t="str">
        <f t="shared" si="13"/>
        <v/>
      </c>
    </row>
    <row r="844" spans="1:10" ht="14.25" customHeight="1" x14ac:dyDescent="0.2">
      <c r="A844" s="1" t="s">
        <v>181</v>
      </c>
      <c r="B844" s="1" t="s">
        <v>93</v>
      </c>
      <c r="C844" s="1">
        <v>97889471</v>
      </c>
      <c r="D844" s="1" t="s">
        <v>2155</v>
      </c>
      <c r="E844" s="1" t="s">
        <v>180</v>
      </c>
      <c r="F844" s="1" t="s">
        <v>2062</v>
      </c>
      <c r="G844" s="1"/>
      <c r="H844" s="1" t="s">
        <v>3763</v>
      </c>
      <c r="I844" s="1"/>
      <c r="J844" s="1" t="str">
        <f t="shared" si="13"/>
        <v>纠后正确</v>
      </c>
    </row>
    <row r="845" spans="1:10" ht="14.25" customHeight="1" x14ac:dyDescent="0.2">
      <c r="A845" s="1" t="s">
        <v>820</v>
      </c>
      <c r="B845" s="1" t="s">
        <v>33</v>
      </c>
      <c r="C845" s="1">
        <v>35490006</v>
      </c>
      <c r="D845" s="1" t="s">
        <v>2732</v>
      </c>
      <c r="E845" s="1" t="s">
        <v>1699</v>
      </c>
      <c r="F845" s="1">
        <v>1</v>
      </c>
      <c r="G845" s="1"/>
      <c r="H845" s="1"/>
      <c r="I845" s="1"/>
      <c r="J845" s="1" t="str">
        <f t="shared" si="13"/>
        <v/>
      </c>
    </row>
    <row r="846" spans="1:10" ht="14.25" customHeight="1" x14ac:dyDescent="0.2">
      <c r="A846" s="1" t="s">
        <v>3881</v>
      </c>
      <c r="B846" s="1" t="s">
        <v>40</v>
      </c>
      <c r="C846" s="1">
        <v>28992973</v>
      </c>
      <c r="D846" s="1" t="s">
        <v>2245</v>
      </c>
      <c r="E846" s="1" t="s">
        <v>1428</v>
      </c>
      <c r="F846" s="1" t="s">
        <v>3406</v>
      </c>
      <c r="G846" s="1"/>
      <c r="H846" s="1" t="s">
        <v>8396</v>
      </c>
      <c r="I846" s="1"/>
      <c r="J846" s="1" t="str">
        <f t="shared" si="13"/>
        <v>纠后正确</v>
      </c>
    </row>
    <row r="847" spans="1:10" ht="14.25" customHeight="1" x14ac:dyDescent="0.2">
      <c r="A847" s="1" t="s">
        <v>1035</v>
      </c>
      <c r="B847" s="1" t="s">
        <v>212</v>
      </c>
      <c r="C847" s="1">
        <v>56710006</v>
      </c>
      <c r="D847" s="1" t="s">
        <v>2911</v>
      </c>
      <c r="E847" s="1" t="s">
        <v>1788</v>
      </c>
      <c r="F847" s="1">
        <v>1</v>
      </c>
      <c r="G847" s="1"/>
      <c r="H847" s="1"/>
      <c r="I847" s="1"/>
      <c r="J847" s="1" t="str">
        <f t="shared" si="13"/>
        <v/>
      </c>
    </row>
    <row r="848" spans="1:10" ht="14.25" customHeight="1" x14ac:dyDescent="0.2">
      <c r="A848" s="1" t="s">
        <v>1194</v>
      </c>
      <c r="B848" s="1" t="s">
        <v>47</v>
      </c>
      <c r="C848" s="1">
        <v>65066553</v>
      </c>
      <c r="D848" s="1" t="s">
        <v>3045</v>
      </c>
      <c r="E848" s="1" t="s">
        <v>1882</v>
      </c>
      <c r="F848" s="1">
        <v>1</v>
      </c>
      <c r="G848" s="1"/>
      <c r="H848" s="1"/>
      <c r="I848" s="1"/>
      <c r="J848" s="1" t="str">
        <f t="shared" si="13"/>
        <v/>
      </c>
    </row>
    <row r="849" spans="1:10" ht="14.25" customHeight="1" x14ac:dyDescent="0.2">
      <c r="A849" s="1" t="s">
        <v>424</v>
      </c>
      <c r="B849" s="1" t="s">
        <v>1</v>
      </c>
      <c r="C849" s="1">
        <v>69685126</v>
      </c>
      <c r="D849" s="1" t="s">
        <v>2394</v>
      </c>
      <c r="E849" s="1" t="s">
        <v>1511</v>
      </c>
      <c r="F849" s="1">
        <v>1</v>
      </c>
      <c r="G849" s="1"/>
      <c r="H849" s="1"/>
      <c r="I849" s="1"/>
      <c r="J849" s="1" t="str">
        <f t="shared" si="13"/>
        <v/>
      </c>
    </row>
    <row r="850" spans="1:10" ht="14.25" customHeight="1" x14ac:dyDescent="0.2">
      <c r="A850" s="1" t="s">
        <v>262</v>
      </c>
      <c r="B850" s="1" t="s">
        <v>212</v>
      </c>
      <c r="C850" s="1">
        <v>122516651</v>
      </c>
      <c r="D850" s="1" t="s">
        <v>3373</v>
      </c>
      <c r="E850" s="1" t="s">
        <v>3741</v>
      </c>
      <c r="F850" s="1" t="s">
        <v>2062</v>
      </c>
      <c r="G850" s="1" t="s">
        <v>8391</v>
      </c>
      <c r="H850" s="1"/>
      <c r="I850" s="1"/>
      <c r="J850" s="1" t="str">
        <f t="shared" si="13"/>
        <v/>
      </c>
    </row>
    <row r="851" spans="1:10" ht="14.25" customHeight="1" x14ac:dyDescent="0.2">
      <c r="A851" s="1" t="s">
        <v>262</v>
      </c>
      <c r="B851" s="1" t="s">
        <v>212</v>
      </c>
      <c r="C851" s="1">
        <v>122611799</v>
      </c>
      <c r="D851" s="1" t="s">
        <v>3374</v>
      </c>
      <c r="E851" s="1" t="s">
        <v>2044</v>
      </c>
      <c r="F851" s="1" t="s">
        <v>2062</v>
      </c>
      <c r="G851" s="1" t="s">
        <v>8391</v>
      </c>
      <c r="H851" s="1"/>
      <c r="I851" s="1"/>
      <c r="J851" s="1" t="str">
        <f t="shared" si="13"/>
        <v/>
      </c>
    </row>
    <row r="852" spans="1:10" ht="14.25" customHeight="1" x14ac:dyDescent="0.2">
      <c r="A852" s="1" t="s">
        <v>1210</v>
      </c>
      <c r="B852" s="1" t="s">
        <v>179</v>
      </c>
      <c r="C852" s="1">
        <v>29409135</v>
      </c>
      <c r="D852" s="1" t="s">
        <v>3059</v>
      </c>
      <c r="E852" s="1" t="s">
        <v>1888</v>
      </c>
      <c r="F852" s="1">
        <v>1</v>
      </c>
      <c r="G852" s="1"/>
      <c r="H852" s="1"/>
      <c r="I852" s="1"/>
      <c r="J852" s="1" t="str">
        <f t="shared" si="13"/>
        <v/>
      </c>
    </row>
    <row r="853" spans="1:10" ht="14.25" customHeight="1" x14ac:dyDescent="0.2">
      <c r="A853" s="1" t="s">
        <v>1067</v>
      </c>
      <c r="B853" s="1" t="s">
        <v>81</v>
      </c>
      <c r="C853" s="1">
        <v>23527772</v>
      </c>
      <c r="D853" s="1" t="s">
        <v>2938</v>
      </c>
      <c r="E853" s="1" t="s">
        <v>1809</v>
      </c>
      <c r="F853" s="1">
        <v>1</v>
      </c>
      <c r="G853" s="1"/>
      <c r="H853" s="1"/>
      <c r="I853" s="1"/>
      <c r="J853" s="1" t="str">
        <f t="shared" si="13"/>
        <v/>
      </c>
    </row>
    <row r="854" spans="1:10" ht="14.25" customHeight="1" x14ac:dyDescent="0.2">
      <c r="A854" s="1" t="s">
        <v>664</v>
      </c>
      <c r="B854" s="1" t="s">
        <v>186</v>
      </c>
      <c r="C854" s="1">
        <v>149380168</v>
      </c>
      <c r="D854" s="1" t="s">
        <v>2601</v>
      </c>
      <c r="E854" s="1" t="s">
        <v>1624</v>
      </c>
      <c r="F854" s="1">
        <v>1</v>
      </c>
      <c r="G854" s="1"/>
      <c r="H854" s="1"/>
      <c r="I854" s="1"/>
      <c r="J854" s="1" t="str">
        <f t="shared" si="13"/>
        <v/>
      </c>
    </row>
    <row r="855" spans="1:10" ht="14.25" customHeight="1" x14ac:dyDescent="0.2">
      <c r="A855" s="1" t="s">
        <v>1229</v>
      </c>
      <c r="B855" s="1" t="s">
        <v>50</v>
      </c>
      <c r="C855" s="1">
        <v>4969123</v>
      </c>
      <c r="D855" s="1" t="s">
        <v>3074</v>
      </c>
      <c r="E855" s="1" t="s">
        <v>1900</v>
      </c>
      <c r="F855" s="1">
        <v>1</v>
      </c>
      <c r="G855" s="1"/>
      <c r="H855" s="1"/>
      <c r="I855" s="1"/>
      <c r="J855" s="1" t="str">
        <f t="shared" si="13"/>
        <v/>
      </c>
    </row>
    <row r="856" spans="1:10" ht="14.25" customHeight="1" x14ac:dyDescent="0.2">
      <c r="A856" s="1" t="s">
        <v>974</v>
      </c>
      <c r="B856" s="1" t="s">
        <v>36</v>
      </c>
      <c r="C856" s="1">
        <v>108376157</v>
      </c>
      <c r="D856" s="1" t="s">
        <v>2865</v>
      </c>
      <c r="E856" s="1" t="s">
        <v>1763</v>
      </c>
      <c r="F856" s="1">
        <v>1</v>
      </c>
      <c r="G856" s="1"/>
      <c r="H856" s="1"/>
      <c r="I856" s="1"/>
      <c r="J856" s="1" t="str">
        <f t="shared" si="13"/>
        <v/>
      </c>
    </row>
    <row r="857" spans="1:10" ht="14.25" customHeight="1" x14ac:dyDescent="0.2">
      <c r="A857" s="1" t="s">
        <v>8774</v>
      </c>
      <c r="B857" s="1" t="s">
        <v>40</v>
      </c>
      <c r="C857" s="1">
        <v>94285636</v>
      </c>
      <c r="D857" s="1" t="s">
        <v>3348</v>
      </c>
      <c r="E857" s="1" t="s">
        <v>1663</v>
      </c>
      <c r="F857" s="1" t="s">
        <v>2062</v>
      </c>
      <c r="G857" s="1"/>
      <c r="H857" s="1"/>
      <c r="I857" s="1"/>
      <c r="J857" s="1" t="str">
        <f t="shared" si="13"/>
        <v/>
      </c>
    </row>
    <row r="858" spans="1:10" ht="14.25" customHeight="1" x14ac:dyDescent="0.2">
      <c r="A858" s="1" t="s">
        <v>3882</v>
      </c>
      <c r="B858" s="1" t="s">
        <v>47</v>
      </c>
      <c r="C858" s="1">
        <v>26698986</v>
      </c>
      <c r="D858" s="1" t="s">
        <v>3385</v>
      </c>
      <c r="E858" s="1" t="s">
        <v>2050</v>
      </c>
      <c r="F858" s="1" t="s">
        <v>2062</v>
      </c>
      <c r="G858" s="1"/>
      <c r="H858" s="1"/>
      <c r="I858" s="1" t="s">
        <v>8376</v>
      </c>
      <c r="J858" s="1" t="str">
        <f t="shared" si="13"/>
        <v>纠后正确，版本不一致，utr略有变化</v>
      </c>
    </row>
    <row r="859" spans="1:10" ht="14.25" customHeight="1" x14ac:dyDescent="0.2">
      <c r="A859" s="1" t="s">
        <v>555</v>
      </c>
      <c r="B859" s="1" t="s">
        <v>86</v>
      </c>
      <c r="C859" s="1">
        <v>129274055</v>
      </c>
      <c r="D859" s="1" t="s">
        <v>3227</v>
      </c>
      <c r="E859" s="1" t="s">
        <v>1978</v>
      </c>
      <c r="F859" s="1">
        <v>2</v>
      </c>
      <c r="G859" s="1"/>
      <c r="H859" s="1"/>
      <c r="I859" s="1"/>
      <c r="J859" s="1" t="str">
        <f t="shared" si="13"/>
        <v/>
      </c>
    </row>
    <row r="860" spans="1:10" ht="14.25" customHeight="1" x14ac:dyDescent="0.2">
      <c r="A860" s="1" t="s">
        <v>1060</v>
      </c>
      <c r="B860" s="1" t="s">
        <v>106</v>
      </c>
      <c r="C860" s="1">
        <v>47127295</v>
      </c>
      <c r="D860" s="1" t="s">
        <v>2933</v>
      </c>
      <c r="E860" s="1" t="s">
        <v>1806</v>
      </c>
      <c r="F860" s="1">
        <v>1</v>
      </c>
      <c r="G860" s="1"/>
      <c r="H860" s="1"/>
      <c r="I860" s="1"/>
      <c r="J860" s="1" t="str">
        <f t="shared" si="13"/>
        <v/>
      </c>
    </row>
    <row r="861" spans="1:10" ht="14.25" customHeight="1" x14ac:dyDescent="0.2">
      <c r="A861" s="1" t="s">
        <v>426</v>
      </c>
      <c r="B861" s="1" t="s">
        <v>1</v>
      </c>
      <c r="C861" s="1">
        <v>73612885</v>
      </c>
      <c r="D861" s="1" t="s">
        <v>2227</v>
      </c>
      <c r="E861" s="1" t="s">
        <v>1415</v>
      </c>
      <c r="F861" s="1" t="s">
        <v>3406</v>
      </c>
      <c r="G861" s="1"/>
      <c r="H861" s="1" t="s">
        <v>3830</v>
      </c>
      <c r="I861" s="1"/>
      <c r="J861" s="1" t="str">
        <f t="shared" si="13"/>
        <v>纠后正确，加1个氨基酸chr2:73613074-73836739</v>
      </c>
    </row>
    <row r="862" spans="1:10" ht="14.25" customHeight="1" x14ac:dyDescent="0.2">
      <c r="A862" s="1" t="s">
        <v>532</v>
      </c>
      <c r="B862" s="1" t="s">
        <v>86</v>
      </c>
      <c r="C862" s="1">
        <v>69219145</v>
      </c>
      <c r="D862" s="1" t="s">
        <v>2483</v>
      </c>
      <c r="E862" s="1" t="s">
        <v>1552</v>
      </c>
      <c r="F862" s="1">
        <v>1</v>
      </c>
      <c r="G862" s="1"/>
      <c r="H862" s="1"/>
      <c r="I862" s="1"/>
      <c r="J862" s="1" t="str">
        <f t="shared" si="13"/>
        <v/>
      </c>
    </row>
    <row r="863" spans="1:10" ht="14.25" customHeight="1" x14ac:dyDescent="0.2">
      <c r="A863" s="1" t="s">
        <v>759</v>
      </c>
      <c r="B863" s="1" t="s">
        <v>40</v>
      </c>
      <c r="C863" s="1">
        <v>135242661</v>
      </c>
      <c r="D863" s="1" t="s">
        <v>2681</v>
      </c>
      <c r="E863" s="1" t="s">
        <v>1669</v>
      </c>
      <c r="F863" s="1">
        <v>1</v>
      </c>
      <c r="G863" s="1"/>
      <c r="H863" s="1"/>
      <c r="I863" s="1"/>
      <c r="J863" s="1" t="str">
        <f t="shared" si="13"/>
        <v/>
      </c>
    </row>
    <row r="864" spans="1:10" ht="14.25" customHeight="1" x14ac:dyDescent="0.2">
      <c r="A864" s="1" t="s">
        <v>163</v>
      </c>
      <c r="B864" s="1" t="s">
        <v>113</v>
      </c>
      <c r="C864" s="1">
        <v>99645285</v>
      </c>
      <c r="D864" s="1" t="s">
        <v>2146</v>
      </c>
      <c r="E864" s="1" t="s">
        <v>162</v>
      </c>
      <c r="F864" s="1" t="s">
        <v>2062</v>
      </c>
      <c r="G864" s="1"/>
      <c r="H864" s="1" t="s">
        <v>3763</v>
      </c>
      <c r="I864" s="1"/>
      <c r="J864" s="1" t="str">
        <f t="shared" si="13"/>
        <v>纠后正确</v>
      </c>
    </row>
    <row r="865" spans="1:10" ht="14.25" customHeight="1" x14ac:dyDescent="0.2">
      <c r="A865" s="1" t="s">
        <v>3883</v>
      </c>
      <c r="B865" s="1" t="s">
        <v>139</v>
      </c>
      <c r="C865" s="1">
        <v>206516196</v>
      </c>
      <c r="D865" s="1" t="s">
        <v>3310</v>
      </c>
      <c r="E865" s="1" t="s">
        <v>2021</v>
      </c>
      <c r="F865" s="1" t="s">
        <v>2062</v>
      </c>
      <c r="G865" s="4" t="s">
        <v>8755</v>
      </c>
      <c r="H865" s="1"/>
      <c r="I865" s="1"/>
      <c r="J865" s="1" t="str">
        <f t="shared" si="13"/>
        <v/>
      </c>
    </row>
    <row r="866" spans="1:10" ht="14.25" customHeight="1" x14ac:dyDescent="0.2">
      <c r="A866" s="1" t="s">
        <v>1335</v>
      </c>
      <c r="B866" s="1" t="s">
        <v>43</v>
      </c>
      <c r="C866" s="1">
        <v>24666789</v>
      </c>
      <c r="D866" s="1" t="s">
        <v>3154</v>
      </c>
      <c r="E866" s="1" t="s">
        <v>1946</v>
      </c>
      <c r="F866" s="1">
        <v>1</v>
      </c>
      <c r="G866" s="1"/>
      <c r="H866" s="1"/>
      <c r="I866" s="1"/>
      <c r="J866" s="1" t="str">
        <f t="shared" si="13"/>
        <v/>
      </c>
    </row>
    <row r="867" spans="1:10" ht="14.25" customHeight="1" x14ac:dyDescent="0.2">
      <c r="A867" s="1" t="s">
        <v>1302</v>
      </c>
      <c r="B867" s="1" t="s">
        <v>53</v>
      </c>
      <c r="C867" s="1">
        <v>30946146</v>
      </c>
      <c r="D867" s="1" t="s">
        <v>3128</v>
      </c>
      <c r="E867" s="1" t="s">
        <v>1930</v>
      </c>
      <c r="F867" s="1">
        <v>1</v>
      </c>
      <c r="G867" s="1"/>
      <c r="H867" s="1"/>
      <c r="I867" s="1"/>
      <c r="J867" s="1" t="str">
        <f t="shared" si="13"/>
        <v/>
      </c>
    </row>
    <row r="868" spans="1:10" ht="14.25" customHeight="1" x14ac:dyDescent="0.2">
      <c r="A868" s="1" t="s">
        <v>801</v>
      </c>
      <c r="B868" s="1" t="s">
        <v>103</v>
      </c>
      <c r="C868" s="1">
        <v>144873089</v>
      </c>
      <c r="D868" s="1" t="s">
        <v>2715</v>
      </c>
      <c r="E868" s="1" t="s">
        <v>1691</v>
      </c>
      <c r="F868" s="1">
        <v>1</v>
      </c>
      <c r="G868" s="1"/>
      <c r="H868" s="1"/>
      <c r="I868" s="1"/>
      <c r="J868" s="1" t="str">
        <f t="shared" si="13"/>
        <v/>
      </c>
    </row>
    <row r="869" spans="1:10" ht="14.25" customHeight="1" x14ac:dyDescent="0.2">
      <c r="A869" s="1" t="s">
        <v>780</v>
      </c>
      <c r="B869" s="1" t="s">
        <v>103</v>
      </c>
      <c r="C869" s="1">
        <v>74903563</v>
      </c>
      <c r="D869" s="1" t="s">
        <v>2700</v>
      </c>
      <c r="E869" s="1" t="s">
        <v>1682</v>
      </c>
      <c r="F869" s="1">
        <v>1</v>
      </c>
      <c r="G869" s="1"/>
      <c r="H869" s="1"/>
      <c r="I869" s="1"/>
      <c r="J869" s="1" t="str">
        <f t="shared" si="13"/>
        <v/>
      </c>
    </row>
    <row r="870" spans="1:10" ht="14.25" customHeight="1" x14ac:dyDescent="0.2">
      <c r="A870" s="1" t="s">
        <v>877</v>
      </c>
      <c r="B870" s="1" t="s">
        <v>93</v>
      </c>
      <c r="C870" s="1">
        <v>97071529</v>
      </c>
      <c r="D870" s="1" t="s">
        <v>2782</v>
      </c>
      <c r="E870" s="1" t="s">
        <v>1725</v>
      </c>
      <c r="F870" s="1">
        <v>1</v>
      </c>
      <c r="G870" s="1"/>
      <c r="H870" s="1"/>
      <c r="I870" s="1"/>
      <c r="J870" s="1" t="str">
        <f t="shared" si="13"/>
        <v/>
      </c>
    </row>
    <row r="871" spans="1:10" ht="14.25" customHeight="1" x14ac:dyDescent="0.2">
      <c r="A871" s="1" t="s">
        <v>825</v>
      </c>
      <c r="B871" s="1" t="s">
        <v>33</v>
      </c>
      <c r="C871" s="1">
        <v>117164359</v>
      </c>
      <c r="D871" s="1" t="s">
        <v>3241</v>
      </c>
      <c r="E871" s="1" t="s">
        <v>1700</v>
      </c>
      <c r="F871" s="1">
        <v>2</v>
      </c>
      <c r="G871" s="1"/>
      <c r="H871" s="1"/>
      <c r="I871" s="1"/>
      <c r="J871" s="1" t="str">
        <f t="shared" si="13"/>
        <v/>
      </c>
    </row>
    <row r="872" spans="1:10" ht="14.25" customHeight="1" x14ac:dyDescent="0.2">
      <c r="A872" s="1" t="s">
        <v>735</v>
      </c>
      <c r="B872" s="1" t="s">
        <v>40</v>
      </c>
      <c r="C872" s="1">
        <v>56131916</v>
      </c>
      <c r="D872" s="1" t="s">
        <v>2662</v>
      </c>
      <c r="E872" s="1" t="s">
        <v>1657</v>
      </c>
      <c r="F872" s="1">
        <v>1</v>
      </c>
      <c r="G872" s="1"/>
      <c r="H872" s="1"/>
      <c r="I872" s="1"/>
      <c r="J872" s="1" t="str">
        <f t="shared" si="13"/>
        <v/>
      </c>
    </row>
    <row r="873" spans="1:10" ht="14.25" customHeight="1" x14ac:dyDescent="0.2">
      <c r="A873" s="1" t="s">
        <v>1183</v>
      </c>
      <c r="B873" s="1" t="s">
        <v>47</v>
      </c>
      <c r="C873" s="1">
        <v>44107281</v>
      </c>
      <c r="D873" s="1" t="s">
        <v>3036</v>
      </c>
      <c r="E873" s="1" t="s">
        <v>1875</v>
      </c>
      <c r="F873" s="1">
        <v>1</v>
      </c>
      <c r="G873" s="1"/>
      <c r="H873" s="1"/>
      <c r="I873" s="1"/>
      <c r="J873" s="1" t="str">
        <f t="shared" si="13"/>
        <v/>
      </c>
    </row>
    <row r="874" spans="1:10" ht="14.25" customHeight="1" x14ac:dyDescent="0.2">
      <c r="A874" s="1" t="s">
        <v>363</v>
      </c>
      <c r="B874" s="1" t="s">
        <v>139</v>
      </c>
      <c r="C874" s="1">
        <v>95699710</v>
      </c>
      <c r="D874" s="1" t="s">
        <v>2339</v>
      </c>
      <c r="E874" s="1" t="s">
        <v>1480</v>
      </c>
      <c r="F874" s="1">
        <v>1</v>
      </c>
      <c r="G874" s="1"/>
      <c r="H874" s="1"/>
      <c r="I874" s="1"/>
      <c r="J874" s="1" t="str">
        <f t="shared" si="13"/>
        <v/>
      </c>
    </row>
    <row r="875" spans="1:10" ht="14.25" customHeight="1" x14ac:dyDescent="0.2">
      <c r="A875" s="1" t="s">
        <v>1095</v>
      </c>
      <c r="B875" s="1" t="s">
        <v>113</v>
      </c>
      <c r="C875" s="1">
        <v>75494220</v>
      </c>
      <c r="D875" s="1" t="s">
        <v>3262</v>
      </c>
      <c r="E875" s="1" t="s">
        <v>1997</v>
      </c>
      <c r="F875" s="1">
        <v>2</v>
      </c>
      <c r="G875" s="1"/>
      <c r="H875" s="1"/>
      <c r="I875" s="1"/>
      <c r="J875" s="1" t="str">
        <f t="shared" si="13"/>
        <v/>
      </c>
    </row>
    <row r="876" spans="1:10" ht="14.25" customHeight="1" x14ac:dyDescent="0.2">
      <c r="A876" s="1" t="s">
        <v>528</v>
      </c>
      <c r="B876" s="1" t="s">
        <v>86</v>
      </c>
      <c r="C876" s="1">
        <v>52350334</v>
      </c>
      <c r="D876" s="1" t="s">
        <v>2480</v>
      </c>
      <c r="E876" s="1" t="s">
        <v>1549</v>
      </c>
      <c r="F876" s="1">
        <v>1</v>
      </c>
      <c r="G876" s="1"/>
      <c r="H876" s="1"/>
      <c r="I876" s="1"/>
      <c r="J876" s="1" t="str">
        <f t="shared" si="13"/>
        <v/>
      </c>
    </row>
    <row r="877" spans="1:10" ht="14.25" customHeight="1" x14ac:dyDescent="0.2">
      <c r="A877" s="1" t="s">
        <v>500</v>
      </c>
      <c r="B877" s="1" t="s">
        <v>86</v>
      </c>
      <c r="C877" s="1">
        <v>9975523</v>
      </c>
      <c r="D877" s="1" t="s">
        <v>2455</v>
      </c>
      <c r="E877" s="1" t="s">
        <v>1543</v>
      </c>
      <c r="F877" s="1">
        <v>1</v>
      </c>
      <c r="G877" s="1"/>
      <c r="H877" s="1"/>
      <c r="I877" s="1"/>
      <c r="J877" s="1" t="str">
        <f t="shared" si="13"/>
        <v/>
      </c>
    </row>
    <row r="878" spans="1:10" ht="14.25" customHeight="1" x14ac:dyDescent="0.2">
      <c r="A878" s="1" t="s">
        <v>8440</v>
      </c>
      <c r="B878" s="1" t="s">
        <v>47</v>
      </c>
      <c r="C878" s="1">
        <v>26673658</v>
      </c>
      <c r="D878" s="1" t="s">
        <v>2189</v>
      </c>
      <c r="E878" s="1" t="s">
        <v>295</v>
      </c>
      <c r="F878" s="1" t="s">
        <v>2062</v>
      </c>
      <c r="G878" s="1"/>
      <c r="H878" s="4" t="s">
        <v>8439</v>
      </c>
      <c r="I878" s="1"/>
      <c r="J878" s="1" t="str">
        <f t="shared" si="13"/>
        <v>纠后正确,utr略有变化</v>
      </c>
    </row>
    <row r="879" spans="1:10" ht="14.25" customHeight="1" x14ac:dyDescent="0.2">
      <c r="A879" s="1" t="s">
        <v>221</v>
      </c>
      <c r="B879" s="1" t="s">
        <v>43</v>
      </c>
      <c r="C879" s="1">
        <v>45809573</v>
      </c>
      <c r="D879" s="1" t="s">
        <v>3850</v>
      </c>
      <c r="E879" s="1" t="s">
        <v>297</v>
      </c>
      <c r="F879" s="1" t="s">
        <v>2062</v>
      </c>
      <c r="G879" s="1"/>
      <c r="H879" s="1" t="s">
        <v>8393</v>
      </c>
      <c r="I879" s="1"/>
      <c r="J879" s="1" t="str">
        <f t="shared" si="13"/>
        <v>纠后正确，utr略有变化，版本不一致</v>
      </c>
    </row>
    <row r="880" spans="1:10" ht="14.25" customHeight="1" x14ac:dyDescent="0.2">
      <c r="A880" s="1" t="s">
        <v>312</v>
      </c>
      <c r="B880" s="1" t="s">
        <v>139</v>
      </c>
      <c r="C880" s="1">
        <v>879582</v>
      </c>
      <c r="D880" s="1" t="s">
        <v>2297</v>
      </c>
      <c r="E880" s="1" t="s">
        <v>1459</v>
      </c>
      <c r="F880" s="1">
        <v>1</v>
      </c>
      <c r="G880" s="1"/>
      <c r="H880" s="1"/>
      <c r="I880" s="1"/>
      <c r="J880" s="1" t="str">
        <f t="shared" si="13"/>
        <v/>
      </c>
    </row>
    <row r="881" spans="1:10" ht="14.25" customHeight="1" x14ac:dyDescent="0.2">
      <c r="A881" s="1" t="s">
        <v>146</v>
      </c>
      <c r="B881" s="1" t="s">
        <v>47</v>
      </c>
      <c r="C881" s="1">
        <v>7465308</v>
      </c>
      <c r="D881" s="1" t="s">
        <v>2134</v>
      </c>
      <c r="E881" s="1" t="s">
        <v>145</v>
      </c>
      <c r="F881" s="1" t="s">
        <v>2062</v>
      </c>
      <c r="G881" s="1"/>
      <c r="H881" s="1" t="s">
        <v>3763</v>
      </c>
      <c r="I881" s="1"/>
      <c r="J881" s="1" t="str">
        <f t="shared" si="13"/>
        <v>纠后正确</v>
      </c>
    </row>
    <row r="882" spans="1:10" ht="14.25" customHeight="1" x14ac:dyDescent="0.2">
      <c r="A882" s="1" t="s">
        <v>477</v>
      </c>
      <c r="B882" s="1" t="s">
        <v>1</v>
      </c>
      <c r="C882" s="1">
        <v>220036618</v>
      </c>
      <c r="D882" s="1" t="s">
        <v>2435</v>
      </c>
      <c r="E882" s="1" t="s">
        <v>1534</v>
      </c>
      <c r="F882" s="1">
        <v>1</v>
      </c>
      <c r="G882" s="1"/>
      <c r="H882" s="1"/>
      <c r="I882" s="1"/>
      <c r="J882" s="1" t="str">
        <f t="shared" si="13"/>
        <v/>
      </c>
    </row>
    <row r="883" spans="1:10" ht="14.25" customHeight="1" x14ac:dyDescent="0.2">
      <c r="A883" s="1" t="s">
        <v>425</v>
      </c>
      <c r="B883" s="1" t="s">
        <v>1</v>
      </c>
      <c r="C883" s="1">
        <v>71057342</v>
      </c>
      <c r="D883" s="1" t="s">
        <v>2395</v>
      </c>
      <c r="E883" s="1" t="s">
        <v>1512</v>
      </c>
      <c r="F883" s="1">
        <v>1</v>
      </c>
      <c r="G883" s="1"/>
      <c r="H883" s="1"/>
      <c r="I883" s="1"/>
      <c r="J883" s="1" t="str">
        <f t="shared" si="13"/>
        <v/>
      </c>
    </row>
    <row r="884" spans="1:10" ht="14.25" customHeight="1" x14ac:dyDescent="0.2">
      <c r="A884" s="1" t="s">
        <v>390</v>
      </c>
      <c r="B884" s="1" t="s">
        <v>139</v>
      </c>
      <c r="C884" s="1">
        <v>154554532</v>
      </c>
      <c r="D884" s="1" t="s">
        <v>2366</v>
      </c>
      <c r="E884" s="1" t="s">
        <v>1490</v>
      </c>
      <c r="F884" s="1">
        <v>1</v>
      </c>
      <c r="G884" s="1"/>
      <c r="H884" s="1"/>
      <c r="I884" s="1"/>
      <c r="J884" s="1" t="str">
        <f t="shared" si="13"/>
        <v/>
      </c>
    </row>
    <row r="885" spans="1:10" ht="14.25" customHeight="1" x14ac:dyDescent="0.2">
      <c r="A885" s="1" t="s">
        <v>389</v>
      </c>
      <c r="B885" s="1" t="s">
        <v>139</v>
      </c>
      <c r="C885" s="1">
        <v>154554532</v>
      </c>
      <c r="D885" s="1" t="s">
        <v>2365</v>
      </c>
      <c r="E885" s="1" t="s">
        <v>1490</v>
      </c>
      <c r="F885" s="1">
        <v>1</v>
      </c>
      <c r="G885" s="1"/>
      <c r="H885" s="1"/>
      <c r="I885" s="1"/>
      <c r="J885" s="1" t="str">
        <f t="shared" si="13"/>
        <v/>
      </c>
    </row>
    <row r="886" spans="1:10" ht="14.25" customHeight="1" x14ac:dyDescent="0.2">
      <c r="A886" s="1" t="s">
        <v>325</v>
      </c>
      <c r="B886" s="1" t="s">
        <v>139</v>
      </c>
      <c r="C886" s="1">
        <v>15802595</v>
      </c>
      <c r="D886" s="1" t="s">
        <v>2305</v>
      </c>
      <c r="E886" s="1" t="s">
        <v>1463</v>
      </c>
      <c r="F886" s="1">
        <v>1</v>
      </c>
      <c r="G886" s="1"/>
      <c r="H886" s="1"/>
      <c r="I886" s="1"/>
      <c r="J886" s="1" t="str">
        <f t="shared" si="13"/>
        <v/>
      </c>
    </row>
    <row r="887" spans="1:10" ht="14.25" customHeight="1" x14ac:dyDescent="0.2">
      <c r="A887" s="1" t="s">
        <v>376</v>
      </c>
      <c r="B887" s="1" t="s">
        <v>139</v>
      </c>
      <c r="C887" s="1">
        <v>114356432</v>
      </c>
      <c r="D887" s="1" t="s">
        <v>2352</v>
      </c>
      <c r="E887" s="1" t="s">
        <v>1485</v>
      </c>
      <c r="F887" s="1">
        <v>1</v>
      </c>
      <c r="G887" s="1"/>
      <c r="H887" s="1"/>
      <c r="I887" s="1"/>
      <c r="J887" s="1" t="str">
        <f t="shared" si="13"/>
        <v/>
      </c>
    </row>
    <row r="888" spans="1:10" ht="14.25" customHeight="1" x14ac:dyDescent="0.2">
      <c r="A888" s="1" t="s">
        <v>961</v>
      </c>
      <c r="B888" s="1" t="s">
        <v>36</v>
      </c>
      <c r="C888" s="1">
        <v>67933185</v>
      </c>
      <c r="D888" s="1" t="s">
        <v>2854</v>
      </c>
      <c r="E888" s="1" t="s">
        <v>1757</v>
      </c>
      <c r="F888" s="1">
        <v>1</v>
      </c>
      <c r="G888" s="1"/>
      <c r="H888" s="1"/>
      <c r="I888" s="1"/>
      <c r="J888" s="1" t="str">
        <f t="shared" si="13"/>
        <v/>
      </c>
    </row>
    <row r="889" spans="1:10" ht="14.25" customHeight="1" x14ac:dyDescent="0.2">
      <c r="A889" s="1" t="s">
        <v>831</v>
      </c>
      <c r="B889" s="1" t="s">
        <v>33</v>
      </c>
      <c r="C889" s="1">
        <v>131084790</v>
      </c>
      <c r="D889" s="1" t="s">
        <v>2739</v>
      </c>
      <c r="E889" s="1" t="s">
        <v>1703</v>
      </c>
      <c r="F889" s="1">
        <v>1</v>
      </c>
      <c r="G889" s="1"/>
      <c r="H889" s="1"/>
      <c r="I889" s="1"/>
      <c r="J889" s="1" t="str">
        <f t="shared" si="13"/>
        <v/>
      </c>
    </row>
    <row r="890" spans="1:10" ht="14.25" customHeight="1" x14ac:dyDescent="0.2">
      <c r="A890" s="1" t="s">
        <v>330</v>
      </c>
      <c r="B890" s="1" t="s">
        <v>139</v>
      </c>
      <c r="C890" s="1">
        <v>25598980</v>
      </c>
      <c r="D890" s="1" t="s">
        <v>2309</v>
      </c>
      <c r="E890" s="1" t="s">
        <v>1466</v>
      </c>
      <c r="F890" s="1">
        <v>1</v>
      </c>
      <c r="G890" s="1"/>
      <c r="H890" s="1"/>
      <c r="I890" s="1"/>
      <c r="J890" s="1" t="str">
        <f t="shared" si="13"/>
        <v/>
      </c>
    </row>
    <row r="891" spans="1:10" ht="14.25" customHeight="1" x14ac:dyDescent="0.2">
      <c r="A891" s="1" t="s">
        <v>1088</v>
      </c>
      <c r="B891" s="1" t="s">
        <v>113</v>
      </c>
      <c r="C891" s="1">
        <v>48431628</v>
      </c>
      <c r="D891" s="1" t="s">
        <v>3261</v>
      </c>
      <c r="E891" s="1" t="s">
        <v>1996</v>
      </c>
      <c r="F891" s="1">
        <v>2</v>
      </c>
      <c r="G891" s="1"/>
      <c r="H891" s="1"/>
      <c r="I891" s="1"/>
      <c r="J891" s="1" t="str">
        <f t="shared" si="13"/>
        <v/>
      </c>
    </row>
    <row r="892" spans="1:10" ht="14.25" customHeight="1" x14ac:dyDescent="0.2">
      <c r="A892" s="1" t="s">
        <v>8775</v>
      </c>
      <c r="B892" s="1" t="s">
        <v>139</v>
      </c>
      <c r="C892" s="1">
        <v>151739130</v>
      </c>
      <c r="D892" s="1" t="s">
        <v>3309</v>
      </c>
      <c r="E892" s="1" t="s">
        <v>2020</v>
      </c>
      <c r="F892" s="1" t="s">
        <v>2062</v>
      </c>
      <c r="G892" s="1"/>
      <c r="H892" s="1"/>
      <c r="I892" s="1"/>
      <c r="J892" s="1" t="str">
        <f t="shared" si="13"/>
        <v/>
      </c>
    </row>
    <row r="893" spans="1:10" ht="14.25" customHeight="1" x14ac:dyDescent="0.2">
      <c r="A893" s="1" t="s">
        <v>635</v>
      </c>
      <c r="B893" s="1" t="s">
        <v>186</v>
      </c>
      <c r="C893" s="1">
        <v>33944720</v>
      </c>
      <c r="D893" s="1" t="s">
        <v>2575</v>
      </c>
      <c r="E893" s="1" t="s">
        <v>1603</v>
      </c>
      <c r="F893" s="1">
        <v>1</v>
      </c>
      <c r="G893" s="1"/>
      <c r="H893" s="1"/>
      <c r="I893" s="1"/>
      <c r="J893" s="1" t="str">
        <f t="shared" si="13"/>
        <v/>
      </c>
    </row>
    <row r="894" spans="1:10" ht="14.25" customHeight="1" x14ac:dyDescent="0.2">
      <c r="A894" s="1" t="s">
        <v>415</v>
      </c>
      <c r="B894" s="1" t="s">
        <v>1</v>
      </c>
      <c r="C894" s="1">
        <v>32582095</v>
      </c>
      <c r="D894" s="1" t="s">
        <v>2387</v>
      </c>
      <c r="E894" s="1" t="s">
        <v>1508</v>
      </c>
      <c r="F894" s="1">
        <v>1</v>
      </c>
      <c r="G894" s="1"/>
      <c r="H894" s="1"/>
      <c r="I894" s="1"/>
      <c r="J894" s="1" t="str">
        <f t="shared" si="13"/>
        <v/>
      </c>
    </row>
    <row r="895" spans="1:10" ht="14.25" customHeight="1" x14ac:dyDescent="0.2">
      <c r="A895" s="1" t="s">
        <v>222</v>
      </c>
      <c r="B895" s="1" t="s">
        <v>50</v>
      </c>
      <c r="C895" s="1">
        <v>58694395</v>
      </c>
      <c r="D895" s="1" t="s">
        <v>3851</v>
      </c>
      <c r="E895" s="1" t="s">
        <v>310</v>
      </c>
      <c r="F895" s="1" t="s">
        <v>2062</v>
      </c>
      <c r="G895" s="1"/>
      <c r="H895" s="1" t="s">
        <v>8393</v>
      </c>
      <c r="I895" s="1"/>
      <c r="J895" s="1" t="str">
        <f t="shared" si="13"/>
        <v>纠后正确，utr略有变化，版本不一致</v>
      </c>
    </row>
    <row r="896" spans="1:10" ht="14.25" customHeight="1" x14ac:dyDescent="0.2">
      <c r="A896" s="1" t="s">
        <v>223</v>
      </c>
      <c r="B896" s="1" t="s">
        <v>50</v>
      </c>
      <c r="C896" s="1">
        <v>58694395</v>
      </c>
      <c r="D896" s="1" t="s">
        <v>2209</v>
      </c>
      <c r="E896" s="1" t="s">
        <v>310</v>
      </c>
      <c r="F896" s="1" t="s">
        <v>2062</v>
      </c>
      <c r="G896" s="1"/>
      <c r="H896" s="1" t="s">
        <v>8393</v>
      </c>
      <c r="I896" s="1"/>
      <c r="J896" s="1" t="str">
        <f t="shared" si="13"/>
        <v>纠后正确，utr略有变化，版本不一致</v>
      </c>
    </row>
    <row r="897" spans="1:10" ht="14.25" customHeight="1" x14ac:dyDescent="0.2">
      <c r="A897" s="1" t="s">
        <v>1332</v>
      </c>
      <c r="B897" s="1" t="s">
        <v>43</v>
      </c>
      <c r="C897" s="1">
        <v>18900286</v>
      </c>
      <c r="D897" s="1" t="s">
        <v>3282</v>
      </c>
      <c r="E897" s="1" t="s">
        <v>2010</v>
      </c>
      <c r="F897" s="1">
        <v>2</v>
      </c>
      <c r="G897" s="1"/>
      <c r="H897" s="1"/>
      <c r="I897" s="1"/>
      <c r="J897" s="1" t="str">
        <f t="shared" si="13"/>
        <v/>
      </c>
    </row>
    <row r="898" spans="1:10" ht="14.25" customHeight="1" x14ac:dyDescent="0.2">
      <c r="A898" s="1" t="s">
        <v>224</v>
      </c>
      <c r="B898" s="1" t="s">
        <v>113</v>
      </c>
      <c r="C898" s="1">
        <v>72102893</v>
      </c>
      <c r="D898" s="1" t="s">
        <v>3852</v>
      </c>
      <c r="E898" s="1" t="s">
        <v>291</v>
      </c>
      <c r="F898" s="1" t="s">
        <v>2062</v>
      </c>
      <c r="G898" s="1"/>
      <c r="H898" s="1" t="s">
        <v>8393</v>
      </c>
      <c r="I898" s="1"/>
      <c r="J898" s="1" t="str">
        <f t="shared" si="13"/>
        <v>纠后正确，utr略有变化，版本不一致</v>
      </c>
    </row>
    <row r="899" spans="1:10" ht="14.25" customHeight="1" x14ac:dyDescent="0.2">
      <c r="A899" s="1" t="s">
        <v>427</v>
      </c>
      <c r="B899" s="1" t="s">
        <v>1</v>
      </c>
      <c r="C899" s="1">
        <v>73927635</v>
      </c>
      <c r="D899" s="1" t="s">
        <v>3216</v>
      </c>
      <c r="E899" s="1" t="s">
        <v>1974</v>
      </c>
      <c r="F899" s="1">
        <v>2</v>
      </c>
      <c r="G899" s="1"/>
      <c r="H899" s="1"/>
      <c r="I899" s="1"/>
      <c r="J899" s="1" t="str">
        <f t="shared" ref="J899:J962" si="14">IF(H899="",IF(I899="","",I899),H899)</f>
        <v/>
      </c>
    </row>
    <row r="900" spans="1:10" ht="14.25" customHeight="1" x14ac:dyDescent="0.2">
      <c r="A900" s="1" t="s">
        <v>1282</v>
      </c>
      <c r="B900" s="1" t="s">
        <v>50</v>
      </c>
      <c r="C900" s="1">
        <v>55525072</v>
      </c>
      <c r="D900" s="1" t="s">
        <v>3279</v>
      </c>
      <c r="E900" s="1" t="s">
        <v>1921</v>
      </c>
      <c r="F900" s="1">
        <v>2</v>
      </c>
      <c r="G900" s="1"/>
      <c r="H900" s="1"/>
      <c r="I900" s="1"/>
      <c r="J900" s="1" t="str">
        <f t="shared" si="14"/>
        <v/>
      </c>
    </row>
    <row r="901" spans="1:10" ht="14.25" customHeight="1" x14ac:dyDescent="0.2">
      <c r="A901" s="1" t="s">
        <v>64</v>
      </c>
      <c r="B901" s="1" t="s">
        <v>36</v>
      </c>
      <c r="C901" s="1">
        <v>94695786</v>
      </c>
      <c r="D901" s="1" t="s">
        <v>2089</v>
      </c>
      <c r="E901" s="1" t="s">
        <v>63</v>
      </c>
      <c r="F901" s="1" t="s">
        <v>2062</v>
      </c>
      <c r="G901" s="1"/>
      <c r="H901" s="1" t="s">
        <v>3763</v>
      </c>
      <c r="I901" s="1"/>
      <c r="J901" s="1" t="str">
        <f t="shared" si="14"/>
        <v>纠后正确</v>
      </c>
    </row>
    <row r="902" spans="1:10" ht="14.25" customHeight="1" x14ac:dyDescent="0.2">
      <c r="A902" s="1" t="s">
        <v>1357</v>
      </c>
      <c r="B902" s="1" t="s">
        <v>43</v>
      </c>
      <c r="C902" s="1">
        <v>46692637</v>
      </c>
      <c r="D902" s="1" t="s">
        <v>3174</v>
      </c>
      <c r="E902" s="1" t="s">
        <v>1955</v>
      </c>
      <c r="F902" s="1">
        <v>1</v>
      </c>
      <c r="G902" s="1"/>
      <c r="H902" s="1"/>
      <c r="I902" s="1"/>
      <c r="J902" s="1" t="str">
        <f t="shared" si="14"/>
        <v/>
      </c>
    </row>
    <row r="903" spans="1:10" ht="14.25" customHeight="1" x14ac:dyDescent="0.2">
      <c r="A903" s="1" t="s">
        <v>1185</v>
      </c>
      <c r="B903" s="1" t="s">
        <v>47</v>
      </c>
      <c r="C903" s="1">
        <v>47287588</v>
      </c>
      <c r="D903" s="1" t="s">
        <v>3038</v>
      </c>
      <c r="E903" s="1" t="s">
        <v>1876</v>
      </c>
      <c r="F903" s="1">
        <v>1</v>
      </c>
      <c r="G903" s="1"/>
      <c r="H903" s="1"/>
      <c r="I903" s="1"/>
      <c r="J903" s="1" t="str">
        <f t="shared" si="14"/>
        <v/>
      </c>
    </row>
    <row r="904" spans="1:10" ht="14.25" customHeight="1" x14ac:dyDescent="0.2">
      <c r="A904" s="1" t="s">
        <v>62</v>
      </c>
      <c r="B904" s="1" t="s">
        <v>47</v>
      </c>
      <c r="C904" s="1">
        <v>46103532</v>
      </c>
      <c r="D904" s="1" t="s">
        <v>2088</v>
      </c>
      <c r="E904" s="1" t="s">
        <v>61</v>
      </c>
      <c r="F904" s="1" t="s">
        <v>2062</v>
      </c>
      <c r="G904" s="1"/>
      <c r="H904" s="1" t="s">
        <v>8394</v>
      </c>
      <c r="I904" s="1"/>
      <c r="J904" s="1" t="str">
        <f t="shared" si="14"/>
        <v>纠后正确</v>
      </c>
    </row>
    <row r="905" spans="1:10" ht="14.25" customHeight="1" x14ac:dyDescent="0.2">
      <c r="A905" s="1" t="s">
        <v>1359</v>
      </c>
      <c r="B905" s="1" t="s">
        <v>43</v>
      </c>
      <c r="C905" s="1">
        <v>51041561</v>
      </c>
      <c r="D905" s="1" t="s">
        <v>3392</v>
      </c>
      <c r="E905" s="1" t="s">
        <v>286</v>
      </c>
      <c r="F905" s="1" t="s">
        <v>2062</v>
      </c>
      <c r="G905" s="1"/>
      <c r="H905" s="1" t="s">
        <v>3763</v>
      </c>
      <c r="I905" s="1"/>
      <c r="J905" s="1" t="str">
        <f t="shared" si="14"/>
        <v>纠后正确</v>
      </c>
    </row>
    <row r="906" spans="1:10" ht="14.25" customHeight="1" x14ac:dyDescent="0.2">
      <c r="A906" s="1" t="s">
        <v>1268</v>
      </c>
      <c r="B906" s="1" t="s">
        <v>50</v>
      </c>
      <c r="C906" s="1">
        <v>47177572</v>
      </c>
      <c r="D906" s="1" t="s">
        <v>3101</v>
      </c>
      <c r="E906" s="1" t="s">
        <v>1915</v>
      </c>
      <c r="F906" s="1">
        <v>1</v>
      </c>
      <c r="G906" s="1"/>
      <c r="H906" s="1"/>
      <c r="I906" s="1"/>
      <c r="J906" s="1" t="str">
        <f t="shared" si="14"/>
        <v/>
      </c>
    </row>
    <row r="907" spans="1:10" ht="14.25" customHeight="1" x14ac:dyDescent="0.2">
      <c r="A907" s="1" t="s">
        <v>1008</v>
      </c>
      <c r="B907" s="1" t="s">
        <v>212</v>
      </c>
      <c r="C907" s="1">
        <v>9980076</v>
      </c>
      <c r="D907" s="1" t="s">
        <v>2270</v>
      </c>
      <c r="E907" s="1" t="s">
        <v>1442</v>
      </c>
      <c r="F907" s="1" t="s">
        <v>3406</v>
      </c>
      <c r="G907" s="1"/>
      <c r="H907" s="1" t="s">
        <v>3829</v>
      </c>
      <c r="I907" s="1"/>
      <c r="J907" s="1" t="str">
        <f t="shared" si="14"/>
        <v>纠后正确，少1个氨基酸chr12:9994450-9997125</v>
      </c>
    </row>
    <row r="908" spans="1:10" ht="14.25" customHeight="1" x14ac:dyDescent="0.2">
      <c r="A908" s="1" t="s">
        <v>657</v>
      </c>
      <c r="B908" s="1" t="s">
        <v>186</v>
      </c>
      <c r="C908" s="1">
        <v>137688284</v>
      </c>
      <c r="D908" s="1" t="s">
        <v>2595</v>
      </c>
      <c r="E908" s="1" t="s">
        <v>1619</v>
      </c>
      <c r="F908" s="1">
        <v>1</v>
      </c>
      <c r="G908" s="1"/>
      <c r="H908" s="1"/>
      <c r="I908" s="1"/>
      <c r="J908" s="1" t="str">
        <f t="shared" si="14"/>
        <v/>
      </c>
    </row>
    <row r="909" spans="1:10" ht="14.25" customHeight="1" x14ac:dyDescent="0.2">
      <c r="A909" s="1" t="s">
        <v>970</v>
      </c>
      <c r="B909" s="1" t="s">
        <v>36</v>
      </c>
      <c r="C909" s="1">
        <v>89057520</v>
      </c>
      <c r="D909" s="1" t="s">
        <v>2861</v>
      </c>
      <c r="E909" s="1" t="s">
        <v>1760</v>
      </c>
      <c r="F909" s="1">
        <v>1</v>
      </c>
      <c r="G909" s="1"/>
      <c r="H909" s="1"/>
      <c r="I909" s="1"/>
      <c r="J909" s="1" t="str">
        <f t="shared" si="14"/>
        <v/>
      </c>
    </row>
    <row r="910" spans="1:10" ht="14.25" customHeight="1" x14ac:dyDescent="0.2">
      <c r="A910" s="1" t="s">
        <v>1313</v>
      </c>
      <c r="B910" s="1" t="s">
        <v>241</v>
      </c>
      <c r="C910" s="1">
        <v>26957967</v>
      </c>
      <c r="D910" s="1" t="s">
        <v>3139</v>
      </c>
      <c r="E910" s="1" t="s">
        <v>1938</v>
      </c>
      <c r="F910" s="1">
        <v>1</v>
      </c>
      <c r="G910" s="1"/>
      <c r="H910" s="1"/>
      <c r="I910" s="1"/>
      <c r="J910" s="1" t="str">
        <f t="shared" si="14"/>
        <v/>
      </c>
    </row>
    <row r="911" spans="1:10" ht="14.25" customHeight="1" x14ac:dyDescent="0.2">
      <c r="A911" s="1" t="s">
        <v>110</v>
      </c>
      <c r="B911" s="1" t="s">
        <v>103</v>
      </c>
      <c r="C911" s="1">
        <v>145106166</v>
      </c>
      <c r="D911" s="1" t="s">
        <v>2112</v>
      </c>
      <c r="E911" s="1" t="s">
        <v>109</v>
      </c>
      <c r="F911" s="1" t="s">
        <v>2062</v>
      </c>
      <c r="G911" s="1"/>
      <c r="H911" s="1" t="s">
        <v>3763</v>
      </c>
      <c r="I911" s="1"/>
      <c r="J911" s="1" t="str">
        <f t="shared" si="14"/>
        <v>纠后正确</v>
      </c>
    </row>
    <row r="912" spans="1:10" ht="14.25" customHeight="1" x14ac:dyDescent="0.2">
      <c r="A912" s="1" t="s">
        <v>960</v>
      </c>
      <c r="B912" s="1" t="s">
        <v>36</v>
      </c>
      <c r="C912" s="1">
        <v>67923506</v>
      </c>
      <c r="D912" s="1" t="s">
        <v>2853</v>
      </c>
      <c r="E912" s="1" t="s">
        <v>1757</v>
      </c>
      <c r="F912" s="1">
        <v>1</v>
      </c>
      <c r="G912" s="1"/>
      <c r="H912" s="1"/>
      <c r="I912" s="1"/>
      <c r="J912" s="1" t="str">
        <f t="shared" si="14"/>
        <v/>
      </c>
    </row>
    <row r="913" spans="1:10" ht="14.25" customHeight="1" x14ac:dyDescent="0.2">
      <c r="A913" s="1" t="s">
        <v>823</v>
      </c>
      <c r="B913" s="1" t="s">
        <v>33</v>
      </c>
      <c r="C913" s="1">
        <v>95218486</v>
      </c>
      <c r="D913" s="1" t="s">
        <v>2260</v>
      </c>
      <c r="E913" s="1" t="s">
        <v>1435</v>
      </c>
      <c r="F913" s="1" t="s">
        <v>3406</v>
      </c>
      <c r="G913" s="1"/>
      <c r="H913" s="1" t="s">
        <v>3819</v>
      </c>
      <c r="I913" s="1"/>
      <c r="J913" s="1" t="str">
        <f t="shared" si="14"/>
        <v>纠后正确，少1个氨基酸chr9：95227244-95237086</v>
      </c>
    </row>
    <row r="914" spans="1:10" ht="14.25" customHeight="1" x14ac:dyDescent="0.2">
      <c r="A914" s="1" t="s">
        <v>660</v>
      </c>
      <c r="B914" s="1" t="s">
        <v>186</v>
      </c>
      <c r="C914" s="1">
        <v>140044383</v>
      </c>
      <c r="D914" s="1" t="s">
        <v>2598</v>
      </c>
      <c r="E914" s="1" t="s">
        <v>1621</v>
      </c>
      <c r="F914" s="1">
        <v>1</v>
      </c>
      <c r="G914" s="1"/>
      <c r="H914" s="1"/>
      <c r="I914" s="1"/>
      <c r="J914" s="1" t="str">
        <f t="shared" si="14"/>
        <v/>
      </c>
    </row>
    <row r="915" spans="1:10" ht="14.25" customHeight="1" x14ac:dyDescent="0.2">
      <c r="A915" s="1" t="s">
        <v>344</v>
      </c>
      <c r="B915" s="1" t="s">
        <v>139</v>
      </c>
      <c r="C915" s="1">
        <v>46654352</v>
      </c>
      <c r="D915" s="1" t="s">
        <v>2320</v>
      </c>
      <c r="E915" s="1" t="s">
        <v>1472</v>
      </c>
      <c r="F915" s="1">
        <v>1</v>
      </c>
      <c r="G915" s="1"/>
      <c r="H915" s="1"/>
      <c r="I915" s="1"/>
      <c r="J915" s="1" t="str">
        <f t="shared" si="14"/>
        <v/>
      </c>
    </row>
    <row r="916" spans="1:10" ht="14.25" customHeight="1" x14ac:dyDescent="0.2">
      <c r="A916" s="1" t="s">
        <v>809</v>
      </c>
      <c r="B916" s="1" t="s">
        <v>103</v>
      </c>
      <c r="C916" s="1">
        <v>145637797</v>
      </c>
      <c r="D916" s="1" t="s">
        <v>2722</v>
      </c>
      <c r="E916" s="1" t="s">
        <v>1694</v>
      </c>
      <c r="F916" s="1">
        <v>1</v>
      </c>
      <c r="G916" s="1"/>
      <c r="H916" s="1"/>
      <c r="I916" s="1"/>
      <c r="J916" s="1" t="str">
        <f t="shared" si="14"/>
        <v/>
      </c>
    </row>
    <row r="917" spans="1:10" ht="14.25" customHeight="1" x14ac:dyDescent="0.2">
      <c r="A917" s="1" t="s">
        <v>845</v>
      </c>
      <c r="B917" s="1" t="s">
        <v>93</v>
      </c>
      <c r="C917" s="1">
        <v>5726800</v>
      </c>
      <c r="D917" s="1" t="s">
        <v>2753</v>
      </c>
      <c r="E917" s="1" t="s">
        <v>1712</v>
      </c>
      <c r="F917" s="1">
        <v>1</v>
      </c>
      <c r="G917" s="1"/>
      <c r="H917" s="1"/>
      <c r="I917" s="1"/>
      <c r="J917" s="1" t="str">
        <f t="shared" si="14"/>
        <v/>
      </c>
    </row>
    <row r="918" spans="1:10" ht="14.25" customHeight="1" x14ac:dyDescent="0.2">
      <c r="A918" s="1" t="s">
        <v>580</v>
      </c>
      <c r="B918" s="1" t="s">
        <v>569</v>
      </c>
      <c r="C918" s="1">
        <v>4269427</v>
      </c>
      <c r="D918" s="1" t="s">
        <v>2523</v>
      </c>
      <c r="E918" s="1" t="s">
        <v>1573</v>
      </c>
      <c r="F918" s="1">
        <v>1</v>
      </c>
      <c r="G918" s="1"/>
      <c r="H918" s="1"/>
      <c r="I918" s="1"/>
      <c r="J918" s="1" t="str">
        <f t="shared" si="14"/>
        <v/>
      </c>
    </row>
    <row r="919" spans="1:10" ht="14.25" customHeight="1" x14ac:dyDescent="0.2">
      <c r="A919" s="1" t="s">
        <v>552</v>
      </c>
      <c r="B919" s="1" t="s">
        <v>86</v>
      </c>
      <c r="C919" s="1">
        <v>125725199</v>
      </c>
      <c r="D919" s="1" t="s">
        <v>2500</v>
      </c>
      <c r="E919" s="1" t="s">
        <v>1561</v>
      </c>
      <c r="F919" s="1">
        <v>1</v>
      </c>
      <c r="G919" s="1"/>
      <c r="H919" s="1"/>
      <c r="I919" s="1"/>
      <c r="J919" s="1" t="str">
        <f t="shared" si="14"/>
        <v/>
      </c>
    </row>
    <row r="920" spans="1:10" ht="14.25" customHeight="1" x14ac:dyDescent="0.2">
      <c r="A920" s="1" t="s">
        <v>1093</v>
      </c>
      <c r="B920" s="1" t="s">
        <v>113</v>
      </c>
      <c r="C920" s="1">
        <v>66629007</v>
      </c>
      <c r="D920" s="1" t="s">
        <v>2962</v>
      </c>
      <c r="E920" s="1" t="s">
        <v>1827</v>
      </c>
      <c r="F920" s="1">
        <v>1</v>
      </c>
      <c r="G920" s="1"/>
      <c r="H920" s="1"/>
      <c r="I920" s="1"/>
      <c r="J920" s="1" t="str">
        <f t="shared" si="14"/>
        <v/>
      </c>
    </row>
    <row r="921" spans="1:10" ht="14.25" customHeight="1" x14ac:dyDescent="0.2">
      <c r="A921" s="1" t="s">
        <v>567</v>
      </c>
      <c r="B921" s="1" t="s">
        <v>86</v>
      </c>
      <c r="C921" s="1">
        <v>196439244</v>
      </c>
      <c r="D921" s="1" t="s">
        <v>2514</v>
      </c>
      <c r="E921" s="1" t="s">
        <v>1569</v>
      </c>
      <c r="F921" s="1">
        <v>1</v>
      </c>
      <c r="G921" s="1"/>
      <c r="H921" s="1"/>
      <c r="I921" s="1"/>
      <c r="J921" s="1" t="str">
        <f t="shared" si="14"/>
        <v/>
      </c>
    </row>
    <row r="922" spans="1:10" ht="14.25" customHeight="1" x14ac:dyDescent="0.2">
      <c r="A922" s="1" t="s">
        <v>1381</v>
      </c>
      <c r="B922" s="1" t="s">
        <v>73</v>
      </c>
      <c r="C922" s="1">
        <v>48455879</v>
      </c>
      <c r="D922" s="1" t="s">
        <v>3187</v>
      </c>
      <c r="E922" s="1" t="s">
        <v>1960</v>
      </c>
      <c r="F922" s="1">
        <v>1</v>
      </c>
      <c r="G922" s="1"/>
      <c r="H922" s="1"/>
      <c r="I922" s="1"/>
      <c r="J922" s="1" t="str">
        <f t="shared" si="14"/>
        <v/>
      </c>
    </row>
    <row r="923" spans="1:10" ht="14.25" customHeight="1" x14ac:dyDescent="0.2">
      <c r="A923" s="1" t="s">
        <v>1356</v>
      </c>
      <c r="B923" s="1" t="s">
        <v>43</v>
      </c>
      <c r="C923" s="1">
        <v>46663860</v>
      </c>
      <c r="D923" s="1" t="s">
        <v>3173</v>
      </c>
      <c r="E923" s="1" t="s">
        <v>1954</v>
      </c>
      <c r="F923" s="1">
        <v>1</v>
      </c>
      <c r="G923" s="1"/>
      <c r="H923" s="1"/>
      <c r="I923" s="1"/>
      <c r="J923" s="1" t="str">
        <f t="shared" si="14"/>
        <v/>
      </c>
    </row>
    <row r="924" spans="1:10" ht="14.25" customHeight="1" x14ac:dyDescent="0.2">
      <c r="A924" s="1" t="s">
        <v>690</v>
      </c>
      <c r="B924" s="1" t="s">
        <v>175</v>
      </c>
      <c r="C924" s="1">
        <v>79644135</v>
      </c>
      <c r="D924" s="1" t="s">
        <v>2626</v>
      </c>
      <c r="E924" s="1" t="s">
        <v>1638</v>
      </c>
      <c r="F924" s="1">
        <v>1</v>
      </c>
      <c r="G924" s="1"/>
      <c r="H924" s="1"/>
      <c r="I924" s="1"/>
      <c r="J924" s="1" t="str">
        <f t="shared" si="14"/>
        <v/>
      </c>
    </row>
    <row r="925" spans="1:10" ht="14.25" customHeight="1" x14ac:dyDescent="0.2">
      <c r="A925" s="1" t="s">
        <v>608</v>
      </c>
      <c r="B925" s="1" t="s">
        <v>569</v>
      </c>
      <c r="C925" s="1">
        <v>102711763</v>
      </c>
      <c r="D925" s="1" t="s">
        <v>2550</v>
      </c>
      <c r="E925" s="1" t="s">
        <v>1588</v>
      </c>
      <c r="F925" s="1">
        <v>1</v>
      </c>
      <c r="G925" s="1"/>
      <c r="H925" s="1"/>
      <c r="I925" s="1"/>
      <c r="J925" s="1" t="str">
        <f t="shared" si="14"/>
        <v/>
      </c>
    </row>
    <row r="926" spans="1:10" ht="14.25" customHeight="1" x14ac:dyDescent="0.2">
      <c r="A926" s="1" t="s">
        <v>3884</v>
      </c>
      <c r="B926" s="1" t="s">
        <v>139</v>
      </c>
      <c r="C926" s="1">
        <v>16890411</v>
      </c>
      <c r="D926" s="1" t="s">
        <v>2225</v>
      </c>
      <c r="E926" s="1" t="s">
        <v>1413</v>
      </c>
      <c r="F926" s="1" t="s">
        <v>3406</v>
      </c>
      <c r="G926" s="1"/>
      <c r="H926" s="1"/>
      <c r="I926" s="1" t="s">
        <v>8805</v>
      </c>
      <c r="J926" s="1" t="str">
        <f t="shared" si="14"/>
        <v>纠后增加92个氨基酸（版本不一致，区间略有变化）,rs号无信息chr1:16890439-16892303</v>
      </c>
    </row>
    <row r="927" spans="1:10" ht="14.25" customHeight="1" x14ac:dyDescent="0.2">
      <c r="A927" s="1" t="s">
        <v>1195</v>
      </c>
      <c r="B927" s="1" t="s">
        <v>47</v>
      </c>
      <c r="C927" s="1">
        <v>71228775</v>
      </c>
      <c r="D927" s="1" t="s">
        <v>3046</v>
      </c>
      <c r="E927" s="1" t="s">
        <v>1883</v>
      </c>
      <c r="F927" s="1">
        <v>1</v>
      </c>
      <c r="G927" s="1"/>
      <c r="H927" s="1"/>
      <c r="I927" s="1"/>
      <c r="J927" s="1" t="str">
        <f t="shared" si="14"/>
        <v/>
      </c>
    </row>
    <row r="928" spans="1:10" ht="14.25" customHeight="1" x14ac:dyDescent="0.2">
      <c r="A928" s="1" t="s">
        <v>1083</v>
      </c>
      <c r="B928" s="1" t="s">
        <v>81</v>
      </c>
      <c r="C928" s="1">
        <v>96747594</v>
      </c>
      <c r="D928" s="1" t="s">
        <v>2949</v>
      </c>
      <c r="E928" s="1" t="s">
        <v>1817</v>
      </c>
      <c r="F928" s="1">
        <v>1</v>
      </c>
      <c r="G928" s="1"/>
      <c r="H928" s="1"/>
      <c r="I928" s="1"/>
      <c r="J928" s="1" t="str">
        <f t="shared" si="14"/>
        <v/>
      </c>
    </row>
    <row r="929" spans="1:10" ht="14.25" customHeight="1" x14ac:dyDescent="0.2">
      <c r="A929" s="1" t="s">
        <v>327</v>
      </c>
      <c r="B929" s="1" t="s">
        <v>139</v>
      </c>
      <c r="C929" s="1">
        <v>17866329</v>
      </c>
      <c r="D929" s="1" t="s">
        <v>2306</v>
      </c>
      <c r="E929" s="1" t="s">
        <v>1464</v>
      </c>
      <c r="F929" s="1">
        <v>1</v>
      </c>
      <c r="G929" s="1"/>
      <c r="H929" s="1"/>
      <c r="I929" s="1"/>
      <c r="J929" s="1" t="str">
        <f t="shared" si="14"/>
        <v/>
      </c>
    </row>
    <row r="930" spans="1:10" ht="14.25" customHeight="1" x14ac:dyDescent="0.2">
      <c r="A930" s="1" t="s">
        <v>875</v>
      </c>
      <c r="B930" s="1" t="s">
        <v>93</v>
      </c>
      <c r="C930" s="1">
        <v>95256388</v>
      </c>
      <c r="D930" s="1" t="s">
        <v>2780</v>
      </c>
      <c r="E930" s="1" t="s">
        <v>1723</v>
      </c>
      <c r="F930" s="1">
        <v>1</v>
      </c>
      <c r="G930" s="1"/>
      <c r="H930" s="1"/>
      <c r="I930" s="1"/>
      <c r="J930" s="1" t="str">
        <f t="shared" si="14"/>
        <v/>
      </c>
    </row>
    <row r="931" spans="1:10" ht="14.25" customHeight="1" x14ac:dyDescent="0.2">
      <c r="A931" s="1" t="s">
        <v>1024</v>
      </c>
      <c r="B931" s="1" t="s">
        <v>212</v>
      </c>
      <c r="C931" s="1">
        <v>32112352</v>
      </c>
      <c r="D931" s="1" t="s">
        <v>2901</v>
      </c>
      <c r="E931" s="1" t="s">
        <v>1781</v>
      </c>
      <c r="F931" s="1">
        <v>1</v>
      </c>
      <c r="G931" s="1"/>
      <c r="H931" s="1"/>
      <c r="I931" s="1"/>
      <c r="J931" s="1" t="str">
        <f t="shared" si="14"/>
        <v/>
      </c>
    </row>
    <row r="932" spans="1:10" ht="14.25" customHeight="1" x14ac:dyDescent="0.2">
      <c r="A932" s="1" t="s">
        <v>633</v>
      </c>
      <c r="B932" s="1" t="s">
        <v>569</v>
      </c>
      <c r="C932" s="1">
        <v>178230990</v>
      </c>
      <c r="D932" s="1" t="s">
        <v>2573</v>
      </c>
      <c r="E932" s="1" t="s">
        <v>1601</v>
      </c>
      <c r="F932" s="1">
        <v>1</v>
      </c>
      <c r="G932" s="1"/>
      <c r="H932" s="1"/>
      <c r="I932" s="1"/>
      <c r="J932" s="1" t="str">
        <f t="shared" si="14"/>
        <v/>
      </c>
    </row>
    <row r="933" spans="1:10" ht="14.25" customHeight="1" x14ac:dyDescent="0.2">
      <c r="A933" s="1" t="s">
        <v>1019</v>
      </c>
      <c r="B933" s="1" t="s">
        <v>212</v>
      </c>
      <c r="C933" s="1">
        <v>25261222</v>
      </c>
      <c r="D933" s="1" t="s">
        <v>2896</v>
      </c>
      <c r="E933" s="1" t="s">
        <v>1779</v>
      </c>
      <c r="F933" s="1">
        <v>1</v>
      </c>
      <c r="G933" s="1"/>
      <c r="H933" s="1"/>
      <c r="I933" s="1"/>
      <c r="J933" s="1" t="str">
        <f t="shared" si="14"/>
        <v/>
      </c>
    </row>
    <row r="934" spans="1:10" ht="14.25" customHeight="1" x14ac:dyDescent="0.2">
      <c r="A934" s="1" t="s">
        <v>3701</v>
      </c>
      <c r="B934" s="1" t="s">
        <v>40</v>
      </c>
      <c r="C934" s="1">
        <v>134832765</v>
      </c>
      <c r="D934" s="1" t="s">
        <v>2680</v>
      </c>
      <c r="E934" s="1" t="s">
        <v>1668</v>
      </c>
      <c r="F934" s="1">
        <v>1</v>
      </c>
      <c r="G934" s="1"/>
      <c r="H934" s="1"/>
      <c r="I934" s="1"/>
      <c r="J934" s="1" t="str">
        <f t="shared" si="14"/>
        <v/>
      </c>
    </row>
    <row r="935" spans="1:10" ht="14.25" customHeight="1" x14ac:dyDescent="0.2">
      <c r="A935" s="1" t="s">
        <v>384</v>
      </c>
      <c r="B935" s="1" t="s">
        <v>139</v>
      </c>
      <c r="C935" s="1">
        <v>150969300</v>
      </c>
      <c r="D935" s="1" t="s">
        <v>2360</v>
      </c>
      <c r="E935" s="1" t="s">
        <v>1488</v>
      </c>
      <c r="F935" s="1">
        <v>1</v>
      </c>
      <c r="G935" s="1"/>
      <c r="H935" s="1"/>
      <c r="I935" s="1"/>
      <c r="J935" s="1" t="str">
        <f t="shared" si="14"/>
        <v/>
      </c>
    </row>
    <row r="936" spans="1:10" ht="14.25" customHeight="1" x14ac:dyDescent="0.2">
      <c r="A936" s="1" t="s">
        <v>531</v>
      </c>
      <c r="B936" s="1" t="s">
        <v>86</v>
      </c>
      <c r="C936" s="1">
        <v>53317442</v>
      </c>
      <c r="D936" s="1" t="s">
        <v>2236</v>
      </c>
      <c r="E936" s="1" t="s">
        <v>1420</v>
      </c>
      <c r="F936" s="1" t="s">
        <v>3406</v>
      </c>
      <c r="G936" s="1"/>
      <c r="H936" s="1" t="s">
        <v>3831</v>
      </c>
      <c r="I936" s="1"/>
      <c r="J936" s="1" t="str">
        <f t="shared" si="14"/>
        <v>纠后正确，少2个氨基酸chr3:53321601-53324874</v>
      </c>
    </row>
    <row r="937" spans="1:10" ht="14.25" customHeight="1" x14ac:dyDescent="0.2">
      <c r="A937" s="1" t="s">
        <v>1209</v>
      </c>
      <c r="B937" s="1" t="s">
        <v>179</v>
      </c>
      <c r="C937" s="1">
        <v>22006608</v>
      </c>
      <c r="D937" s="1" t="s">
        <v>3058</v>
      </c>
      <c r="E937" s="1" t="s">
        <v>1887</v>
      </c>
      <c r="F937" s="1">
        <v>1</v>
      </c>
      <c r="G937" s="1"/>
      <c r="H937" s="1"/>
      <c r="I937" s="1"/>
      <c r="J937" s="1" t="str">
        <f t="shared" si="14"/>
        <v/>
      </c>
    </row>
    <row r="938" spans="1:10" ht="14.25" customHeight="1" x14ac:dyDescent="0.2">
      <c r="A938" s="1" t="s">
        <v>8776</v>
      </c>
      <c r="B938" s="1" t="s">
        <v>93</v>
      </c>
      <c r="C938" s="1">
        <v>133747959</v>
      </c>
      <c r="D938" s="1" t="s">
        <v>3357</v>
      </c>
      <c r="E938" s="1" t="s">
        <v>2035</v>
      </c>
      <c r="F938" s="1" t="s">
        <v>2062</v>
      </c>
      <c r="G938" s="4" t="s">
        <v>8789</v>
      </c>
      <c r="H938" s="1"/>
      <c r="I938" s="1"/>
      <c r="J938" s="1" t="str">
        <f t="shared" si="14"/>
        <v/>
      </c>
    </row>
    <row r="939" spans="1:10" ht="14.25" customHeight="1" x14ac:dyDescent="0.2">
      <c r="A939" s="1" t="s">
        <v>1238</v>
      </c>
      <c r="B939" s="1" t="s">
        <v>50</v>
      </c>
      <c r="C939" s="1">
        <v>17326154</v>
      </c>
      <c r="D939" s="1" t="s">
        <v>3077</v>
      </c>
      <c r="E939" s="1" t="s">
        <v>1903</v>
      </c>
      <c r="F939" s="1">
        <v>1</v>
      </c>
      <c r="G939" s="1"/>
      <c r="H939" s="1"/>
      <c r="I939" s="1"/>
      <c r="J939" s="1" t="str">
        <f t="shared" si="14"/>
        <v/>
      </c>
    </row>
    <row r="940" spans="1:10" ht="14.25" customHeight="1" x14ac:dyDescent="0.2">
      <c r="A940" s="1" t="s">
        <v>129</v>
      </c>
      <c r="B940" s="1" t="s">
        <v>53</v>
      </c>
      <c r="C940" s="1">
        <v>21106623</v>
      </c>
      <c r="D940" s="1" t="s">
        <v>2124</v>
      </c>
      <c r="E940" s="1" t="s">
        <v>126</v>
      </c>
      <c r="F940" s="1" t="s">
        <v>2062</v>
      </c>
      <c r="G940" s="1"/>
      <c r="H940" s="1" t="s">
        <v>3763</v>
      </c>
      <c r="I940" s="1"/>
      <c r="J940" s="1" t="str">
        <f t="shared" si="14"/>
        <v>纠后正确</v>
      </c>
    </row>
    <row r="941" spans="1:10" ht="14.25" customHeight="1" x14ac:dyDescent="0.2">
      <c r="A941" s="1" t="s">
        <v>466</v>
      </c>
      <c r="B941" s="1" t="s">
        <v>1</v>
      </c>
      <c r="C941" s="1">
        <v>206547223</v>
      </c>
      <c r="D941" s="1" t="s">
        <v>2430</v>
      </c>
      <c r="E941" s="1" t="s">
        <v>1531</v>
      </c>
      <c r="F941" s="1">
        <v>1</v>
      </c>
      <c r="G941" s="1"/>
      <c r="H941" s="1"/>
      <c r="I941" s="1"/>
      <c r="J941" s="1" t="str">
        <f t="shared" si="14"/>
        <v/>
      </c>
    </row>
    <row r="942" spans="1:10" ht="14.25" customHeight="1" x14ac:dyDescent="0.2">
      <c r="A942" s="1" t="s">
        <v>847</v>
      </c>
      <c r="B942" s="1" t="s">
        <v>93</v>
      </c>
      <c r="C942" s="1">
        <v>12110933</v>
      </c>
      <c r="D942" s="1" t="s">
        <v>2754</v>
      </c>
      <c r="E942" s="1" t="s">
        <v>1713</v>
      </c>
      <c r="F942" s="1">
        <v>1</v>
      </c>
      <c r="G942" s="1"/>
      <c r="H942" s="1"/>
      <c r="I942" s="1"/>
      <c r="J942" s="1" t="str">
        <f t="shared" si="14"/>
        <v/>
      </c>
    </row>
    <row r="943" spans="1:10" ht="14.25" customHeight="1" x14ac:dyDescent="0.2">
      <c r="A943" s="1" t="s">
        <v>1044</v>
      </c>
      <c r="B943" s="1" t="s">
        <v>212</v>
      </c>
      <c r="C943" s="1">
        <v>109304657</v>
      </c>
      <c r="D943" s="1" t="s">
        <v>3372</v>
      </c>
      <c r="E943" s="1" t="s">
        <v>2043</v>
      </c>
      <c r="F943" s="1" t="s">
        <v>2062</v>
      </c>
      <c r="G943" s="1"/>
      <c r="H943" s="1" t="s">
        <v>3763</v>
      </c>
      <c r="I943" s="1"/>
      <c r="J943" s="1" t="str">
        <f t="shared" si="14"/>
        <v>纠后正确</v>
      </c>
    </row>
    <row r="944" spans="1:10" ht="14.25" customHeight="1" x14ac:dyDescent="0.2">
      <c r="A944" s="1" t="s">
        <v>625</v>
      </c>
      <c r="B944" s="1" t="s">
        <v>569</v>
      </c>
      <c r="C944" s="1">
        <v>140637544</v>
      </c>
      <c r="D944" s="1" t="s">
        <v>2242</v>
      </c>
      <c r="E944" s="1" t="s">
        <v>1426</v>
      </c>
      <c r="F944" s="1" t="s">
        <v>3406</v>
      </c>
      <c r="G944" s="1"/>
      <c r="H944" s="1" t="s">
        <v>3832</v>
      </c>
      <c r="I944" s="1"/>
      <c r="J944" s="1" t="str">
        <f t="shared" si="14"/>
        <v>纠后正确，少4-6个氨基酸chr4:140640477-140811555</v>
      </c>
    </row>
    <row r="945" spans="1:10" ht="14.25" customHeight="1" x14ac:dyDescent="0.2">
      <c r="A945" s="1" t="s">
        <v>582</v>
      </c>
      <c r="B945" s="1" t="s">
        <v>569</v>
      </c>
      <c r="C945" s="1">
        <v>8201059</v>
      </c>
      <c r="D945" s="1" t="s">
        <v>2525</v>
      </c>
      <c r="E945" s="1" t="s">
        <v>1574</v>
      </c>
      <c r="F945" s="1">
        <v>1</v>
      </c>
      <c r="G945" s="1"/>
      <c r="H945" s="1"/>
      <c r="I945" s="1"/>
      <c r="J945" s="1" t="str">
        <f t="shared" si="14"/>
        <v/>
      </c>
    </row>
    <row r="946" spans="1:10" ht="14.25" customHeight="1" x14ac:dyDescent="0.2">
      <c r="A946" s="1" t="s">
        <v>461</v>
      </c>
      <c r="B946" s="1" t="s">
        <v>1</v>
      </c>
      <c r="C946" s="1">
        <v>190526124</v>
      </c>
      <c r="D946" s="1" t="s">
        <v>2425</v>
      </c>
      <c r="E946" s="1" t="s">
        <v>1529</v>
      </c>
      <c r="F946" s="1">
        <v>1</v>
      </c>
      <c r="G946" s="1"/>
      <c r="H946" s="1"/>
      <c r="I946" s="1"/>
      <c r="J946" s="1" t="str">
        <f t="shared" si="14"/>
        <v/>
      </c>
    </row>
    <row r="947" spans="1:10" ht="14.25" customHeight="1" x14ac:dyDescent="0.2">
      <c r="A947" s="1" t="s">
        <v>422</v>
      </c>
      <c r="B947" s="1" t="s">
        <v>1</v>
      </c>
      <c r="C947" s="1">
        <v>42396489</v>
      </c>
      <c r="D947" s="1" t="s">
        <v>3214</v>
      </c>
      <c r="E947" s="1" t="s">
        <v>1973</v>
      </c>
      <c r="F947" s="1">
        <v>2</v>
      </c>
      <c r="G947" s="1"/>
      <c r="H947" s="1"/>
      <c r="I947" s="1"/>
      <c r="J947" s="1" t="str">
        <f t="shared" si="14"/>
        <v/>
      </c>
    </row>
    <row r="948" spans="1:10" ht="14.25" customHeight="1" x14ac:dyDescent="0.2">
      <c r="A948" s="1" t="s">
        <v>1249</v>
      </c>
      <c r="B948" s="1" t="s">
        <v>50</v>
      </c>
      <c r="C948" s="1">
        <v>36239261</v>
      </c>
      <c r="D948" s="1" t="s">
        <v>3085</v>
      </c>
      <c r="E948" s="1" t="s">
        <v>1906</v>
      </c>
      <c r="F948" s="1">
        <v>1</v>
      </c>
      <c r="G948" s="1"/>
      <c r="H948" s="1"/>
      <c r="I948" s="1"/>
      <c r="J948" s="1" t="str">
        <f t="shared" si="14"/>
        <v/>
      </c>
    </row>
    <row r="949" spans="1:10" ht="14.25" customHeight="1" x14ac:dyDescent="0.2">
      <c r="A949" s="1" t="s">
        <v>8777</v>
      </c>
      <c r="B949" s="1" t="s">
        <v>175</v>
      </c>
      <c r="C949" s="1">
        <v>32008931</v>
      </c>
      <c r="D949" s="1" t="s">
        <v>3398</v>
      </c>
      <c r="E949" s="1" t="s">
        <v>2059</v>
      </c>
      <c r="F949" s="1" t="s">
        <v>2067</v>
      </c>
      <c r="G949" s="1"/>
      <c r="H949" s="1"/>
      <c r="I949" s="1"/>
      <c r="J949" s="1" t="str">
        <f t="shared" si="14"/>
        <v/>
      </c>
    </row>
    <row r="950" spans="1:10" ht="14.25" customHeight="1" x14ac:dyDescent="0.2">
      <c r="A950" s="1" t="s">
        <v>3908</v>
      </c>
      <c r="B950" s="1" t="s">
        <v>186</v>
      </c>
      <c r="C950" s="1">
        <v>140566892</v>
      </c>
      <c r="D950" s="1" t="s">
        <v>2187</v>
      </c>
      <c r="E950" s="1" t="s">
        <v>293</v>
      </c>
      <c r="F950" s="1" t="s">
        <v>2062</v>
      </c>
      <c r="G950" s="1"/>
      <c r="H950" s="1" t="s">
        <v>3833</v>
      </c>
      <c r="I950" s="11"/>
      <c r="J950" s="1" t="str">
        <f t="shared" si="14"/>
        <v>Browser与原结果匹配，纠后与rs匹配（rs782094811）chr5：140568037-140569285</v>
      </c>
    </row>
    <row r="951" spans="1:10" ht="14.25" customHeight="1" x14ac:dyDescent="0.2">
      <c r="A951" s="1" t="s">
        <v>1318</v>
      </c>
      <c r="B951" s="1" t="s">
        <v>241</v>
      </c>
      <c r="C951" s="1">
        <v>34162983</v>
      </c>
      <c r="D951" s="1" t="s">
        <v>3142</v>
      </c>
      <c r="E951" s="1" t="s">
        <v>1939</v>
      </c>
      <c r="F951" s="1">
        <v>1</v>
      </c>
      <c r="G951" s="1"/>
      <c r="H951" s="1"/>
      <c r="I951" s="1"/>
      <c r="J951" s="1" t="str">
        <f t="shared" si="14"/>
        <v/>
      </c>
    </row>
    <row r="952" spans="1:10" ht="14.25" customHeight="1" x14ac:dyDescent="0.2">
      <c r="A952" s="1" t="s">
        <v>992</v>
      </c>
      <c r="B952" s="1" t="s">
        <v>36</v>
      </c>
      <c r="C952" s="1">
        <v>117947726</v>
      </c>
      <c r="D952" s="1" t="s">
        <v>2873</v>
      </c>
      <c r="E952" s="1" t="s">
        <v>1766</v>
      </c>
      <c r="F952" s="1">
        <v>1</v>
      </c>
      <c r="G952" s="1"/>
      <c r="H952" s="1"/>
      <c r="I952" s="1"/>
      <c r="J952" s="1" t="str">
        <f t="shared" si="14"/>
        <v/>
      </c>
    </row>
    <row r="953" spans="1:10" ht="14.25" customHeight="1" x14ac:dyDescent="0.2">
      <c r="A953" s="1" t="s">
        <v>778</v>
      </c>
      <c r="B953" s="1" t="s">
        <v>103</v>
      </c>
      <c r="C953" s="1">
        <v>40010986</v>
      </c>
      <c r="D953" s="1" t="s">
        <v>2698</v>
      </c>
      <c r="E953" s="1" t="s">
        <v>1680</v>
      </c>
      <c r="F953" s="1">
        <v>1</v>
      </c>
      <c r="G953" s="1"/>
      <c r="H953" s="1"/>
      <c r="I953" s="1"/>
      <c r="J953" s="1" t="str">
        <f t="shared" si="14"/>
        <v/>
      </c>
    </row>
    <row r="954" spans="1:10" ht="14.25" customHeight="1" x14ac:dyDescent="0.2">
      <c r="A954" s="1" t="s">
        <v>1100</v>
      </c>
      <c r="B954" s="1" t="s">
        <v>113</v>
      </c>
      <c r="C954" s="1">
        <v>93586635</v>
      </c>
      <c r="D954" s="1" t="s">
        <v>2967</v>
      </c>
      <c r="E954" s="1" t="s">
        <v>1830</v>
      </c>
      <c r="F954" s="1">
        <v>1</v>
      </c>
      <c r="G954" s="1"/>
      <c r="H954" s="1"/>
      <c r="I954" s="1"/>
      <c r="J954" s="1" t="str">
        <f t="shared" si="14"/>
        <v/>
      </c>
    </row>
    <row r="955" spans="1:10" ht="14.25" customHeight="1" x14ac:dyDescent="0.2">
      <c r="A955" s="1" t="s">
        <v>403</v>
      </c>
      <c r="B955" s="1" t="s">
        <v>139</v>
      </c>
      <c r="C955" s="1">
        <v>247148624</v>
      </c>
      <c r="D955" s="1" t="s">
        <v>2377</v>
      </c>
      <c r="E955" s="1" t="s">
        <v>1499</v>
      </c>
      <c r="F955" s="1">
        <v>1</v>
      </c>
      <c r="G955" s="1"/>
      <c r="H955" s="1"/>
      <c r="I955" s="1"/>
      <c r="J955" s="1" t="str">
        <f t="shared" si="14"/>
        <v/>
      </c>
    </row>
    <row r="956" spans="1:10" ht="14.25" customHeight="1" x14ac:dyDescent="0.2">
      <c r="A956" s="1" t="s">
        <v>1256</v>
      </c>
      <c r="B956" s="1" t="s">
        <v>50</v>
      </c>
      <c r="C956" s="1">
        <v>43857824</v>
      </c>
      <c r="D956" s="1" t="s">
        <v>3299</v>
      </c>
      <c r="E956" s="1" t="s">
        <v>2015</v>
      </c>
      <c r="F956" s="1">
        <v>4</v>
      </c>
      <c r="G956" s="1"/>
      <c r="H956" s="1"/>
      <c r="I956" s="1"/>
      <c r="J956" s="1" t="str">
        <f t="shared" si="14"/>
        <v/>
      </c>
    </row>
    <row r="957" spans="1:10" ht="14.25" customHeight="1" x14ac:dyDescent="0.2">
      <c r="A957" s="1" t="s">
        <v>141</v>
      </c>
      <c r="B957" s="1" t="s">
        <v>139</v>
      </c>
      <c r="C957" s="1">
        <v>156338979</v>
      </c>
      <c r="D957" s="1" t="s">
        <v>2131</v>
      </c>
      <c r="E957" s="1" t="s">
        <v>137</v>
      </c>
      <c r="F957" s="1" t="s">
        <v>2062</v>
      </c>
      <c r="G957" s="1"/>
      <c r="H957" s="1" t="s">
        <v>3763</v>
      </c>
      <c r="I957" s="1"/>
      <c r="J957" s="1" t="str">
        <f t="shared" si="14"/>
        <v>纠后正确</v>
      </c>
    </row>
    <row r="958" spans="1:10" ht="14.25" customHeight="1" x14ac:dyDescent="0.2">
      <c r="A958" s="1" t="s">
        <v>705</v>
      </c>
      <c r="B958" s="1" t="s">
        <v>175</v>
      </c>
      <c r="C958" s="1">
        <v>142623055</v>
      </c>
      <c r="D958" s="1" t="s">
        <v>2638</v>
      </c>
      <c r="E958" s="1" t="s">
        <v>1645</v>
      </c>
      <c r="F958" s="1">
        <v>1</v>
      </c>
      <c r="G958" s="1"/>
      <c r="H958" s="1"/>
      <c r="I958" s="1"/>
      <c r="J958" s="1" t="str">
        <f t="shared" si="14"/>
        <v/>
      </c>
    </row>
    <row r="959" spans="1:10" ht="14.25" customHeight="1" x14ac:dyDescent="0.2">
      <c r="A959" s="1" t="s">
        <v>1358</v>
      </c>
      <c r="B959" s="1" t="s">
        <v>43</v>
      </c>
      <c r="C959" s="1">
        <v>50656117</v>
      </c>
      <c r="D959" s="1" t="s">
        <v>3175</v>
      </c>
      <c r="E959" s="1" t="s">
        <v>1956</v>
      </c>
      <c r="F959" s="1">
        <v>1</v>
      </c>
      <c r="G959" s="1"/>
      <c r="H959" s="1"/>
      <c r="I959" s="1"/>
      <c r="J959" s="1" t="str">
        <f t="shared" si="14"/>
        <v/>
      </c>
    </row>
    <row r="960" spans="1:10" ht="14.25" customHeight="1" x14ac:dyDescent="0.2">
      <c r="A960" s="1" t="s">
        <v>32</v>
      </c>
      <c r="B960" s="1" t="s">
        <v>33</v>
      </c>
      <c r="C960" s="1">
        <v>136130562</v>
      </c>
      <c r="D960" s="1" t="s">
        <v>2073</v>
      </c>
      <c r="E960" s="1" t="s">
        <v>31</v>
      </c>
      <c r="F960" s="1" t="s">
        <v>2062</v>
      </c>
      <c r="G960" s="1"/>
      <c r="H960" s="1" t="s">
        <v>3763</v>
      </c>
      <c r="I960" s="1"/>
      <c r="J960" s="1" t="str">
        <f t="shared" si="14"/>
        <v>纠后正确</v>
      </c>
    </row>
    <row r="961" spans="1:10" ht="14.25" customHeight="1" x14ac:dyDescent="0.2">
      <c r="A961" s="1" t="s">
        <v>334</v>
      </c>
      <c r="B961" s="1" t="s">
        <v>139</v>
      </c>
      <c r="C961" s="1">
        <v>25688739</v>
      </c>
      <c r="D961" s="1" t="s">
        <v>2313</v>
      </c>
      <c r="E961" s="1" t="s">
        <v>1467</v>
      </c>
      <c r="F961" s="1">
        <v>1</v>
      </c>
      <c r="G961" s="1"/>
      <c r="H961" s="1"/>
      <c r="I961" s="1"/>
      <c r="J961" s="1" t="str">
        <f t="shared" si="14"/>
        <v/>
      </c>
    </row>
    <row r="962" spans="1:10" ht="14.25" customHeight="1" x14ac:dyDescent="0.2">
      <c r="A962" s="1" t="s">
        <v>1295</v>
      </c>
      <c r="B962" s="1" t="s">
        <v>53</v>
      </c>
      <c r="C962" s="1">
        <v>18122867</v>
      </c>
      <c r="D962" s="1" t="s">
        <v>3121</v>
      </c>
      <c r="E962" s="1" t="s">
        <v>1926</v>
      </c>
      <c r="F962" s="1">
        <v>1</v>
      </c>
      <c r="G962" s="1"/>
      <c r="H962" s="1"/>
      <c r="I962" s="1"/>
      <c r="J962" s="1" t="str">
        <f t="shared" si="14"/>
        <v/>
      </c>
    </row>
    <row r="963" spans="1:10" ht="14.25" customHeight="1" x14ac:dyDescent="0.2">
      <c r="A963" s="1" t="s">
        <v>866</v>
      </c>
      <c r="B963" s="1" t="s">
        <v>93</v>
      </c>
      <c r="C963" s="1">
        <v>50822082</v>
      </c>
      <c r="D963" s="1" t="s">
        <v>2772</v>
      </c>
      <c r="E963" s="1" t="s">
        <v>1718</v>
      </c>
      <c r="F963" s="1">
        <v>1</v>
      </c>
      <c r="G963" s="1"/>
      <c r="H963" s="1"/>
      <c r="I963" s="1"/>
      <c r="J963" s="1" t="str">
        <f t="shared" ref="J963:J1026" si="15">IF(H963="",IF(I963="","",I963),H963)</f>
        <v/>
      </c>
    </row>
    <row r="964" spans="1:10" ht="14.25" customHeight="1" x14ac:dyDescent="0.2">
      <c r="A964" s="1" t="s">
        <v>1043</v>
      </c>
      <c r="B964" s="1" t="s">
        <v>212</v>
      </c>
      <c r="C964" s="1">
        <v>94960899</v>
      </c>
      <c r="D964" s="1" t="s">
        <v>2917</v>
      </c>
      <c r="E964" s="1" t="s">
        <v>1792</v>
      </c>
      <c r="F964" s="1">
        <v>1</v>
      </c>
      <c r="G964" s="1"/>
      <c r="H964" s="1"/>
      <c r="I964" s="1"/>
      <c r="J964" s="1" t="str">
        <f t="shared" si="15"/>
        <v/>
      </c>
    </row>
    <row r="965" spans="1:10" ht="14.25" customHeight="1" x14ac:dyDescent="0.2">
      <c r="A965" s="1" t="s">
        <v>819</v>
      </c>
      <c r="B965" s="1" t="s">
        <v>33</v>
      </c>
      <c r="C965" s="1">
        <v>34368906</v>
      </c>
      <c r="D965" s="1" t="s">
        <v>2731</v>
      </c>
      <c r="E965" s="1" t="s">
        <v>1698</v>
      </c>
      <c r="F965" s="1">
        <v>1</v>
      </c>
      <c r="G965" s="1"/>
      <c r="H965" s="1"/>
      <c r="I965" s="1"/>
      <c r="J965" s="1" t="str">
        <f t="shared" si="15"/>
        <v/>
      </c>
    </row>
    <row r="966" spans="1:10" ht="14.25" customHeight="1" x14ac:dyDescent="0.2">
      <c r="A966" s="1" t="s">
        <v>687</v>
      </c>
      <c r="B966" s="1" t="s">
        <v>175</v>
      </c>
      <c r="C966" s="1">
        <v>44266462</v>
      </c>
      <c r="D966" s="1" t="s">
        <v>2623</v>
      </c>
      <c r="E966" s="1" t="s">
        <v>1635</v>
      </c>
      <c r="F966" s="1">
        <v>1</v>
      </c>
      <c r="G966" s="1"/>
      <c r="H966" s="1"/>
      <c r="I966" s="1"/>
      <c r="J966" s="1" t="str">
        <f t="shared" si="15"/>
        <v/>
      </c>
    </row>
    <row r="967" spans="1:10" ht="14.25" customHeight="1" x14ac:dyDescent="0.2">
      <c r="A967" s="1" t="s">
        <v>1191</v>
      </c>
      <c r="B967" s="1" t="s">
        <v>47</v>
      </c>
      <c r="C967" s="1">
        <v>59942727</v>
      </c>
      <c r="D967" s="1" t="s">
        <v>3043</v>
      </c>
      <c r="E967" s="1" t="s">
        <v>1880</v>
      </c>
      <c r="F967" s="1">
        <v>1</v>
      </c>
      <c r="G967" s="1"/>
      <c r="H967" s="1"/>
      <c r="I967" s="1"/>
      <c r="J967" s="1" t="str">
        <f t="shared" si="15"/>
        <v/>
      </c>
    </row>
    <row r="968" spans="1:10" ht="14.25" customHeight="1" x14ac:dyDescent="0.2">
      <c r="A968" s="1" t="s">
        <v>368</v>
      </c>
      <c r="B968" s="1" t="s">
        <v>139</v>
      </c>
      <c r="C968" s="1">
        <v>109656584</v>
      </c>
      <c r="D968" s="1" t="s">
        <v>2344</v>
      </c>
      <c r="E968" s="1" t="s">
        <v>1483</v>
      </c>
      <c r="F968" s="1">
        <v>1</v>
      </c>
      <c r="G968" s="1"/>
      <c r="H968" s="1"/>
      <c r="I968" s="1"/>
      <c r="J968" s="1" t="str">
        <f t="shared" si="15"/>
        <v/>
      </c>
    </row>
    <row r="969" spans="1:10" ht="14.25" customHeight="1" x14ac:dyDescent="0.2">
      <c r="A969" s="1" t="s">
        <v>651</v>
      </c>
      <c r="B969" s="1" t="s">
        <v>186</v>
      </c>
      <c r="C969" s="1">
        <v>115779250</v>
      </c>
      <c r="D969" s="1" t="s">
        <v>2589</v>
      </c>
      <c r="E969" s="1" t="s">
        <v>1614</v>
      </c>
      <c r="F969" s="1">
        <v>1</v>
      </c>
      <c r="G969" s="1"/>
      <c r="H969" s="1"/>
      <c r="I969" s="1"/>
      <c r="J969" s="1" t="str">
        <f t="shared" si="15"/>
        <v/>
      </c>
    </row>
    <row r="970" spans="1:10" ht="14.25" customHeight="1" x14ac:dyDescent="0.2">
      <c r="A970" s="1" t="s">
        <v>1303</v>
      </c>
      <c r="B970" s="1" t="s">
        <v>53</v>
      </c>
      <c r="C970" s="1">
        <v>47240792</v>
      </c>
      <c r="D970" s="1" t="s">
        <v>3129</v>
      </c>
      <c r="E970" s="1" t="s">
        <v>1931</v>
      </c>
      <c r="F970" s="1">
        <v>1</v>
      </c>
      <c r="G970" s="1"/>
      <c r="H970" s="1"/>
      <c r="I970" s="1"/>
      <c r="J970" s="1" t="str">
        <f t="shared" si="15"/>
        <v/>
      </c>
    </row>
    <row r="971" spans="1:10" ht="14.25" customHeight="1" x14ac:dyDescent="0.2">
      <c r="A971" s="1" t="s">
        <v>591</v>
      </c>
      <c r="B971" s="1" t="s">
        <v>569</v>
      </c>
      <c r="C971" s="1">
        <v>26862312</v>
      </c>
      <c r="D971" s="1" t="s">
        <v>2534</v>
      </c>
      <c r="E971" s="1" t="s">
        <v>1578</v>
      </c>
      <c r="F971" s="1">
        <v>1</v>
      </c>
      <c r="G971" s="1"/>
      <c r="H971" s="1"/>
      <c r="I971" s="1"/>
      <c r="J971" s="1" t="str">
        <f t="shared" si="15"/>
        <v/>
      </c>
    </row>
    <row r="972" spans="1:10" ht="14.25" customHeight="1" x14ac:dyDescent="0.2">
      <c r="A972" s="1" t="s">
        <v>437</v>
      </c>
      <c r="B972" s="1" t="s">
        <v>1</v>
      </c>
      <c r="C972" s="1">
        <v>115199898</v>
      </c>
      <c r="D972" s="1" t="s">
        <v>2402</v>
      </c>
      <c r="E972" s="1" t="s">
        <v>1517</v>
      </c>
      <c r="F972" s="1">
        <v>1</v>
      </c>
      <c r="G972" s="1"/>
      <c r="H972" s="1"/>
      <c r="I972" s="1"/>
      <c r="J972" s="1" t="str">
        <f t="shared" si="15"/>
        <v/>
      </c>
    </row>
    <row r="973" spans="1:10" ht="14.25" customHeight="1" x14ac:dyDescent="0.2">
      <c r="A973" s="1" t="s">
        <v>1075</v>
      </c>
      <c r="B973" s="1" t="s">
        <v>81</v>
      </c>
      <c r="C973" s="1">
        <v>51186480</v>
      </c>
      <c r="D973" s="1" t="s">
        <v>3258</v>
      </c>
      <c r="E973" s="1" t="s">
        <v>1995</v>
      </c>
      <c r="F973" s="1">
        <v>2</v>
      </c>
      <c r="G973" s="1"/>
      <c r="H973" s="1"/>
      <c r="I973" s="1"/>
      <c r="J973" s="1" t="str">
        <f t="shared" si="15"/>
        <v/>
      </c>
    </row>
    <row r="974" spans="1:10" ht="14.25" customHeight="1" x14ac:dyDescent="0.2">
      <c r="A974" s="1" t="s">
        <v>476</v>
      </c>
      <c r="B974" s="1" t="s">
        <v>1</v>
      </c>
      <c r="C974" s="1">
        <v>219314973</v>
      </c>
      <c r="D974" s="1" t="s">
        <v>2434</v>
      </c>
      <c r="E974" s="1" t="s">
        <v>1533</v>
      </c>
      <c r="F974" s="1">
        <v>1</v>
      </c>
      <c r="G974" s="1"/>
      <c r="H974" s="1"/>
      <c r="I974" s="1"/>
      <c r="J974" s="1" t="str">
        <f t="shared" si="15"/>
        <v/>
      </c>
    </row>
    <row r="975" spans="1:10" ht="14.25" customHeight="1" x14ac:dyDescent="0.2">
      <c r="A975" s="1" t="s">
        <v>3698</v>
      </c>
      <c r="B975" s="1" t="s">
        <v>569</v>
      </c>
      <c r="C975" s="1">
        <v>22694547</v>
      </c>
      <c r="D975" s="1" t="s">
        <v>2527</v>
      </c>
      <c r="E975" s="1" t="s">
        <v>3728</v>
      </c>
      <c r="F975" s="1">
        <v>1</v>
      </c>
      <c r="G975" s="1"/>
      <c r="H975" s="1"/>
      <c r="I975" s="1"/>
      <c r="J975" s="1" t="str">
        <f t="shared" si="15"/>
        <v/>
      </c>
    </row>
    <row r="976" spans="1:10" ht="14.25" customHeight="1" x14ac:dyDescent="0.2">
      <c r="A976" s="1" t="s">
        <v>908</v>
      </c>
      <c r="B976" s="1" t="s">
        <v>36</v>
      </c>
      <c r="C976" s="1">
        <v>9041046</v>
      </c>
      <c r="D976" s="1" t="s">
        <v>2808</v>
      </c>
      <c r="E976" s="1" t="s">
        <v>1735</v>
      </c>
      <c r="F976" s="1">
        <v>1</v>
      </c>
      <c r="G976" s="1"/>
      <c r="H976" s="1"/>
      <c r="I976" s="1"/>
      <c r="J976" s="1" t="str">
        <f t="shared" si="15"/>
        <v/>
      </c>
    </row>
    <row r="977" spans="1:10" ht="14.25" customHeight="1" x14ac:dyDescent="0.2">
      <c r="A977" s="1" t="s">
        <v>749</v>
      </c>
      <c r="B977" s="1" t="s">
        <v>40</v>
      </c>
      <c r="C977" s="1">
        <v>101928404</v>
      </c>
      <c r="D977" s="1" t="s">
        <v>2246</v>
      </c>
      <c r="E977" s="1" t="s">
        <v>1429</v>
      </c>
      <c r="F977" s="1" t="s">
        <v>3406</v>
      </c>
      <c r="G977" s="1"/>
      <c r="H977" s="1" t="s">
        <v>3842</v>
      </c>
      <c r="I977" s="1"/>
      <c r="J977" s="1" t="str">
        <f t="shared" si="15"/>
        <v>多82个氨基酸，但无法验证哪个正确，NCBIrs无氨基酸注释信息chr7:101957639-101962097</v>
      </c>
    </row>
    <row r="978" spans="1:10" ht="14.25" customHeight="1" x14ac:dyDescent="0.2">
      <c r="A978" s="1" t="s">
        <v>861</v>
      </c>
      <c r="B978" s="1" t="s">
        <v>93</v>
      </c>
      <c r="C978" s="1">
        <v>50817140</v>
      </c>
      <c r="D978" s="1" t="s">
        <v>2767</v>
      </c>
      <c r="E978" s="1" t="s">
        <v>1718</v>
      </c>
      <c r="F978" s="1">
        <v>1</v>
      </c>
      <c r="G978" s="1"/>
      <c r="H978" s="1"/>
      <c r="I978" s="1"/>
      <c r="J978" s="1" t="str">
        <f t="shared" si="15"/>
        <v/>
      </c>
    </row>
    <row r="979" spans="1:10" ht="14.25" customHeight="1" x14ac:dyDescent="0.2">
      <c r="A979" s="1" t="s">
        <v>862</v>
      </c>
      <c r="B979" s="1" t="s">
        <v>93</v>
      </c>
      <c r="C979" s="1">
        <v>50821153</v>
      </c>
      <c r="D979" s="1" t="s">
        <v>2768</v>
      </c>
      <c r="E979" s="1" t="s">
        <v>1718</v>
      </c>
      <c r="F979" s="1">
        <v>1</v>
      </c>
      <c r="G979" s="1"/>
      <c r="H979" s="1"/>
      <c r="I979" s="1"/>
      <c r="J979" s="1" t="str">
        <f t="shared" si="15"/>
        <v/>
      </c>
    </row>
    <row r="980" spans="1:10" ht="14.25" customHeight="1" x14ac:dyDescent="0.2">
      <c r="A980" s="1" t="s">
        <v>863</v>
      </c>
      <c r="B980" s="1" t="s">
        <v>93</v>
      </c>
      <c r="C980" s="1">
        <v>50821153</v>
      </c>
      <c r="D980" s="1" t="s">
        <v>2769</v>
      </c>
      <c r="E980" s="1" t="s">
        <v>1718</v>
      </c>
      <c r="F980" s="1">
        <v>1</v>
      </c>
      <c r="G980" s="1"/>
      <c r="H980" s="1"/>
      <c r="I980" s="1"/>
      <c r="J980" s="1" t="str">
        <f t="shared" si="15"/>
        <v/>
      </c>
    </row>
    <row r="981" spans="1:10" ht="14.25" customHeight="1" x14ac:dyDescent="0.2">
      <c r="A981" s="1" t="s">
        <v>1405</v>
      </c>
      <c r="B981" s="1" t="s">
        <v>73</v>
      </c>
      <c r="C981" s="1">
        <v>151301781</v>
      </c>
      <c r="D981" s="1" t="s">
        <v>3207</v>
      </c>
      <c r="E981" s="1" t="s">
        <v>1969</v>
      </c>
      <c r="F981" s="1">
        <v>1</v>
      </c>
      <c r="G981" s="1"/>
      <c r="H981" s="1"/>
      <c r="I981" s="1"/>
      <c r="J981" s="1" t="str">
        <f t="shared" si="15"/>
        <v/>
      </c>
    </row>
    <row r="982" spans="1:10" ht="14.25" customHeight="1" x14ac:dyDescent="0.2">
      <c r="A982" s="1" t="s">
        <v>430</v>
      </c>
      <c r="B982" s="1" t="s">
        <v>1</v>
      </c>
      <c r="C982" s="1">
        <v>95831182</v>
      </c>
      <c r="D982" s="1" t="s">
        <v>2229</v>
      </c>
      <c r="E982" s="1" t="s">
        <v>1416</v>
      </c>
      <c r="F982" s="1" t="s">
        <v>3406</v>
      </c>
      <c r="G982" s="1"/>
      <c r="H982" s="1" t="s">
        <v>3834</v>
      </c>
      <c r="I982" s="1"/>
      <c r="J982" s="1" t="str">
        <f t="shared" si="15"/>
        <v>纠后正确，少1个氨基酸，chr2：95847047-95847854</v>
      </c>
    </row>
    <row r="983" spans="1:10" ht="14.25" customHeight="1" x14ac:dyDescent="0.2">
      <c r="A983" s="1" t="s">
        <v>661</v>
      </c>
      <c r="B983" s="1" t="s">
        <v>186</v>
      </c>
      <c r="C983" s="1">
        <v>143191725</v>
      </c>
      <c r="D983" s="1" t="s">
        <v>2599</v>
      </c>
      <c r="E983" s="1" t="s">
        <v>1622</v>
      </c>
      <c r="F983" s="1">
        <v>1</v>
      </c>
      <c r="G983" s="1"/>
      <c r="H983" s="1"/>
      <c r="I983" s="1"/>
      <c r="J983" s="1" t="str">
        <f t="shared" si="15"/>
        <v/>
      </c>
    </row>
    <row r="984" spans="1:10" ht="14.25" customHeight="1" x14ac:dyDescent="0.2">
      <c r="A984" s="1" t="s">
        <v>1117</v>
      </c>
      <c r="B984" s="1" t="s">
        <v>121</v>
      </c>
      <c r="C984" s="1">
        <v>11367140</v>
      </c>
      <c r="D984" s="1" t="s">
        <v>3264</v>
      </c>
      <c r="E984" s="1" t="s">
        <v>1999</v>
      </c>
      <c r="F984" s="1">
        <v>2</v>
      </c>
      <c r="G984" s="1"/>
      <c r="H984" s="1"/>
      <c r="I984" s="1"/>
      <c r="J984" s="1" t="str">
        <f t="shared" si="15"/>
        <v/>
      </c>
    </row>
    <row r="985" spans="1:10" ht="14.25" customHeight="1" x14ac:dyDescent="0.2">
      <c r="A985" s="1" t="s">
        <v>125</v>
      </c>
      <c r="B985" s="1" t="s">
        <v>103</v>
      </c>
      <c r="C985" s="1">
        <v>38758752</v>
      </c>
      <c r="D985" s="1" t="s">
        <v>2121</v>
      </c>
      <c r="E985" s="1" t="s">
        <v>124</v>
      </c>
      <c r="F985" s="1" t="s">
        <v>2062</v>
      </c>
      <c r="G985" s="1"/>
      <c r="H985" s="1" t="s">
        <v>3763</v>
      </c>
      <c r="I985" s="1"/>
      <c r="J985" s="1" t="str">
        <f t="shared" si="15"/>
        <v>纠后正确</v>
      </c>
    </row>
    <row r="986" spans="1:10" ht="14.25" customHeight="1" x14ac:dyDescent="0.2">
      <c r="A986" s="1" t="s">
        <v>1032</v>
      </c>
      <c r="B986" s="1" t="s">
        <v>212</v>
      </c>
      <c r="C986" s="1">
        <v>53693469</v>
      </c>
      <c r="D986" s="1" t="s">
        <v>2908</v>
      </c>
      <c r="E986" s="1" t="s">
        <v>1786</v>
      </c>
      <c r="F986" s="1">
        <v>1</v>
      </c>
      <c r="G986" s="1"/>
      <c r="H986" s="1"/>
      <c r="I986" s="1"/>
      <c r="J986" s="1" t="str">
        <f t="shared" si="15"/>
        <v/>
      </c>
    </row>
    <row r="987" spans="1:10" ht="14.25" customHeight="1" x14ac:dyDescent="0.2">
      <c r="A987" s="1" t="s">
        <v>226</v>
      </c>
      <c r="B987" s="1" t="s">
        <v>36</v>
      </c>
      <c r="C987" s="1">
        <v>118938492</v>
      </c>
      <c r="D987" s="1" t="s">
        <v>2205</v>
      </c>
      <c r="E987" s="1" t="s">
        <v>307</v>
      </c>
      <c r="F987" s="1" t="s">
        <v>2062</v>
      </c>
      <c r="G987" s="1"/>
      <c r="H987" s="1" t="s">
        <v>3763</v>
      </c>
      <c r="I987" s="1"/>
      <c r="J987" s="1" t="str">
        <f t="shared" si="15"/>
        <v>纠后正确</v>
      </c>
    </row>
    <row r="988" spans="1:10" ht="14.25" customHeight="1" x14ac:dyDescent="0.2">
      <c r="A988" s="1" t="s">
        <v>1388</v>
      </c>
      <c r="B988" s="1" t="s">
        <v>73</v>
      </c>
      <c r="C988" s="1">
        <v>65815478</v>
      </c>
      <c r="D988" s="1" t="s">
        <v>3190</v>
      </c>
      <c r="E988" s="1" t="s">
        <v>1961</v>
      </c>
      <c r="F988" s="1">
        <v>1</v>
      </c>
      <c r="G988" s="1"/>
      <c r="H988" s="1"/>
      <c r="I988" s="1"/>
      <c r="J988" s="1" t="str">
        <f t="shared" si="15"/>
        <v/>
      </c>
    </row>
    <row r="989" spans="1:10" ht="14.25" customHeight="1" x14ac:dyDescent="0.2">
      <c r="A989" s="1" t="s">
        <v>1364</v>
      </c>
      <c r="B989" s="1" t="s">
        <v>73</v>
      </c>
      <c r="C989" s="1">
        <v>17818168</v>
      </c>
      <c r="D989" s="1" t="s">
        <v>3177</v>
      </c>
      <c r="E989" s="1" t="s">
        <v>1957</v>
      </c>
      <c r="F989" s="1">
        <v>1</v>
      </c>
      <c r="G989" s="1"/>
      <c r="H989" s="1"/>
      <c r="I989" s="1"/>
      <c r="J989" s="1" t="str">
        <f t="shared" si="15"/>
        <v/>
      </c>
    </row>
    <row r="990" spans="1:10" ht="14.25" customHeight="1" x14ac:dyDescent="0.2">
      <c r="A990" s="1" t="s">
        <v>1252</v>
      </c>
      <c r="B990" s="1" t="s">
        <v>50</v>
      </c>
      <c r="C990" s="1">
        <v>41725107</v>
      </c>
      <c r="D990" s="1" t="s">
        <v>3088</v>
      </c>
      <c r="E990" s="1" t="s">
        <v>1909</v>
      </c>
      <c r="F990" s="1">
        <v>1</v>
      </c>
      <c r="G990" s="1"/>
      <c r="H990" s="1"/>
      <c r="I990" s="1"/>
      <c r="J990" s="1" t="str">
        <f t="shared" si="15"/>
        <v/>
      </c>
    </row>
    <row r="991" spans="1:10" ht="14.25" customHeight="1" x14ac:dyDescent="0.2">
      <c r="A991" s="1" t="s">
        <v>900</v>
      </c>
      <c r="B991" s="1" t="s">
        <v>36</v>
      </c>
      <c r="C991" s="1">
        <v>616564</v>
      </c>
      <c r="D991" s="1" t="s">
        <v>2801</v>
      </c>
      <c r="E991" s="1" t="s">
        <v>1732</v>
      </c>
      <c r="F991" s="1">
        <v>1</v>
      </c>
      <c r="G991" s="1"/>
      <c r="H991" s="1"/>
      <c r="I991" s="1"/>
      <c r="J991" s="1" t="str">
        <f t="shared" si="15"/>
        <v/>
      </c>
    </row>
    <row r="992" spans="1:10" ht="14.25" customHeight="1" x14ac:dyDescent="0.2">
      <c r="A992" s="1" t="s">
        <v>1396</v>
      </c>
      <c r="B992" s="1" t="s">
        <v>73</v>
      </c>
      <c r="C992" s="1">
        <v>129139163</v>
      </c>
      <c r="D992" s="1" t="s">
        <v>3198</v>
      </c>
      <c r="E992" s="1" t="s">
        <v>1965</v>
      </c>
      <c r="F992" s="1">
        <v>1</v>
      </c>
      <c r="G992" s="1"/>
      <c r="H992" s="1"/>
      <c r="I992" s="1"/>
      <c r="J992" s="1" t="str">
        <f t="shared" si="15"/>
        <v/>
      </c>
    </row>
    <row r="993" spans="1:10" ht="14.25" customHeight="1" x14ac:dyDescent="0.2">
      <c r="A993" s="1" t="s">
        <v>913</v>
      </c>
      <c r="B993" s="1" t="s">
        <v>36</v>
      </c>
      <c r="C993" s="1">
        <v>12695968</v>
      </c>
      <c r="D993" s="1" t="s">
        <v>2813</v>
      </c>
      <c r="E993" s="1" t="s">
        <v>1738</v>
      </c>
      <c r="F993" s="1">
        <v>1</v>
      </c>
      <c r="G993" s="1"/>
      <c r="H993" s="1"/>
      <c r="I993" s="1"/>
      <c r="J993" s="1" t="str">
        <f t="shared" si="15"/>
        <v/>
      </c>
    </row>
    <row r="994" spans="1:10" ht="14.25" customHeight="1" x14ac:dyDescent="0.2">
      <c r="A994" s="1" t="s">
        <v>522</v>
      </c>
      <c r="B994" s="1" t="s">
        <v>86</v>
      </c>
      <c r="C994" s="1">
        <v>49758931</v>
      </c>
      <c r="D994" s="1" t="s">
        <v>2476</v>
      </c>
      <c r="E994" s="1" t="s">
        <v>1547</v>
      </c>
      <c r="F994" s="1">
        <v>1</v>
      </c>
      <c r="G994" s="1"/>
      <c r="H994" s="1"/>
      <c r="I994" s="1"/>
      <c r="J994" s="1" t="str">
        <f t="shared" si="15"/>
        <v/>
      </c>
    </row>
    <row r="995" spans="1:10" ht="14.25" customHeight="1" x14ac:dyDescent="0.2">
      <c r="A995" s="1" t="s">
        <v>851</v>
      </c>
      <c r="B995" s="1" t="s">
        <v>93</v>
      </c>
      <c r="C995" s="1">
        <v>13142081</v>
      </c>
      <c r="D995" s="1" t="s">
        <v>2758</v>
      </c>
      <c r="E995" s="1" t="s">
        <v>1714</v>
      </c>
      <c r="F995" s="1">
        <v>1</v>
      </c>
      <c r="G995" s="1"/>
      <c r="H995" s="1"/>
      <c r="I995" s="1"/>
      <c r="J995" s="1" t="str">
        <f t="shared" si="15"/>
        <v/>
      </c>
    </row>
    <row r="996" spans="1:10" ht="14.25" customHeight="1" x14ac:dyDescent="0.2">
      <c r="A996" s="1" t="s">
        <v>1308</v>
      </c>
      <c r="B996" s="1" t="s">
        <v>53</v>
      </c>
      <c r="C996" s="1">
        <v>61583998</v>
      </c>
      <c r="D996" s="1" t="s">
        <v>3134</v>
      </c>
      <c r="E996" s="1" t="s">
        <v>1935</v>
      </c>
      <c r="F996" s="1">
        <v>1</v>
      </c>
      <c r="G996" s="1"/>
      <c r="H996" s="1"/>
      <c r="I996" s="1"/>
      <c r="J996" s="1" t="str">
        <f t="shared" si="15"/>
        <v/>
      </c>
    </row>
    <row r="997" spans="1:10" ht="14.25" customHeight="1" x14ac:dyDescent="0.2">
      <c r="A997" s="1" t="s">
        <v>646</v>
      </c>
      <c r="B997" s="1" t="s">
        <v>186</v>
      </c>
      <c r="C997" s="1">
        <v>111498314</v>
      </c>
      <c r="D997" s="1" t="s">
        <v>2584</v>
      </c>
      <c r="E997" s="1" t="s">
        <v>1611</v>
      </c>
      <c r="F997" s="1">
        <v>1</v>
      </c>
      <c r="G997" s="1"/>
      <c r="H997" s="1"/>
      <c r="I997" s="1"/>
      <c r="J997" s="1" t="str">
        <f t="shared" si="15"/>
        <v/>
      </c>
    </row>
    <row r="998" spans="1:10" ht="14.25" customHeight="1" x14ac:dyDescent="0.2">
      <c r="A998" s="1" t="s">
        <v>3885</v>
      </c>
      <c r="B998" s="1" t="s">
        <v>73</v>
      </c>
      <c r="C998" s="1">
        <v>1314869</v>
      </c>
      <c r="D998" s="1" t="s">
        <v>3403</v>
      </c>
      <c r="E998" s="1" t="s">
        <v>3920</v>
      </c>
      <c r="F998" s="1" t="s">
        <v>2067</v>
      </c>
      <c r="G998" s="1" t="s">
        <v>3733</v>
      </c>
      <c r="H998" s="1"/>
      <c r="I998" s="1"/>
      <c r="J998" s="1" t="str">
        <f t="shared" si="15"/>
        <v/>
      </c>
    </row>
    <row r="999" spans="1:10" ht="14.25" customHeight="1" x14ac:dyDescent="0.2">
      <c r="A999" s="1" t="s">
        <v>1362</v>
      </c>
      <c r="B999" s="1" t="s">
        <v>1409</v>
      </c>
      <c r="C999" s="1">
        <v>1264869</v>
      </c>
      <c r="D999" s="1" t="s">
        <v>3404</v>
      </c>
      <c r="E999" s="1" t="s">
        <v>2016</v>
      </c>
      <c r="F999" s="1" t="s">
        <v>2067</v>
      </c>
      <c r="G999" s="1" t="s">
        <v>3733</v>
      </c>
      <c r="H999" s="1"/>
      <c r="I999" s="1"/>
      <c r="J999" s="1" t="str">
        <f t="shared" si="15"/>
        <v/>
      </c>
    </row>
    <row r="1000" spans="1:10" ht="14.25" customHeight="1" x14ac:dyDescent="0.2">
      <c r="A1000" s="1" t="s">
        <v>718</v>
      </c>
      <c r="B1000" s="1" t="s">
        <v>40</v>
      </c>
      <c r="C1000" s="1">
        <v>25264188</v>
      </c>
      <c r="D1000" s="1" t="s">
        <v>2651</v>
      </c>
      <c r="E1000" s="1" t="s">
        <v>1653</v>
      </c>
      <c r="F1000" s="1">
        <v>1</v>
      </c>
      <c r="G1000" s="1"/>
      <c r="H1000" s="1"/>
      <c r="I1000" s="1"/>
      <c r="J1000" s="1" t="str">
        <f t="shared" si="15"/>
        <v/>
      </c>
    </row>
    <row r="1001" spans="1:10" ht="14.25" customHeight="1" x14ac:dyDescent="0.2">
      <c r="A1001" s="1" t="s">
        <v>1148</v>
      </c>
      <c r="B1001" s="1" t="s">
        <v>121</v>
      </c>
      <c r="C1001" s="1">
        <v>68021292</v>
      </c>
      <c r="D1001" s="1" t="s">
        <v>3008</v>
      </c>
      <c r="E1001" s="1" t="s">
        <v>1854</v>
      </c>
      <c r="F1001" s="1">
        <v>1</v>
      </c>
      <c r="G1001" s="1"/>
      <c r="H1001" s="1"/>
      <c r="I1001" s="1"/>
      <c r="J1001" s="1" t="str">
        <f t="shared" si="15"/>
        <v/>
      </c>
    </row>
    <row r="1002" spans="1:10" ht="14.25" customHeight="1" x14ac:dyDescent="0.2">
      <c r="A1002" s="1" t="s">
        <v>263</v>
      </c>
      <c r="B1002" s="1" t="s">
        <v>40</v>
      </c>
      <c r="C1002" s="1">
        <v>139246315</v>
      </c>
      <c r="D1002" s="1" t="s">
        <v>2251</v>
      </c>
      <c r="E1002" s="1" t="s">
        <v>1432</v>
      </c>
      <c r="F1002" s="1" t="s">
        <v>3406</v>
      </c>
      <c r="G1002" s="1" t="s">
        <v>8391</v>
      </c>
      <c r="H1002" s="1" t="s">
        <v>3843</v>
      </c>
      <c r="I1002" s="1"/>
      <c r="J1002" s="1" t="str">
        <f t="shared" si="15"/>
        <v>多321个氨基酸，但rs号是多350个chr7:139257673-139316492</v>
      </c>
    </row>
    <row r="1003" spans="1:10" ht="14.25" customHeight="1" x14ac:dyDescent="0.2">
      <c r="A1003" s="1" t="s">
        <v>755</v>
      </c>
      <c r="B1003" s="1" t="s">
        <v>40</v>
      </c>
      <c r="C1003" s="1">
        <v>128432049</v>
      </c>
      <c r="D1003" s="1" t="s">
        <v>2679</v>
      </c>
      <c r="E1003" s="1" t="s">
        <v>1667</v>
      </c>
      <c r="F1003" s="1">
        <v>1</v>
      </c>
      <c r="G1003" s="1"/>
      <c r="H1003" s="1"/>
      <c r="I1003" s="1"/>
      <c r="J1003" s="1" t="str">
        <f t="shared" si="15"/>
        <v/>
      </c>
    </row>
    <row r="1004" spans="1:10" ht="14.25" customHeight="1" x14ac:dyDescent="0.2">
      <c r="A1004" s="1" t="s">
        <v>488</v>
      </c>
      <c r="B1004" s="1" t="s">
        <v>1</v>
      </c>
      <c r="C1004" s="1">
        <v>241526132</v>
      </c>
      <c r="D1004" s="1" t="s">
        <v>2443</v>
      </c>
      <c r="E1004" s="1" t="s">
        <v>1539</v>
      </c>
      <c r="F1004" s="1">
        <v>1</v>
      </c>
      <c r="G1004" s="1"/>
      <c r="H1004" s="1"/>
      <c r="I1004" s="1"/>
      <c r="J1004" s="1" t="str">
        <f t="shared" si="15"/>
        <v/>
      </c>
    </row>
    <row r="1005" spans="1:10" ht="14.25" customHeight="1" x14ac:dyDescent="0.2">
      <c r="A1005" s="1" t="s">
        <v>489</v>
      </c>
      <c r="B1005" s="1" t="s">
        <v>1</v>
      </c>
      <c r="C1005" s="1">
        <v>241526132</v>
      </c>
      <c r="D1005" s="1" t="s">
        <v>2444</v>
      </c>
      <c r="E1005" s="1" t="s">
        <v>1539</v>
      </c>
      <c r="F1005" s="1">
        <v>1</v>
      </c>
      <c r="G1005" s="1"/>
      <c r="H1005" s="1"/>
      <c r="I1005" s="1"/>
      <c r="J1005" s="1" t="str">
        <f t="shared" si="15"/>
        <v/>
      </c>
    </row>
    <row r="1006" spans="1:10" ht="14.25" customHeight="1" x14ac:dyDescent="0.2">
      <c r="A1006" s="1" t="s">
        <v>1237</v>
      </c>
      <c r="B1006" s="1" t="s">
        <v>50</v>
      </c>
      <c r="C1006" s="1">
        <v>15783827</v>
      </c>
      <c r="D1006" s="1" t="s">
        <v>3273</v>
      </c>
      <c r="E1006" s="1" t="s">
        <v>2005</v>
      </c>
      <c r="F1006" s="1">
        <v>2</v>
      </c>
      <c r="G1006" s="1"/>
      <c r="H1006" s="1"/>
      <c r="I1006" s="1"/>
      <c r="J1006" s="1" t="str">
        <f t="shared" si="15"/>
        <v/>
      </c>
    </row>
    <row r="1007" spans="1:10" ht="14.25" customHeight="1" x14ac:dyDescent="0.2">
      <c r="A1007" s="1" t="s">
        <v>168</v>
      </c>
      <c r="B1007" s="1" t="s">
        <v>121</v>
      </c>
      <c r="C1007" s="1">
        <v>1278335</v>
      </c>
      <c r="D1007" s="1" t="s">
        <v>2149</v>
      </c>
      <c r="E1007" s="1" t="s">
        <v>167</v>
      </c>
      <c r="F1007" s="1" t="s">
        <v>2062</v>
      </c>
      <c r="G1007" s="1"/>
      <c r="H1007" s="1" t="s">
        <v>3763</v>
      </c>
      <c r="I1007" s="1"/>
      <c r="J1007" s="1" t="str">
        <f t="shared" si="15"/>
        <v>纠后正确</v>
      </c>
    </row>
    <row r="1008" spans="1:10" ht="14.25" customHeight="1" x14ac:dyDescent="0.2">
      <c r="A1008" s="1" t="s">
        <v>673</v>
      </c>
      <c r="B1008" s="1" t="s">
        <v>175</v>
      </c>
      <c r="C1008" s="1">
        <v>33378772</v>
      </c>
      <c r="D1008" s="1" t="s">
        <v>2609</v>
      </c>
      <c r="E1008" s="1" t="s">
        <v>1630</v>
      </c>
      <c r="F1008" s="1">
        <v>1</v>
      </c>
      <c r="G1008" s="1"/>
      <c r="H1008" s="1"/>
      <c r="I1008" s="1"/>
      <c r="J1008" s="1" t="str">
        <f t="shared" si="15"/>
        <v/>
      </c>
    </row>
    <row r="1009" spans="1:10" ht="14.25" customHeight="1" x14ac:dyDescent="0.2">
      <c r="A1009" s="1" t="s">
        <v>105</v>
      </c>
      <c r="B1009" s="1" t="s">
        <v>47</v>
      </c>
      <c r="C1009" s="1">
        <v>34092875</v>
      </c>
      <c r="D1009" s="1" t="s">
        <v>2109</v>
      </c>
      <c r="E1009" s="1" t="s">
        <v>104</v>
      </c>
      <c r="F1009" s="1" t="s">
        <v>2062</v>
      </c>
      <c r="G1009" s="1"/>
      <c r="H1009" s="1" t="s">
        <v>3763</v>
      </c>
      <c r="I1009" s="1"/>
      <c r="J1009" s="1" t="str">
        <f t="shared" si="15"/>
        <v>纠后正确</v>
      </c>
    </row>
    <row r="1010" spans="1:10" ht="14.25" customHeight="1" x14ac:dyDescent="0.2">
      <c r="A1010" s="1" t="s">
        <v>394</v>
      </c>
      <c r="B1010" s="1" t="s">
        <v>139</v>
      </c>
      <c r="C1010" s="1">
        <v>186798031</v>
      </c>
      <c r="D1010" s="1" t="s">
        <v>2370</v>
      </c>
      <c r="E1010" s="1" t="s">
        <v>1493</v>
      </c>
      <c r="F1010" s="1">
        <v>1</v>
      </c>
      <c r="G1010" s="1"/>
      <c r="H1010" s="1"/>
      <c r="I1010" s="1"/>
      <c r="J1010" s="1" t="str">
        <f t="shared" si="15"/>
        <v/>
      </c>
    </row>
    <row r="1011" spans="1:10" ht="14.25" customHeight="1" x14ac:dyDescent="0.2">
      <c r="A1011" s="1" t="s">
        <v>926</v>
      </c>
      <c r="B1011" s="1" t="s">
        <v>36</v>
      </c>
      <c r="C1011" s="1">
        <v>32409320</v>
      </c>
      <c r="D1011" s="1" t="s">
        <v>2826</v>
      </c>
      <c r="E1011" s="1" t="s">
        <v>1744</v>
      </c>
      <c r="F1011" s="1">
        <v>1</v>
      </c>
      <c r="G1011" s="1"/>
      <c r="H1011" s="1"/>
      <c r="I1011" s="1"/>
      <c r="J1011" s="1" t="str">
        <f t="shared" si="15"/>
        <v/>
      </c>
    </row>
    <row r="1012" spans="1:10" ht="14.25" customHeight="1" x14ac:dyDescent="0.2">
      <c r="A1012" s="1" t="s">
        <v>927</v>
      </c>
      <c r="B1012" s="1" t="s">
        <v>36</v>
      </c>
      <c r="C1012" s="1">
        <v>32409320</v>
      </c>
      <c r="D1012" s="1" t="s">
        <v>2827</v>
      </c>
      <c r="E1012" s="1" t="s">
        <v>1744</v>
      </c>
      <c r="F1012" s="1">
        <v>1</v>
      </c>
      <c r="G1012" s="1"/>
      <c r="H1012" s="1"/>
      <c r="I1012" s="1"/>
      <c r="J1012" s="1" t="str">
        <f t="shared" si="15"/>
        <v/>
      </c>
    </row>
    <row r="1013" spans="1:10" ht="14.25" customHeight="1" x14ac:dyDescent="0.2">
      <c r="A1013" s="1" t="s">
        <v>479</v>
      </c>
      <c r="B1013" s="1" t="s">
        <v>1</v>
      </c>
      <c r="C1013" s="1">
        <v>220403668</v>
      </c>
      <c r="D1013" s="1" t="s">
        <v>2437</v>
      </c>
      <c r="E1013" s="1" t="s">
        <v>1536</v>
      </c>
      <c r="F1013" s="1">
        <v>1</v>
      </c>
      <c r="G1013" s="1"/>
      <c r="H1013" s="1"/>
      <c r="I1013" s="1"/>
      <c r="J1013" s="1" t="str">
        <f t="shared" si="15"/>
        <v/>
      </c>
    </row>
    <row r="1014" spans="1:10" ht="14.25" customHeight="1" x14ac:dyDescent="0.2">
      <c r="A1014" s="1" t="s">
        <v>378</v>
      </c>
      <c r="B1014" s="1" t="s">
        <v>139</v>
      </c>
      <c r="C1014" s="1">
        <v>146714290</v>
      </c>
      <c r="D1014" s="1" t="s">
        <v>2354</v>
      </c>
      <c r="E1014" s="1" t="s">
        <v>1486</v>
      </c>
      <c r="F1014" s="1">
        <v>1</v>
      </c>
      <c r="G1014" s="1"/>
      <c r="H1014" s="1"/>
      <c r="I1014" s="1"/>
      <c r="J1014" s="1" t="str">
        <f t="shared" si="15"/>
        <v/>
      </c>
    </row>
    <row r="1015" spans="1:10" ht="14.25" customHeight="1" x14ac:dyDescent="0.2">
      <c r="A1015" s="1" t="s">
        <v>771</v>
      </c>
      <c r="B1015" s="1" t="s">
        <v>103</v>
      </c>
      <c r="C1015" s="1">
        <v>6264112</v>
      </c>
      <c r="D1015" s="1" t="s">
        <v>2692</v>
      </c>
      <c r="E1015" s="1" t="s">
        <v>1675</v>
      </c>
      <c r="F1015" s="1">
        <v>1</v>
      </c>
      <c r="G1015" s="1"/>
      <c r="H1015" s="1"/>
      <c r="I1015" s="1"/>
      <c r="J1015" s="1" t="str">
        <f t="shared" si="15"/>
        <v/>
      </c>
    </row>
    <row r="1016" spans="1:10" ht="14.25" customHeight="1" x14ac:dyDescent="0.2">
      <c r="A1016" s="1" t="s">
        <v>534</v>
      </c>
      <c r="B1016" s="1" t="s">
        <v>86</v>
      </c>
      <c r="C1016" s="1">
        <v>111805181</v>
      </c>
      <c r="D1016" s="1" t="s">
        <v>2485</v>
      </c>
      <c r="E1016" s="1" t="s">
        <v>1554</v>
      </c>
      <c r="F1016" s="1">
        <v>1</v>
      </c>
      <c r="G1016" s="1"/>
      <c r="H1016" s="1"/>
      <c r="I1016" s="1"/>
      <c r="J1016" s="1" t="str">
        <f t="shared" si="15"/>
        <v/>
      </c>
    </row>
    <row r="1017" spans="1:10" ht="14.25" customHeight="1" x14ac:dyDescent="0.2">
      <c r="A1017" s="1" t="s">
        <v>548</v>
      </c>
      <c r="B1017" s="1" t="s">
        <v>86</v>
      </c>
      <c r="C1017" s="1">
        <v>124801479</v>
      </c>
      <c r="D1017" s="1" t="s">
        <v>3225</v>
      </c>
      <c r="E1017" s="1" t="s">
        <v>1977</v>
      </c>
      <c r="F1017" s="1">
        <v>2</v>
      </c>
      <c r="G1017" s="1"/>
      <c r="H1017" s="1"/>
      <c r="I1017" s="1"/>
      <c r="J1017" s="1" t="str">
        <f t="shared" si="15"/>
        <v/>
      </c>
    </row>
    <row r="1018" spans="1:10" ht="14.25" customHeight="1" x14ac:dyDescent="0.2">
      <c r="A1018" s="1" t="s">
        <v>227</v>
      </c>
      <c r="B1018" s="1" t="s">
        <v>81</v>
      </c>
      <c r="C1018" s="1">
        <v>73957643</v>
      </c>
      <c r="D1018" s="1" t="s">
        <v>3853</v>
      </c>
      <c r="E1018" s="1" t="s">
        <v>271</v>
      </c>
      <c r="F1018" s="1" t="s">
        <v>2062</v>
      </c>
      <c r="G1018" s="1"/>
      <c r="H1018" s="1" t="s">
        <v>8393</v>
      </c>
      <c r="I1018" s="1"/>
      <c r="J1018" s="1" t="str">
        <f t="shared" si="15"/>
        <v>纠后正确，utr略有变化，版本不一致</v>
      </c>
    </row>
    <row r="1019" spans="1:10" ht="14.25" customHeight="1" x14ac:dyDescent="0.2">
      <c r="A1019" s="1" t="s">
        <v>322</v>
      </c>
      <c r="B1019" s="1" t="s">
        <v>139</v>
      </c>
      <c r="C1019" s="1">
        <v>6581406</v>
      </c>
      <c r="D1019" s="1" t="s">
        <v>3211</v>
      </c>
      <c r="E1019" s="1" t="s">
        <v>1971</v>
      </c>
      <c r="F1019" s="1">
        <v>2</v>
      </c>
      <c r="G1019" s="1"/>
      <c r="H1019" s="1"/>
      <c r="I1019" s="1"/>
      <c r="J1019" s="1" t="str">
        <f t="shared" si="15"/>
        <v/>
      </c>
    </row>
    <row r="1020" spans="1:10" ht="14.25" customHeight="1" x14ac:dyDescent="0.2">
      <c r="A1020" s="1" t="s">
        <v>928</v>
      </c>
      <c r="B1020" s="1" t="s">
        <v>36</v>
      </c>
      <c r="C1020" s="1">
        <v>34127110</v>
      </c>
      <c r="D1020" s="1" t="s">
        <v>2828</v>
      </c>
      <c r="E1020" s="1" t="s">
        <v>1745</v>
      </c>
      <c r="F1020" s="1">
        <v>1</v>
      </c>
      <c r="G1020" s="1"/>
      <c r="H1020" s="1"/>
      <c r="I1020" s="1"/>
      <c r="J1020" s="1" t="str">
        <f t="shared" si="15"/>
        <v/>
      </c>
    </row>
    <row r="1021" spans="1:10" ht="14.25" customHeight="1" x14ac:dyDescent="0.2">
      <c r="A1021" s="1" t="s">
        <v>592</v>
      </c>
      <c r="B1021" s="1" t="s">
        <v>569</v>
      </c>
      <c r="C1021" s="1">
        <v>40751913</v>
      </c>
      <c r="D1021" s="1" t="s">
        <v>2535</v>
      </c>
      <c r="E1021" s="1" t="s">
        <v>1579</v>
      </c>
      <c r="F1021" s="1">
        <v>1</v>
      </c>
      <c r="G1021" s="1"/>
      <c r="H1021" s="1"/>
      <c r="I1021" s="1"/>
      <c r="J1021" s="1" t="str">
        <f t="shared" si="15"/>
        <v/>
      </c>
    </row>
    <row r="1022" spans="1:10" ht="14.25" customHeight="1" x14ac:dyDescent="0.2">
      <c r="A1022" s="1" t="s">
        <v>1271</v>
      </c>
      <c r="B1022" s="1" t="s">
        <v>50</v>
      </c>
      <c r="C1022" s="1">
        <v>50380681</v>
      </c>
      <c r="D1022" s="1" t="s">
        <v>3103</v>
      </c>
      <c r="E1022" s="1" t="s">
        <v>1916</v>
      </c>
      <c r="F1022" s="1">
        <v>1</v>
      </c>
      <c r="G1022" s="1"/>
      <c r="H1022" s="1"/>
      <c r="I1022" s="1"/>
      <c r="J1022" s="1" t="str">
        <f t="shared" si="15"/>
        <v/>
      </c>
    </row>
    <row r="1023" spans="1:10" ht="14.25" customHeight="1" x14ac:dyDescent="0.2">
      <c r="A1023" s="1" t="s">
        <v>846</v>
      </c>
      <c r="B1023" s="1" t="s">
        <v>93</v>
      </c>
      <c r="C1023" s="1">
        <v>11784355</v>
      </c>
      <c r="D1023" s="1" t="s">
        <v>3242</v>
      </c>
      <c r="E1023" s="1" t="s">
        <v>1986</v>
      </c>
      <c r="F1023" s="1">
        <v>2</v>
      </c>
      <c r="G1023" s="1"/>
      <c r="H1023" s="1"/>
      <c r="I1023" s="1"/>
      <c r="J1023" s="1" t="str">
        <f t="shared" si="15"/>
        <v/>
      </c>
    </row>
    <row r="1024" spans="1:10" ht="14.25" customHeight="1" x14ac:dyDescent="0.2">
      <c r="A1024" s="1" t="s">
        <v>1135</v>
      </c>
      <c r="B1024" s="1" t="s">
        <v>121</v>
      </c>
      <c r="C1024" s="1">
        <v>31072163</v>
      </c>
      <c r="D1024" s="1" t="s">
        <v>2996</v>
      </c>
      <c r="E1024" s="1" t="s">
        <v>1848</v>
      </c>
      <c r="F1024" s="1">
        <v>1</v>
      </c>
      <c r="G1024" s="1"/>
      <c r="H1024" s="1"/>
      <c r="I1024" s="1"/>
      <c r="J1024" s="1" t="str">
        <f t="shared" si="15"/>
        <v/>
      </c>
    </row>
    <row r="1025" spans="1:10" ht="14.25" customHeight="1" x14ac:dyDescent="0.2">
      <c r="A1025" s="1" t="s">
        <v>37</v>
      </c>
      <c r="B1025" s="1" t="s">
        <v>36</v>
      </c>
      <c r="C1025" s="1">
        <v>111652918</v>
      </c>
      <c r="D1025" s="1" t="s">
        <v>2075</v>
      </c>
      <c r="E1025" s="1" t="s">
        <v>34</v>
      </c>
      <c r="F1025" s="1" t="s">
        <v>2062</v>
      </c>
      <c r="G1025" s="1"/>
      <c r="H1025" s="1" t="s">
        <v>8394</v>
      </c>
      <c r="I1025" s="1"/>
      <c r="J1025" s="1" t="str">
        <f t="shared" si="15"/>
        <v>纠后正确</v>
      </c>
    </row>
    <row r="1026" spans="1:10" ht="14.25" customHeight="1" x14ac:dyDescent="0.2">
      <c r="A1026" s="1" t="s">
        <v>1141</v>
      </c>
      <c r="B1026" s="1" t="s">
        <v>121</v>
      </c>
      <c r="C1026" s="1">
        <v>46614465</v>
      </c>
      <c r="D1026" s="1" t="s">
        <v>3002</v>
      </c>
      <c r="E1026" s="1" t="s">
        <v>1850</v>
      </c>
      <c r="F1026" s="1">
        <v>1</v>
      </c>
      <c r="G1026" s="1"/>
      <c r="H1026" s="1"/>
      <c r="I1026" s="1"/>
      <c r="J1026" s="1" t="str">
        <f t="shared" si="15"/>
        <v/>
      </c>
    </row>
    <row r="1027" spans="1:10" ht="14.25" customHeight="1" x14ac:dyDescent="0.2">
      <c r="A1027" s="1" t="s">
        <v>453</v>
      </c>
      <c r="B1027" s="1" t="s">
        <v>1</v>
      </c>
      <c r="C1027" s="1">
        <v>172173911</v>
      </c>
      <c r="D1027" s="1" t="s">
        <v>2417</v>
      </c>
      <c r="E1027" s="1" t="s">
        <v>1523</v>
      </c>
      <c r="F1027" s="1">
        <v>1</v>
      </c>
      <c r="G1027" s="1"/>
      <c r="H1027" s="1"/>
      <c r="I1027" s="1"/>
      <c r="J1027" s="1" t="str">
        <f t="shared" ref="J1027:J1090" si="16">IF(H1027="",IF(I1027="","",I1027),H1027)</f>
        <v/>
      </c>
    </row>
    <row r="1028" spans="1:10" ht="14.25" customHeight="1" x14ac:dyDescent="0.2">
      <c r="A1028" s="1" t="s">
        <v>1217</v>
      </c>
      <c r="B1028" s="1" t="s">
        <v>179</v>
      </c>
      <c r="C1028" s="1">
        <v>66465316</v>
      </c>
      <c r="D1028" s="1" t="s">
        <v>3064</v>
      </c>
      <c r="E1028" s="1" t="s">
        <v>1892</v>
      </c>
      <c r="F1028" s="1">
        <v>1</v>
      </c>
      <c r="G1028" s="1"/>
      <c r="H1028" s="1"/>
      <c r="I1028" s="1"/>
      <c r="J1028" s="1" t="str">
        <f t="shared" si="16"/>
        <v/>
      </c>
    </row>
    <row r="1029" spans="1:10" ht="14.25" customHeight="1" x14ac:dyDescent="0.2">
      <c r="A1029" s="1" t="s">
        <v>108</v>
      </c>
      <c r="B1029" s="1" t="s">
        <v>103</v>
      </c>
      <c r="C1029" s="1">
        <v>21964382</v>
      </c>
      <c r="D1029" s="1" t="s">
        <v>3860</v>
      </c>
      <c r="E1029" s="1" t="s">
        <v>107</v>
      </c>
      <c r="F1029" s="1" t="s">
        <v>2062</v>
      </c>
      <c r="G1029" s="1"/>
      <c r="H1029" s="1" t="s">
        <v>8396</v>
      </c>
      <c r="I1029" s="1"/>
      <c r="J1029" s="1" t="str">
        <f t="shared" si="16"/>
        <v>纠后正确</v>
      </c>
    </row>
    <row r="1030" spans="1:10" ht="14.25" customHeight="1" x14ac:dyDescent="0.2">
      <c r="A1030" s="1" t="s">
        <v>1383</v>
      </c>
      <c r="B1030" s="1" t="s">
        <v>73</v>
      </c>
      <c r="C1030" s="1">
        <v>49019180</v>
      </c>
      <c r="D1030" s="1" t="s">
        <v>3296</v>
      </c>
      <c r="E1030" s="1" t="s">
        <v>2012</v>
      </c>
      <c r="F1030" s="1">
        <v>3</v>
      </c>
      <c r="G1030" s="1"/>
      <c r="H1030" s="1"/>
      <c r="I1030" s="1"/>
      <c r="J1030" s="1" t="str">
        <f t="shared" si="16"/>
        <v/>
      </c>
    </row>
    <row r="1031" spans="1:10" ht="14.25" customHeight="1" x14ac:dyDescent="0.2">
      <c r="A1031" s="1" t="s">
        <v>1178</v>
      </c>
      <c r="B1031" s="1" t="s">
        <v>47</v>
      </c>
      <c r="C1031" s="1">
        <v>40819931</v>
      </c>
      <c r="D1031" s="1" t="s">
        <v>3031</v>
      </c>
      <c r="E1031" s="1" t="s">
        <v>1871</v>
      </c>
      <c r="F1031" s="1">
        <v>1</v>
      </c>
      <c r="G1031" s="1"/>
      <c r="H1031" s="1"/>
      <c r="I1031" s="1"/>
      <c r="J1031" s="1" t="str">
        <f t="shared" si="16"/>
        <v/>
      </c>
    </row>
    <row r="1032" spans="1:10" ht="14.25" customHeight="1" x14ac:dyDescent="0.2">
      <c r="A1032" s="1" t="s">
        <v>878</v>
      </c>
      <c r="B1032" s="1" t="s">
        <v>93</v>
      </c>
      <c r="C1032" s="1">
        <v>97071529</v>
      </c>
      <c r="D1032" s="1" t="s">
        <v>2783</v>
      </c>
      <c r="E1032" s="1" t="s">
        <v>1725</v>
      </c>
      <c r="F1032" s="1">
        <v>1</v>
      </c>
      <c r="G1032" s="1"/>
      <c r="H1032" s="1"/>
      <c r="I1032" s="1"/>
      <c r="J1032" s="1" t="str">
        <f t="shared" si="16"/>
        <v/>
      </c>
    </row>
    <row r="1033" spans="1:10" ht="14.25" customHeight="1" x14ac:dyDescent="0.2">
      <c r="A1033" s="1" t="s">
        <v>870</v>
      </c>
      <c r="B1033" s="1" t="s">
        <v>93</v>
      </c>
      <c r="C1033" s="1">
        <v>70980058</v>
      </c>
      <c r="D1033" s="1" t="s">
        <v>2775</v>
      </c>
      <c r="E1033" s="1" t="s">
        <v>1720</v>
      </c>
      <c r="F1033" s="1">
        <v>1</v>
      </c>
      <c r="G1033" s="1"/>
      <c r="H1033" s="1"/>
      <c r="I1033" s="1"/>
      <c r="J1033" s="1" t="str">
        <f t="shared" si="16"/>
        <v/>
      </c>
    </row>
    <row r="1034" spans="1:10" ht="14.25" customHeight="1" x14ac:dyDescent="0.2">
      <c r="A1034" s="1" t="s">
        <v>487</v>
      </c>
      <c r="B1034" s="1" t="s">
        <v>1</v>
      </c>
      <c r="C1034" s="1">
        <v>232063293</v>
      </c>
      <c r="D1034" s="1" t="s">
        <v>2442</v>
      </c>
      <c r="E1034" s="1" t="s">
        <v>270</v>
      </c>
      <c r="F1034" s="1">
        <v>1</v>
      </c>
      <c r="G1034" s="1"/>
      <c r="H1034" s="1"/>
      <c r="I1034" s="1"/>
      <c r="J1034" s="1" t="str">
        <f t="shared" si="16"/>
        <v/>
      </c>
    </row>
    <row r="1035" spans="1:10" ht="14.25" customHeight="1" x14ac:dyDescent="0.2">
      <c r="A1035" s="1" t="s">
        <v>92</v>
      </c>
      <c r="B1035" s="1" t="s">
        <v>93</v>
      </c>
      <c r="C1035" s="1">
        <v>7601231</v>
      </c>
      <c r="D1035" s="1" t="s">
        <v>3861</v>
      </c>
      <c r="E1035" s="1" t="s">
        <v>91</v>
      </c>
      <c r="F1035" s="1" t="s">
        <v>2067</v>
      </c>
      <c r="G1035" s="1"/>
      <c r="H1035" s="1" t="s">
        <v>8396</v>
      </c>
      <c r="I1035" s="1"/>
      <c r="J1035" s="1" t="str">
        <f t="shared" si="16"/>
        <v>纠后正确</v>
      </c>
    </row>
    <row r="1036" spans="1:10" ht="14.25" customHeight="1" x14ac:dyDescent="0.2">
      <c r="A1036" s="1" t="s">
        <v>744</v>
      </c>
      <c r="B1036" s="1" t="s">
        <v>40</v>
      </c>
      <c r="C1036" s="1">
        <v>76139744</v>
      </c>
      <c r="D1036" s="1" t="s">
        <v>2671</v>
      </c>
      <c r="E1036" s="1" t="s">
        <v>1662</v>
      </c>
      <c r="F1036" s="1">
        <v>1</v>
      </c>
      <c r="G1036" s="1"/>
      <c r="H1036" s="1"/>
      <c r="I1036" s="1"/>
      <c r="J1036" s="1" t="str">
        <f t="shared" si="16"/>
        <v/>
      </c>
    </row>
    <row r="1037" spans="1:10" ht="14.25" customHeight="1" x14ac:dyDescent="0.2">
      <c r="A1037" s="1" t="s">
        <v>1331</v>
      </c>
      <c r="B1037" s="1" t="s">
        <v>241</v>
      </c>
      <c r="C1037" s="1">
        <v>46875423</v>
      </c>
      <c r="D1037" s="1" t="s">
        <v>2293</v>
      </c>
      <c r="E1037" s="1" t="s">
        <v>1456</v>
      </c>
      <c r="F1037" s="1" t="s">
        <v>3406</v>
      </c>
      <c r="G1037" s="1"/>
      <c r="H1037" s="1" t="s">
        <v>3835</v>
      </c>
      <c r="I1037" s="1"/>
      <c r="J1037" s="1" t="str">
        <f t="shared" si="16"/>
        <v>纠后正确，少3个氨基酸chr21:46924462-46932312</v>
      </c>
    </row>
    <row r="1038" spans="1:10" ht="14.25" customHeight="1" x14ac:dyDescent="0.2">
      <c r="A1038" s="1" t="s">
        <v>42</v>
      </c>
      <c r="B1038" s="1" t="s">
        <v>43</v>
      </c>
      <c r="C1038" s="1">
        <v>36585175</v>
      </c>
      <c r="D1038" s="1" t="s">
        <v>2077</v>
      </c>
      <c r="E1038" s="1" t="s">
        <v>41</v>
      </c>
      <c r="F1038" s="1" t="s">
        <v>2062</v>
      </c>
      <c r="G1038" s="1"/>
      <c r="H1038" s="1" t="s">
        <v>8394</v>
      </c>
      <c r="I1038" s="1"/>
      <c r="J1038" s="1" t="str">
        <f t="shared" si="16"/>
        <v>纠后正确</v>
      </c>
    </row>
    <row r="1039" spans="1:10" ht="14.25" customHeight="1" x14ac:dyDescent="0.2">
      <c r="A1039" s="1" t="s">
        <v>337</v>
      </c>
      <c r="B1039" s="1" t="s">
        <v>139</v>
      </c>
      <c r="C1039" s="1">
        <v>33145506</v>
      </c>
      <c r="D1039" s="1" t="s">
        <v>2316</v>
      </c>
      <c r="E1039" s="1" t="s">
        <v>1469</v>
      </c>
      <c r="F1039" s="1">
        <v>1</v>
      </c>
      <c r="G1039" s="1"/>
      <c r="H1039" s="1"/>
      <c r="I1039" s="1"/>
      <c r="J1039" s="1" t="str">
        <f t="shared" si="16"/>
        <v/>
      </c>
    </row>
    <row r="1040" spans="1:10" ht="14.25" customHeight="1" x14ac:dyDescent="0.2">
      <c r="A1040" s="1" t="s">
        <v>228</v>
      </c>
      <c r="B1040" s="1" t="s">
        <v>36</v>
      </c>
      <c r="C1040" s="1">
        <v>67758574</v>
      </c>
      <c r="D1040" s="1" t="s">
        <v>2204</v>
      </c>
      <c r="E1040" s="1" t="s">
        <v>306</v>
      </c>
      <c r="F1040" s="1" t="s">
        <v>2062</v>
      </c>
      <c r="G1040" s="1"/>
      <c r="H1040" s="1" t="s">
        <v>3763</v>
      </c>
      <c r="I1040" s="1"/>
      <c r="J1040" s="1" t="str">
        <f t="shared" si="16"/>
        <v>纠后正确</v>
      </c>
    </row>
    <row r="1041" spans="1:10" ht="14.25" customHeight="1" x14ac:dyDescent="0.2">
      <c r="A1041" s="1" t="s">
        <v>1234</v>
      </c>
      <c r="B1041" s="1" t="s">
        <v>50</v>
      </c>
      <c r="C1041" s="1">
        <v>8645125</v>
      </c>
      <c r="D1041" s="1" t="s">
        <v>3075</v>
      </c>
      <c r="E1041" s="1" t="s">
        <v>1901</v>
      </c>
      <c r="F1041" s="1">
        <v>1</v>
      </c>
      <c r="G1041" s="1"/>
      <c r="H1041" s="1"/>
      <c r="I1041" s="1"/>
      <c r="J1041" s="1" t="str">
        <f t="shared" si="16"/>
        <v/>
      </c>
    </row>
    <row r="1042" spans="1:10" ht="14.25" customHeight="1" x14ac:dyDescent="0.2">
      <c r="A1042" s="1" t="s">
        <v>765</v>
      </c>
      <c r="B1042" s="1" t="s">
        <v>40</v>
      </c>
      <c r="C1042" s="1">
        <v>139528951</v>
      </c>
      <c r="D1042" s="1" t="s">
        <v>2687</v>
      </c>
      <c r="E1042" s="1" t="s">
        <v>1671</v>
      </c>
      <c r="F1042" s="1">
        <v>1</v>
      </c>
      <c r="G1042" s="1"/>
      <c r="H1042" s="1"/>
      <c r="I1042" s="1"/>
      <c r="J1042" s="1" t="str">
        <f t="shared" si="16"/>
        <v/>
      </c>
    </row>
    <row r="1043" spans="1:10" ht="14.25" customHeight="1" x14ac:dyDescent="0.2">
      <c r="A1043" s="1" t="s">
        <v>898</v>
      </c>
      <c r="B1043" s="1" t="s">
        <v>36</v>
      </c>
      <c r="C1043" s="1">
        <v>616564</v>
      </c>
      <c r="D1043" s="1" t="s">
        <v>2799</v>
      </c>
      <c r="E1043" s="1" t="s">
        <v>1732</v>
      </c>
      <c r="F1043" s="1">
        <v>1</v>
      </c>
      <c r="G1043" s="1"/>
      <c r="H1043" s="1"/>
      <c r="I1043" s="1"/>
      <c r="J1043" s="1" t="str">
        <f t="shared" si="16"/>
        <v/>
      </c>
    </row>
    <row r="1044" spans="1:10" ht="14.25" customHeight="1" x14ac:dyDescent="0.2">
      <c r="A1044" s="1" t="s">
        <v>166</v>
      </c>
      <c r="B1044" s="1" t="s">
        <v>73</v>
      </c>
      <c r="C1044" s="1">
        <v>104463610</v>
      </c>
      <c r="D1044" s="1" t="s">
        <v>2148</v>
      </c>
      <c r="E1044" s="1" t="s">
        <v>165</v>
      </c>
      <c r="F1044" s="1" t="s">
        <v>2062</v>
      </c>
      <c r="G1044" s="1"/>
      <c r="H1044" s="1" t="s">
        <v>3763</v>
      </c>
      <c r="I1044" s="1"/>
      <c r="J1044" s="1" t="str">
        <f t="shared" si="16"/>
        <v>纠后正确</v>
      </c>
    </row>
    <row r="1045" spans="1:10" ht="14.25" customHeight="1" x14ac:dyDescent="0.2">
      <c r="A1045" s="1" t="s">
        <v>998</v>
      </c>
      <c r="B1045" s="1" t="s">
        <v>36</v>
      </c>
      <c r="C1045" s="1">
        <v>125763379</v>
      </c>
      <c r="D1045" s="1" t="s">
        <v>2877</v>
      </c>
      <c r="E1045" s="1" t="s">
        <v>1767</v>
      </c>
      <c r="F1045" s="1">
        <v>1</v>
      </c>
      <c r="G1045" s="1"/>
      <c r="H1045" s="1"/>
      <c r="I1045" s="1"/>
      <c r="J1045" s="1" t="str">
        <f t="shared" si="16"/>
        <v/>
      </c>
    </row>
    <row r="1046" spans="1:10" ht="14.25" customHeight="1" x14ac:dyDescent="0.2">
      <c r="A1046" s="1" t="s">
        <v>3886</v>
      </c>
      <c r="B1046" s="1" t="s">
        <v>103</v>
      </c>
      <c r="C1046" s="1">
        <v>144939911</v>
      </c>
      <c r="D1046" s="1" t="s">
        <v>2258</v>
      </c>
      <c r="E1046" s="1" t="s">
        <v>1434</v>
      </c>
      <c r="F1046" s="1" t="s">
        <v>3406</v>
      </c>
      <c r="G1046" s="1"/>
      <c r="H1046" s="1"/>
      <c r="I1046" s="1" t="s">
        <v>8379</v>
      </c>
      <c r="J1046" s="1" t="str">
        <f t="shared" si="16"/>
        <v>纠后正确，版本不一致，区间有变化，加2668个氨基酸chr8:144940159-144940299</v>
      </c>
    </row>
    <row r="1047" spans="1:10" ht="14.25" customHeight="1" x14ac:dyDescent="0.2">
      <c r="A1047" s="1" t="s">
        <v>8778</v>
      </c>
      <c r="B1047" s="1" t="s">
        <v>43</v>
      </c>
      <c r="C1047" s="1">
        <v>17956629</v>
      </c>
      <c r="D1047" s="1" t="s">
        <v>2294</v>
      </c>
      <c r="E1047" s="1" t="s">
        <v>1457</v>
      </c>
      <c r="F1047" s="1" t="s">
        <v>3406</v>
      </c>
      <c r="G1047" s="4" t="s">
        <v>8792</v>
      </c>
      <c r="H1047" s="1"/>
      <c r="I1047" s="1"/>
      <c r="J1047" s="1" t="str">
        <f t="shared" si="16"/>
        <v/>
      </c>
    </row>
    <row r="1048" spans="1:10" ht="14.25" customHeight="1" x14ac:dyDescent="0.2">
      <c r="A1048" s="1" t="s">
        <v>3887</v>
      </c>
      <c r="B1048" s="1" t="s">
        <v>47</v>
      </c>
      <c r="C1048" s="1">
        <v>40086887</v>
      </c>
      <c r="D1048" s="1" t="s">
        <v>2278</v>
      </c>
      <c r="E1048" s="1" t="s">
        <v>1447</v>
      </c>
      <c r="F1048" s="1" t="s">
        <v>3406</v>
      </c>
      <c r="G1048" s="1"/>
      <c r="H1048" s="1"/>
      <c r="I1048" s="1" t="s">
        <v>8380</v>
      </c>
      <c r="J1048" s="1" t="str">
        <f t="shared" si="16"/>
        <v>纠后正确,区间略有变化，加66个氨基酸chr17:40107237-40117669</v>
      </c>
    </row>
    <row r="1049" spans="1:10" ht="14.25" customHeight="1" x14ac:dyDescent="0.2">
      <c r="A1049" s="1" t="s">
        <v>1057</v>
      </c>
      <c r="B1049" s="1" t="s">
        <v>106</v>
      </c>
      <c r="C1049" s="1">
        <v>46039029</v>
      </c>
      <c r="D1049" s="1" t="s">
        <v>2929</v>
      </c>
      <c r="E1049" s="1" t="s">
        <v>1804</v>
      </c>
      <c r="F1049" s="1">
        <v>1</v>
      </c>
      <c r="G1049" s="1"/>
      <c r="H1049" s="1"/>
      <c r="I1049" s="1"/>
      <c r="J1049" s="1" t="str">
        <f t="shared" si="16"/>
        <v/>
      </c>
    </row>
    <row r="1050" spans="1:10" ht="14.25" customHeight="1" x14ac:dyDescent="0.2">
      <c r="A1050" s="1" t="s">
        <v>1142</v>
      </c>
      <c r="B1050" s="1" t="s">
        <v>121</v>
      </c>
      <c r="C1050" s="1">
        <v>56518258</v>
      </c>
      <c r="D1050" s="1" t="s">
        <v>3003</v>
      </c>
      <c r="E1050" s="1" t="s">
        <v>1851</v>
      </c>
      <c r="F1050" s="1">
        <v>1</v>
      </c>
      <c r="G1050" s="1"/>
      <c r="H1050" s="1"/>
      <c r="I1050" s="1"/>
      <c r="J1050" s="1" t="str">
        <f t="shared" si="16"/>
        <v/>
      </c>
    </row>
    <row r="1051" spans="1:10" ht="14.25" customHeight="1" x14ac:dyDescent="0.2">
      <c r="A1051" s="1" t="s">
        <v>1280</v>
      </c>
      <c r="B1051" s="1" t="s">
        <v>50</v>
      </c>
      <c r="C1051" s="1">
        <v>54466289</v>
      </c>
      <c r="D1051" s="1" t="s">
        <v>3110</v>
      </c>
      <c r="E1051" s="1" t="s">
        <v>1920</v>
      </c>
      <c r="F1051" s="1">
        <v>1</v>
      </c>
      <c r="G1051" s="1"/>
      <c r="H1051" s="1"/>
      <c r="I1051" s="1"/>
      <c r="J1051" s="1" t="str">
        <f t="shared" si="16"/>
        <v/>
      </c>
    </row>
    <row r="1052" spans="1:10" ht="14.25" customHeight="1" x14ac:dyDescent="0.2">
      <c r="A1052" s="1" t="s">
        <v>743</v>
      </c>
      <c r="B1052" s="1" t="s">
        <v>40</v>
      </c>
      <c r="C1052" s="1">
        <v>75616154</v>
      </c>
      <c r="D1052" s="1" t="s">
        <v>2670</v>
      </c>
      <c r="E1052" s="1" t="s">
        <v>1661</v>
      </c>
      <c r="F1052" s="1">
        <v>1</v>
      </c>
      <c r="G1052" s="1"/>
      <c r="H1052" s="1"/>
      <c r="I1052" s="1"/>
      <c r="J1052" s="1" t="str">
        <f t="shared" si="16"/>
        <v/>
      </c>
    </row>
    <row r="1053" spans="1:10" ht="14.25" customHeight="1" x14ac:dyDescent="0.2">
      <c r="A1053" s="1" t="s">
        <v>976</v>
      </c>
      <c r="B1053" s="1" t="s">
        <v>36</v>
      </c>
      <c r="C1053" s="1">
        <v>112046207</v>
      </c>
      <c r="D1053" s="1" t="s">
        <v>3249</v>
      </c>
      <c r="E1053" s="1" t="s">
        <v>1764</v>
      </c>
      <c r="F1053" s="1">
        <v>2</v>
      </c>
      <c r="G1053" s="1"/>
      <c r="H1053" s="1"/>
      <c r="I1053" s="1"/>
      <c r="J1053" s="1" t="str">
        <f t="shared" si="16"/>
        <v/>
      </c>
    </row>
    <row r="1054" spans="1:10" ht="14.25" customHeight="1" x14ac:dyDescent="0.2">
      <c r="A1054" s="1" t="s">
        <v>229</v>
      </c>
      <c r="B1054" s="1" t="s">
        <v>47</v>
      </c>
      <c r="C1054" s="1">
        <v>79609348</v>
      </c>
      <c r="D1054" s="1" t="s">
        <v>2200</v>
      </c>
      <c r="E1054" s="1" t="s">
        <v>303</v>
      </c>
      <c r="F1054" s="1" t="s">
        <v>2062</v>
      </c>
      <c r="G1054" s="1"/>
      <c r="H1054" s="1" t="s">
        <v>3763</v>
      </c>
      <c r="I1054" s="11"/>
      <c r="J1054" s="1" t="str">
        <f t="shared" si="16"/>
        <v>纠后正确</v>
      </c>
    </row>
    <row r="1055" spans="1:10" ht="14.25" customHeight="1" x14ac:dyDescent="0.2">
      <c r="A1055" s="1" t="s">
        <v>1207</v>
      </c>
      <c r="B1055" s="1" t="s">
        <v>47</v>
      </c>
      <c r="C1055" s="1">
        <v>80416539</v>
      </c>
      <c r="D1055" s="1" t="s">
        <v>3268</v>
      </c>
      <c r="E1055" s="1" t="s">
        <v>2003</v>
      </c>
      <c r="F1055" s="1">
        <v>2</v>
      </c>
      <c r="G1055" s="1"/>
      <c r="H1055" s="1"/>
      <c r="I1055" s="1"/>
      <c r="J1055" s="1" t="str">
        <f t="shared" si="16"/>
        <v/>
      </c>
    </row>
    <row r="1056" spans="1:10" ht="14.25" customHeight="1" x14ac:dyDescent="0.2">
      <c r="A1056" s="1" t="s">
        <v>230</v>
      </c>
      <c r="B1056" s="1" t="s">
        <v>36</v>
      </c>
      <c r="C1056" s="1">
        <v>94800055</v>
      </c>
      <c r="D1056" s="1" t="s">
        <v>3854</v>
      </c>
      <c r="E1056" s="1" t="s">
        <v>302</v>
      </c>
      <c r="F1056" s="1" t="s">
        <v>2062</v>
      </c>
      <c r="G1056" s="1"/>
      <c r="H1056" s="1" t="s">
        <v>8393</v>
      </c>
      <c r="I1056" s="1"/>
      <c r="J1056" s="1" t="str">
        <f t="shared" si="16"/>
        <v>纠后正确，utr略有变化，版本不一致</v>
      </c>
    </row>
    <row r="1057" spans="1:10" ht="14.25" customHeight="1" x14ac:dyDescent="0.2">
      <c r="A1057" s="1" t="s">
        <v>556</v>
      </c>
      <c r="B1057" s="1" t="s">
        <v>86</v>
      </c>
      <c r="C1057" s="1">
        <v>132276981</v>
      </c>
      <c r="D1057" s="1" t="s">
        <v>2503</v>
      </c>
      <c r="E1057" s="1" t="s">
        <v>1563</v>
      </c>
      <c r="F1057" s="1">
        <v>1</v>
      </c>
      <c r="G1057" s="1"/>
      <c r="H1057" s="1"/>
      <c r="I1057" s="1"/>
      <c r="J1057" s="1" t="str">
        <f t="shared" si="16"/>
        <v/>
      </c>
    </row>
    <row r="1058" spans="1:10" ht="14.25" customHeight="1" x14ac:dyDescent="0.2">
      <c r="A1058" s="1" t="s">
        <v>350</v>
      </c>
      <c r="B1058" s="1" t="s">
        <v>139</v>
      </c>
      <c r="C1058" s="1">
        <v>90098643</v>
      </c>
      <c r="D1058" s="1" t="s">
        <v>2326</v>
      </c>
      <c r="E1058" s="1" t="s">
        <v>1477</v>
      </c>
      <c r="F1058" s="1">
        <v>1</v>
      </c>
      <c r="G1058" s="1"/>
      <c r="H1058" s="1"/>
      <c r="I1058" s="1"/>
      <c r="J1058" s="1" t="str">
        <f t="shared" si="16"/>
        <v/>
      </c>
    </row>
    <row r="1059" spans="1:10" ht="14.25" customHeight="1" x14ac:dyDescent="0.2">
      <c r="A1059" s="1" t="s">
        <v>939</v>
      </c>
      <c r="B1059" s="1" t="s">
        <v>36</v>
      </c>
      <c r="C1059" s="1">
        <v>63993737</v>
      </c>
      <c r="D1059" s="1" t="s">
        <v>3244</v>
      </c>
      <c r="E1059" s="1" t="s">
        <v>1988</v>
      </c>
      <c r="F1059" s="1">
        <v>2</v>
      </c>
      <c r="G1059" s="1"/>
      <c r="H1059" s="1"/>
      <c r="I1059" s="1"/>
      <c r="J1059" s="1" t="str">
        <f t="shared" si="16"/>
        <v/>
      </c>
    </row>
    <row r="1060" spans="1:10" ht="14.25" customHeight="1" x14ac:dyDescent="0.2">
      <c r="A1060" s="1" t="s">
        <v>795</v>
      </c>
      <c r="B1060" s="1" t="s">
        <v>103</v>
      </c>
      <c r="C1060" s="1">
        <v>144661866</v>
      </c>
      <c r="D1060" s="1" t="s">
        <v>2709</v>
      </c>
      <c r="E1060" s="1" t="s">
        <v>1688</v>
      </c>
      <c r="F1060" s="1">
        <v>1</v>
      </c>
      <c r="G1060" s="1"/>
      <c r="H1060" s="1"/>
      <c r="I1060" s="1"/>
      <c r="J1060" s="1" t="str">
        <f t="shared" si="16"/>
        <v/>
      </c>
    </row>
    <row r="1061" spans="1:10" ht="14.25" customHeight="1" x14ac:dyDescent="0.2">
      <c r="A1061" s="1" t="s">
        <v>742</v>
      </c>
      <c r="B1061" s="1" t="s">
        <v>40</v>
      </c>
      <c r="C1061" s="1">
        <v>73703804</v>
      </c>
      <c r="D1061" s="1" t="s">
        <v>2669</v>
      </c>
      <c r="E1061" s="1" t="s">
        <v>1660</v>
      </c>
      <c r="F1061" s="1">
        <v>1</v>
      </c>
      <c r="G1061" s="1"/>
      <c r="H1061" s="1"/>
      <c r="I1061" s="1"/>
      <c r="J1061" s="1" t="str">
        <f t="shared" si="16"/>
        <v/>
      </c>
    </row>
    <row r="1062" spans="1:10" ht="14.25" customHeight="1" x14ac:dyDescent="0.2">
      <c r="A1062" s="1" t="s">
        <v>805</v>
      </c>
      <c r="B1062" s="1" t="s">
        <v>103</v>
      </c>
      <c r="C1062" s="1">
        <v>145202918</v>
      </c>
      <c r="D1062" s="1" t="s">
        <v>2718</v>
      </c>
      <c r="E1062" s="1" t="s">
        <v>1693</v>
      </c>
      <c r="F1062" s="1">
        <v>1</v>
      </c>
      <c r="G1062" s="1"/>
      <c r="H1062" s="1"/>
      <c r="I1062" s="1"/>
      <c r="J1062" s="1" t="str">
        <f t="shared" si="16"/>
        <v/>
      </c>
    </row>
    <row r="1063" spans="1:10" ht="14.25" customHeight="1" x14ac:dyDescent="0.2">
      <c r="A1063" s="1" t="s">
        <v>1404</v>
      </c>
      <c r="B1063" s="1" t="s">
        <v>73</v>
      </c>
      <c r="C1063" s="1">
        <v>148678215</v>
      </c>
      <c r="D1063" s="1" t="s">
        <v>3206</v>
      </c>
      <c r="E1063" s="1" t="s">
        <v>1968</v>
      </c>
      <c r="F1063" s="1">
        <v>1</v>
      </c>
      <c r="G1063" s="1"/>
      <c r="H1063" s="1"/>
      <c r="I1063" s="1"/>
      <c r="J1063" s="1" t="str">
        <f t="shared" si="16"/>
        <v/>
      </c>
    </row>
    <row r="1064" spans="1:10" ht="14.25" customHeight="1" x14ac:dyDescent="0.2">
      <c r="A1064" s="1" t="s">
        <v>8416</v>
      </c>
      <c r="B1064" s="1" t="s">
        <v>40</v>
      </c>
      <c r="C1064" s="1">
        <v>149412147</v>
      </c>
      <c r="D1064" s="1" t="s">
        <v>2171</v>
      </c>
      <c r="E1064" s="1" t="s">
        <v>282</v>
      </c>
      <c r="F1064" s="1" t="s">
        <v>2062</v>
      </c>
      <c r="G1064" s="1"/>
      <c r="H1064" s="1" t="s">
        <v>3763</v>
      </c>
      <c r="I1064" s="1"/>
      <c r="J1064" s="1" t="str">
        <f t="shared" si="16"/>
        <v>纠后正确</v>
      </c>
    </row>
    <row r="1065" spans="1:10" ht="14.25" customHeight="1" x14ac:dyDescent="0.2">
      <c r="A1065" s="1" t="s">
        <v>1114</v>
      </c>
      <c r="B1065" s="1" t="s">
        <v>121</v>
      </c>
      <c r="C1065" s="1">
        <v>4853203</v>
      </c>
      <c r="D1065" s="1" t="s">
        <v>2979</v>
      </c>
      <c r="E1065" s="1" t="s">
        <v>1836</v>
      </c>
      <c r="F1065" s="1">
        <v>1</v>
      </c>
      <c r="G1065" s="1"/>
      <c r="H1065" s="1"/>
      <c r="I1065" s="1"/>
      <c r="J1065" s="1" t="str">
        <f t="shared" si="16"/>
        <v/>
      </c>
    </row>
    <row r="1066" spans="1:10" ht="14.25" customHeight="1" x14ac:dyDescent="0.2">
      <c r="A1066" s="1" t="s">
        <v>1064</v>
      </c>
      <c r="B1066" s="1" t="s">
        <v>81</v>
      </c>
      <c r="C1066" s="1">
        <v>21510384</v>
      </c>
      <c r="D1066" s="1" t="s">
        <v>2935</v>
      </c>
      <c r="E1066" s="1" t="s">
        <v>1808</v>
      </c>
      <c r="F1066" s="1">
        <v>1</v>
      </c>
      <c r="G1066" s="1"/>
      <c r="H1066" s="1"/>
      <c r="I1066" s="1"/>
      <c r="J1066" s="1" t="str">
        <f t="shared" si="16"/>
        <v/>
      </c>
    </row>
    <row r="1067" spans="1:10" ht="14.25" customHeight="1" x14ac:dyDescent="0.2">
      <c r="A1067" s="1" t="s">
        <v>1187</v>
      </c>
      <c r="B1067" s="1" t="s">
        <v>47</v>
      </c>
      <c r="C1067" s="1">
        <v>48211100</v>
      </c>
      <c r="D1067" s="1" t="s">
        <v>3388</v>
      </c>
      <c r="E1067" s="1" t="s">
        <v>2052</v>
      </c>
      <c r="F1067" s="1" t="s">
        <v>2062</v>
      </c>
      <c r="G1067" s="1"/>
      <c r="H1067" s="1" t="s">
        <v>3763</v>
      </c>
      <c r="I1067" s="1"/>
      <c r="J1067" s="1" t="str">
        <f t="shared" si="16"/>
        <v>纠后正确</v>
      </c>
    </row>
    <row r="1068" spans="1:10" ht="14.25" customHeight="1" x14ac:dyDescent="0.2">
      <c r="A1068" s="1" t="s">
        <v>414</v>
      </c>
      <c r="B1068" s="1" t="s">
        <v>1</v>
      </c>
      <c r="C1068" s="1">
        <v>27346656</v>
      </c>
      <c r="D1068" s="1" t="s">
        <v>2386</v>
      </c>
      <c r="E1068" s="1" t="s">
        <v>1507</v>
      </c>
      <c r="F1068" s="1">
        <v>1</v>
      </c>
      <c r="G1068" s="1"/>
      <c r="H1068" s="1"/>
      <c r="I1068" s="1"/>
      <c r="J1068" s="1" t="str">
        <f t="shared" si="16"/>
        <v/>
      </c>
    </row>
    <row r="1069" spans="1:10" ht="14.25" customHeight="1" x14ac:dyDescent="0.2">
      <c r="A1069" s="1" t="s">
        <v>1228</v>
      </c>
      <c r="B1069" s="1" t="s">
        <v>50</v>
      </c>
      <c r="C1069" s="1">
        <v>4472254</v>
      </c>
      <c r="D1069" s="1" t="s">
        <v>2284</v>
      </c>
      <c r="E1069" s="1" t="s">
        <v>1450</v>
      </c>
      <c r="F1069" s="1" t="s">
        <v>3406</v>
      </c>
      <c r="G1069" s="1"/>
      <c r="H1069" s="1" t="s">
        <v>3811</v>
      </c>
      <c r="I1069" s="1"/>
      <c r="J1069" s="1" t="str">
        <f t="shared" si="16"/>
        <v>纠后正确，少了5个氨基酸chr19:4499665-4502022</v>
      </c>
    </row>
    <row r="1070" spans="1:10" ht="14.25" customHeight="1" x14ac:dyDescent="0.2">
      <c r="A1070" s="1" t="s">
        <v>1220</v>
      </c>
      <c r="B1070" s="1" t="s">
        <v>179</v>
      </c>
      <c r="C1070" s="1">
        <v>72201691</v>
      </c>
      <c r="D1070" s="1" t="s">
        <v>3067</v>
      </c>
      <c r="E1070" s="1" t="s">
        <v>1894</v>
      </c>
      <c r="F1070" s="1">
        <v>1</v>
      </c>
      <c r="G1070" s="1"/>
      <c r="H1070" s="1"/>
      <c r="I1070" s="1"/>
      <c r="J1070" s="1" t="str">
        <f t="shared" si="16"/>
        <v/>
      </c>
    </row>
    <row r="1071" spans="1:10" ht="14.25" customHeight="1" x14ac:dyDescent="0.2">
      <c r="A1071" s="1" t="s">
        <v>497</v>
      </c>
      <c r="B1071" s="1" t="s">
        <v>86</v>
      </c>
      <c r="C1071" s="1">
        <v>9958757</v>
      </c>
      <c r="D1071" s="1" t="s">
        <v>2452</v>
      </c>
      <c r="E1071" s="1" t="s">
        <v>1542</v>
      </c>
      <c r="F1071" s="1">
        <v>1</v>
      </c>
      <c r="G1071" s="1"/>
      <c r="H1071" s="1"/>
      <c r="I1071" s="1"/>
      <c r="J1071" s="1" t="str">
        <f t="shared" si="16"/>
        <v/>
      </c>
    </row>
    <row r="1072" spans="1:10" ht="14.25" customHeight="1" x14ac:dyDescent="0.2">
      <c r="A1072" s="1" t="s">
        <v>1048</v>
      </c>
      <c r="B1072" s="1" t="s">
        <v>212</v>
      </c>
      <c r="C1072" s="1">
        <v>122064454</v>
      </c>
      <c r="D1072" s="1" t="s">
        <v>2271</v>
      </c>
      <c r="E1072" s="1" t="s">
        <v>1443</v>
      </c>
      <c r="F1072" s="1" t="s">
        <v>3406</v>
      </c>
      <c r="G1072" s="1"/>
      <c r="H1072" s="1" t="s">
        <v>3836</v>
      </c>
      <c r="I1072" s="1"/>
      <c r="J1072" s="1" t="str">
        <f t="shared" si="16"/>
        <v>纠后正确，少2个氨基酸chr12：122064785-122079549</v>
      </c>
    </row>
    <row r="1073" spans="1:10" ht="14.25" customHeight="1" x14ac:dyDescent="0.2">
      <c r="A1073" s="1" t="s">
        <v>832</v>
      </c>
      <c r="B1073" s="1" t="s">
        <v>33</v>
      </c>
      <c r="C1073" s="1">
        <v>131483147</v>
      </c>
      <c r="D1073" s="1" t="s">
        <v>2740</v>
      </c>
      <c r="E1073" s="1" t="s">
        <v>1704</v>
      </c>
      <c r="F1073" s="1">
        <v>1</v>
      </c>
      <c r="G1073" s="1"/>
      <c r="H1073" s="1"/>
      <c r="I1073" s="1"/>
      <c r="J1073" s="1" t="str">
        <f t="shared" si="16"/>
        <v/>
      </c>
    </row>
    <row r="1074" spans="1:10" ht="14.25" customHeight="1" x14ac:dyDescent="0.2">
      <c r="A1074" s="1" t="s">
        <v>94</v>
      </c>
      <c r="B1074" s="1" t="s">
        <v>93</v>
      </c>
      <c r="C1074" s="1">
        <v>7601231</v>
      </c>
      <c r="D1074" s="1" t="s">
        <v>2103</v>
      </c>
      <c r="E1074" s="1" t="s">
        <v>91</v>
      </c>
      <c r="F1074" s="1" t="s">
        <v>2067</v>
      </c>
      <c r="G1074" s="1"/>
      <c r="H1074" s="1" t="s">
        <v>8396</v>
      </c>
      <c r="I1074" s="1"/>
      <c r="J1074" s="1" t="str">
        <f t="shared" si="16"/>
        <v>纠后正确</v>
      </c>
    </row>
    <row r="1075" spans="1:10" ht="14.25" customHeight="1" x14ac:dyDescent="0.2">
      <c r="A1075" s="1" t="s">
        <v>1055</v>
      </c>
      <c r="B1075" s="1" t="s">
        <v>106</v>
      </c>
      <c r="C1075" s="1">
        <v>31480311</v>
      </c>
      <c r="D1075" s="1" t="s">
        <v>2927</v>
      </c>
      <c r="E1075" s="1" t="s">
        <v>1802</v>
      </c>
      <c r="F1075" s="1">
        <v>1</v>
      </c>
      <c r="G1075" s="1"/>
      <c r="H1075" s="1"/>
      <c r="I1075" s="1"/>
      <c r="J1075" s="1" t="str">
        <f t="shared" si="16"/>
        <v/>
      </c>
    </row>
    <row r="1076" spans="1:10" ht="14.25" customHeight="1" x14ac:dyDescent="0.2">
      <c r="A1076" s="1" t="s">
        <v>88</v>
      </c>
      <c r="B1076" s="1" t="s">
        <v>50</v>
      </c>
      <c r="C1076" s="1">
        <v>16244837</v>
      </c>
      <c r="D1076" s="1" t="s">
        <v>2100</v>
      </c>
      <c r="E1076" s="1" t="s">
        <v>87</v>
      </c>
      <c r="F1076" s="1" t="s">
        <v>2062</v>
      </c>
      <c r="G1076" s="1"/>
      <c r="H1076" s="1" t="s">
        <v>3763</v>
      </c>
      <c r="I1076" s="1"/>
      <c r="J1076" s="1" t="str">
        <f t="shared" si="16"/>
        <v>纠后正确</v>
      </c>
    </row>
    <row r="1077" spans="1:10" ht="14.25" customHeight="1" x14ac:dyDescent="0.2">
      <c r="A1077" s="1" t="s">
        <v>1143</v>
      </c>
      <c r="B1077" s="1" t="s">
        <v>121</v>
      </c>
      <c r="C1077" s="1">
        <v>56598960</v>
      </c>
      <c r="D1077" s="1" t="s">
        <v>3266</v>
      </c>
      <c r="E1077" s="1" t="s">
        <v>2001</v>
      </c>
      <c r="F1077" s="1">
        <v>2</v>
      </c>
      <c r="G1077" s="1"/>
      <c r="H1077" s="1"/>
      <c r="I1077" s="1"/>
      <c r="J1077" s="1" t="str">
        <f t="shared" si="16"/>
        <v/>
      </c>
    </row>
    <row r="1078" spans="1:10" ht="14.25" customHeight="1" x14ac:dyDescent="0.2">
      <c r="A1078" s="1" t="s">
        <v>538</v>
      </c>
      <c r="B1078" s="1" t="s">
        <v>86</v>
      </c>
      <c r="C1078" s="1">
        <v>119499330</v>
      </c>
      <c r="D1078" s="1" t="s">
        <v>2489</v>
      </c>
      <c r="E1078" s="1" t="s">
        <v>1557</v>
      </c>
      <c r="F1078" s="1">
        <v>1</v>
      </c>
      <c r="G1078" s="1"/>
      <c r="H1078" s="1"/>
      <c r="I1078" s="1"/>
      <c r="J1078" s="1" t="str">
        <f t="shared" si="16"/>
        <v/>
      </c>
    </row>
    <row r="1079" spans="1:10" ht="14.25" customHeight="1" x14ac:dyDescent="0.2">
      <c r="A1079" s="1" t="s">
        <v>1391</v>
      </c>
      <c r="B1079" s="1" t="s">
        <v>73</v>
      </c>
      <c r="C1079" s="1">
        <v>88002225</v>
      </c>
      <c r="D1079" s="1" t="s">
        <v>3193</v>
      </c>
      <c r="E1079" s="1" t="s">
        <v>1963</v>
      </c>
      <c r="F1079" s="1">
        <v>1</v>
      </c>
      <c r="G1079" s="1"/>
      <c r="H1079" s="1"/>
      <c r="I1079" s="1"/>
      <c r="J1079" s="1" t="str">
        <f t="shared" si="16"/>
        <v/>
      </c>
    </row>
    <row r="1080" spans="1:10" ht="14.25" customHeight="1" x14ac:dyDescent="0.2">
      <c r="A1080" s="1" t="s">
        <v>547</v>
      </c>
      <c r="B1080" s="1" t="s">
        <v>86</v>
      </c>
      <c r="C1080" s="1">
        <v>124624288</v>
      </c>
      <c r="D1080" s="1" t="s">
        <v>2238</v>
      </c>
      <c r="E1080" s="1" t="s">
        <v>1422</v>
      </c>
      <c r="F1080" s="1" t="s">
        <v>3406</v>
      </c>
      <c r="G1080" s="1"/>
      <c r="H1080" s="1" t="s">
        <v>8685</v>
      </c>
      <c r="I1080" s="1"/>
      <c r="J1080" s="1" t="str">
        <f t="shared" si="16"/>
        <v>纠后正确，加1个氨基酸chr3:124627032-124646509</v>
      </c>
    </row>
    <row r="1081" spans="1:10" ht="14.25" customHeight="1" x14ac:dyDescent="0.2">
      <c r="A1081" s="1" t="s">
        <v>1172</v>
      </c>
      <c r="B1081" s="1" t="s">
        <v>47</v>
      </c>
      <c r="C1081" s="1">
        <v>39340351</v>
      </c>
      <c r="D1081" s="1" t="s">
        <v>3298</v>
      </c>
      <c r="E1081" s="1" t="s">
        <v>2014</v>
      </c>
      <c r="F1081" s="1">
        <v>4</v>
      </c>
      <c r="G1081" s="1"/>
      <c r="H1081" s="1"/>
      <c r="I1081" s="1"/>
      <c r="J1081" s="1" t="str">
        <f t="shared" si="16"/>
        <v/>
      </c>
    </row>
    <row r="1082" spans="1:10" ht="14.25" customHeight="1" x14ac:dyDescent="0.2">
      <c r="A1082" s="1" t="s">
        <v>1171</v>
      </c>
      <c r="B1082" s="1" t="s">
        <v>47</v>
      </c>
      <c r="C1082" s="1">
        <v>39333697</v>
      </c>
      <c r="D1082" s="1" t="s">
        <v>3026</v>
      </c>
      <c r="E1082" s="1" t="s">
        <v>1867</v>
      </c>
      <c r="F1082" s="1">
        <v>1</v>
      </c>
      <c r="G1082" s="1"/>
      <c r="H1082" s="1"/>
      <c r="I1082" s="1"/>
      <c r="J1082" s="1" t="str">
        <f t="shared" si="16"/>
        <v/>
      </c>
    </row>
    <row r="1083" spans="1:10" ht="14.25" customHeight="1" x14ac:dyDescent="0.2">
      <c r="A1083" s="1" t="s">
        <v>462</v>
      </c>
      <c r="B1083" s="1" t="s">
        <v>1</v>
      </c>
      <c r="C1083" s="1">
        <v>202509596</v>
      </c>
      <c r="D1083" s="1" t="s">
        <v>2426</v>
      </c>
      <c r="E1083" s="1" t="s">
        <v>1530</v>
      </c>
      <c r="F1083" s="1">
        <v>1</v>
      </c>
      <c r="G1083" s="1"/>
      <c r="H1083" s="1"/>
      <c r="I1083" s="1"/>
      <c r="J1083" s="1" t="str">
        <f t="shared" si="16"/>
        <v/>
      </c>
    </row>
    <row r="1084" spans="1:10" ht="14.25" customHeight="1" x14ac:dyDescent="0.2">
      <c r="A1084" s="1" t="s">
        <v>1291</v>
      </c>
      <c r="B1084" s="1" t="s">
        <v>53</v>
      </c>
      <c r="C1084" s="1">
        <v>278203</v>
      </c>
      <c r="D1084" s="1" t="s">
        <v>2290</v>
      </c>
      <c r="E1084" s="1" t="s">
        <v>1454</v>
      </c>
      <c r="F1084" s="1" t="s">
        <v>3406</v>
      </c>
      <c r="G1084" s="1"/>
      <c r="H1084" s="1" t="s">
        <v>3837</v>
      </c>
      <c r="I1084" s="1"/>
      <c r="J1084" s="1" t="str">
        <f t="shared" si="16"/>
        <v>纠后正确，少1个氨基酸chr20:278691-279442</v>
      </c>
    </row>
    <row r="1085" spans="1:10" ht="14.25" customHeight="1" x14ac:dyDescent="0.2">
      <c r="A1085" s="1" t="s">
        <v>614</v>
      </c>
      <c r="B1085" s="1" t="s">
        <v>569</v>
      </c>
      <c r="C1085" s="1">
        <v>106967232</v>
      </c>
      <c r="D1085" s="1" t="s">
        <v>2556</v>
      </c>
      <c r="E1085" s="1" t="s">
        <v>1590</v>
      </c>
      <c r="F1085" s="1">
        <v>1</v>
      </c>
      <c r="G1085" s="1"/>
      <c r="H1085" s="1"/>
      <c r="I1085" s="1"/>
      <c r="J1085" s="1" t="str">
        <f t="shared" si="16"/>
        <v/>
      </c>
    </row>
    <row r="1086" spans="1:10" ht="14.25" customHeight="1" x14ac:dyDescent="0.2">
      <c r="A1086" s="1" t="s">
        <v>1246</v>
      </c>
      <c r="B1086" s="1" t="s">
        <v>50</v>
      </c>
      <c r="C1086" s="1">
        <v>35988118</v>
      </c>
      <c r="D1086" s="1" t="s">
        <v>3082</v>
      </c>
      <c r="E1086" s="1" t="s">
        <v>1905</v>
      </c>
      <c r="F1086" s="1">
        <v>1</v>
      </c>
      <c r="G1086" s="1"/>
      <c r="H1086" s="1"/>
      <c r="I1086" s="1"/>
      <c r="J1086" s="1" t="str">
        <f t="shared" si="16"/>
        <v/>
      </c>
    </row>
    <row r="1087" spans="1:10" ht="14.25" customHeight="1" x14ac:dyDescent="0.2">
      <c r="A1087" s="1" t="s">
        <v>536</v>
      </c>
      <c r="B1087" s="1" t="s">
        <v>86</v>
      </c>
      <c r="C1087" s="1">
        <v>119421868</v>
      </c>
      <c r="D1087" s="1" t="s">
        <v>2487</v>
      </c>
      <c r="E1087" s="1" t="s">
        <v>1556</v>
      </c>
      <c r="F1087" s="1">
        <v>1</v>
      </c>
      <c r="G1087" s="1"/>
      <c r="H1087" s="1"/>
      <c r="I1087" s="1"/>
      <c r="J1087" s="1" t="str">
        <f t="shared" si="16"/>
        <v/>
      </c>
    </row>
    <row r="1088" spans="1:10" ht="14.25" customHeight="1" x14ac:dyDescent="0.2">
      <c r="A1088" s="1" t="s">
        <v>232</v>
      </c>
      <c r="B1088" s="1" t="s">
        <v>121</v>
      </c>
      <c r="C1088" s="1">
        <v>76311175</v>
      </c>
      <c r="D1088" s="1" t="s">
        <v>2161</v>
      </c>
      <c r="E1088" s="1" t="s">
        <v>273</v>
      </c>
      <c r="F1088" s="1" t="s">
        <v>2062</v>
      </c>
      <c r="G1088" s="1"/>
      <c r="H1088" s="1" t="s">
        <v>3763</v>
      </c>
      <c r="I1088" s="1"/>
      <c r="J1088" s="1" t="str">
        <f t="shared" si="16"/>
        <v>纠后正确</v>
      </c>
    </row>
    <row r="1089" spans="1:10" ht="14.25" customHeight="1" x14ac:dyDescent="0.2">
      <c r="A1089" s="1" t="s">
        <v>3888</v>
      </c>
      <c r="B1089" s="1" t="s">
        <v>36</v>
      </c>
      <c r="C1089" s="1">
        <v>111848032</v>
      </c>
      <c r="D1089" s="1" t="s">
        <v>3360</v>
      </c>
      <c r="E1089" s="1" t="s">
        <v>67</v>
      </c>
      <c r="F1089" s="1" t="s">
        <v>2062</v>
      </c>
      <c r="G1089" s="1"/>
      <c r="H1089" s="1"/>
      <c r="I1089" s="1" t="s">
        <v>8687</v>
      </c>
      <c r="J1089" s="1" t="str">
        <f t="shared" si="16"/>
        <v>纠后正确，版本不一致，utr略有变化</v>
      </c>
    </row>
    <row r="1090" spans="1:10" ht="14.25" customHeight="1" x14ac:dyDescent="0.2">
      <c r="A1090" s="1" t="s">
        <v>3889</v>
      </c>
      <c r="B1090" s="1" t="s">
        <v>139</v>
      </c>
      <c r="C1090" s="1">
        <v>1571099</v>
      </c>
      <c r="D1090" s="1" t="s">
        <v>2222</v>
      </c>
      <c r="E1090" s="1" t="s">
        <v>1412</v>
      </c>
      <c r="F1090" s="1" t="s">
        <v>3406</v>
      </c>
      <c r="G1090" s="1"/>
      <c r="H1090" s="1"/>
      <c r="I1090" s="1" t="s">
        <v>8689</v>
      </c>
      <c r="J1090" s="1" t="str">
        <f t="shared" si="16"/>
        <v>纠后正确，区间略有变化，加77个氨基酸chr1:1571126-1586818</v>
      </c>
    </row>
    <row r="1091" spans="1:10" ht="14.25" customHeight="1" x14ac:dyDescent="0.2">
      <c r="A1091" s="1" t="s">
        <v>317</v>
      </c>
      <c r="B1091" s="1" t="s">
        <v>139</v>
      </c>
      <c r="C1091" s="1">
        <v>1571099</v>
      </c>
      <c r="D1091" s="1" t="s">
        <v>2223</v>
      </c>
      <c r="E1091" s="1" t="s">
        <v>1412</v>
      </c>
      <c r="F1091" s="1" t="s">
        <v>3406</v>
      </c>
      <c r="G1091" s="1"/>
      <c r="H1091" s="1"/>
      <c r="I1091" s="1" t="s">
        <v>8688</v>
      </c>
      <c r="J1091" s="1" t="str">
        <f t="shared" ref="J1091:J1154" si="17">IF(H1091="",IF(I1091="","",I1091),H1091)</f>
        <v>rs号无此变体，区间略有变化，加77个氨基酸chr1:1571126-1586818</v>
      </c>
    </row>
    <row r="1092" spans="1:10" ht="14.25" customHeight="1" x14ac:dyDescent="0.2">
      <c r="A1092" s="1" t="s">
        <v>3746</v>
      </c>
      <c r="B1092" s="1" t="s">
        <v>139</v>
      </c>
      <c r="C1092" s="1">
        <v>1571099</v>
      </c>
      <c r="D1092" s="1" t="s">
        <v>2224</v>
      </c>
      <c r="E1092" s="1" t="s">
        <v>1412</v>
      </c>
      <c r="F1092" s="1" t="s">
        <v>3406</v>
      </c>
      <c r="G1092" s="1"/>
      <c r="H1092" s="1"/>
      <c r="I1092" s="1" t="s">
        <v>8690</v>
      </c>
      <c r="J1092" s="1" t="str">
        <f t="shared" si="17"/>
        <v>纠后正确，区间略有变化，加77个氨基酸chr1:1571126-1586818</v>
      </c>
    </row>
    <row r="1093" spans="1:10" ht="14.25" customHeight="1" x14ac:dyDescent="0.2">
      <c r="A1093" s="1" t="s">
        <v>3743</v>
      </c>
      <c r="B1093" s="1" t="s">
        <v>139</v>
      </c>
      <c r="C1093" s="1">
        <v>1571099</v>
      </c>
      <c r="D1093" s="1" t="s">
        <v>2221</v>
      </c>
      <c r="E1093" s="1" t="s">
        <v>1412</v>
      </c>
      <c r="F1093" s="1" t="s">
        <v>3406</v>
      </c>
      <c r="G1093" s="1"/>
      <c r="H1093" s="1"/>
      <c r="I1093" s="1" t="s">
        <v>8688</v>
      </c>
      <c r="J1093" s="1" t="str">
        <f t="shared" si="17"/>
        <v>rs号无此变体，区间略有变化，加77个氨基酸chr1:1571126-1586818</v>
      </c>
    </row>
    <row r="1094" spans="1:10" ht="14.25" customHeight="1" x14ac:dyDescent="0.2">
      <c r="A1094" s="1" t="s">
        <v>3485</v>
      </c>
      <c r="B1094" s="1" t="s">
        <v>139</v>
      </c>
      <c r="C1094" s="1">
        <v>1571099</v>
      </c>
      <c r="D1094" s="1" t="s">
        <v>2220</v>
      </c>
      <c r="E1094" s="1" t="s">
        <v>3744</v>
      </c>
      <c r="F1094" s="1" t="s">
        <v>3406</v>
      </c>
      <c r="G1094" s="1"/>
      <c r="H1094" s="1"/>
      <c r="I1094" s="1" t="s">
        <v>8691</v>
      </c>
      <c r="J1094" s="1" t="str">
        <f t="shared" si="17"/>
        <v>rs号无此变体，区间略有变化，加77个氨基酸chr1:1571126-1586818</v>
      </c>
    </row>
    <row r="1095" spans="1:10" ht="14.25" customHeight="1" x14ac:dyDescent="0.2">
      <c r="A1095" s="1" t="s">
        <v>811</v>
      </c>
      <c r="B1095" s="1" t="s">
        <v>33</v>
      </c>
      <c r="C1095" s="1">
        <v>6328348</v>
      </c>
      <c r="D1095" s="1" t="s">
        <v>2724</v>
      </c>
      <c r="E1095" s="1" t="s">
        <v>1695</v>
      </c>
      <c r="F1095" s="1">
        <v>1</v>
      </c>
      <c r="G1095" s="1"/>
      <c r="H1095" s="1"/>
      <c r="I1095" s="1"/>
      <c r="J1095" s="1" t="str">
        <f t="shared" si="17"/>
        <v/>
      </c>
    </row>
    <row r="1096" spans="1:10" ht="14.25" customHeight="1" x14ac:dyDescent="0.2">
      <c r="A1096" s="1" t="s">
        <v>8810</v>
      </c>
      <c r="B1096" s="1" t="s">
        <v>43</v>
      </c>
      <c r="C1096" s="1">
        <v>51113069</v>
      </c>
      <c r="D1096" s="1" t="s">
        <v>3393</v>
      </c>
      <c r="E1096" s="1" t="s">
        <v>2055</v>
      </c>
      <c r="F1096" s="1" t="s">
        <v>2062</v>
      </c>
      <c r="G1096" s="1"/>
      <c r="H1096" s="1"/>
      <c r="I1096" s="1" t="s">
        <v>8806</v>
      </c>
      <c r="J1096" s="1" t="str">
        <f t="shared" si="17"/>
        <v>纠后正确，区间略有变化，chr22:51133475-51169740</v>
      </c>
    </row>
    <row r="1097" spans="1:10" ht="14.25" customHeight="1" x14ac:dyDescent="0.2">
      <c r="A1097" s="1" t="s">
        <v>559</v>
      </c>
      <c r="B1097" s="1" t="s">
        <v>86</v>
      </c>
      <c r="C1097" s="1">
        <v>179065479</v>
      </c>
      <c r="D1097" s="1" t="s">
        <v>2506</v>
      </c>
      <c r="E1097" s="1" t="s">
        <v>1566</v>
      </c>
      <c r="F1097" s="1">
        <v>1</v>
      </c>
      <c r="G1097" s="1"/>
      <c r="H1097" s="1"/>
      <c r="I1097" s="1"/>
      <c r="J1097" s="1" t="str">
        <f t="shared" si="17"/>
        <v/>
      </c>
    </row>
    <row r="1098" spans="1:10" ht="14.25" customHeight="1" x14ac:dyDescent="0.2">
      <c r="A1098" s="1" t="s">
        <v>1255</v>
      </c>
      <c r="B1098" s="1" t="s">
        <v>50</v>
      </c>
      <c r="C1098" s="1">
        <v>42082530</v>
      </c>
      <c r="D1098" s="1" t="s">
        <v>3276</v>
      </c>
      <c r="E1098" s="1" t="s">
        <v>2007</v>
      </c>
      <c r="F1098" s="1">
        <v>2</v>
      </c>
      <c r="G1098" s="1"/>
      <c r="H1098" s="1"/>
      <c r="I1098" s="1"/>
      <c r="J1098" s="1" t="str">
        <f t="shared" si="17"/>
        <v/>
      </c>
    </row>
    <row r="1099" spans="1:10" ht="14.25" customHeight="1" x14ac:dyDescent="0.2">
      <c r="A1099" s="1" t="s">
        <v>3709</v>
      </c>
      <c r="B1099" s="1" t="s">
        <v>121</v>
      </c>
      <c r="C1099" s="1">
        <v>71660055</v>
      </c>
      <c r="D1099" s="1" t="s">
        <v>3009</v>
      </c>
      <c r="E1099" s="1" t="s">
        <v>1855</v>
      </c>
      <c r="F1099" s="1">
        <v>1</v>
      </c>
      <c r="G1099" s="1"/>
      <c r="H1099" s="1"/>
      <c r="I1099" s="1"/>
      <c r="J1099" s="1" t="str">
        <f t="shared" si="17"/>
        <v/>
      </c>
    </row>
    <row r="1100" spans="1:10" ht="14.25" customHeight="1" x14ac:dyDescent="0.2">
      <c r="A1100" s="1" t="s">
        <v>554</v>
      </c>
      <c r="B1100" s="1" t="s">
        <v>86</v>
      </c>
      <c r="C1100" s="1">
        <v>126325894</v>
      </c>
      <c r="D1100" s="1" t="s">
        <v>2502</v>
      </c>
      <c r="E1100" s="1" t="s">
        <v>1562</v>
      </c>
      <c r="F1100" s="1">
        <v>1</v>
      </c>
      <c r="G1100" s="1"/>
      <c r="H1100" s="1"/>
      <c r="I1100" s="1"/>
      <c r="J1100" s="1" t="str">
        <f t="shared" si="17"/>
        <v/>
      </c>
    </row>
    <row r="1101" spans="1:10" ht="14.25" customHeight="1" x14ac:dyDescent="0.2">
      <c r="A1101" s="1" t="s">
        <v>102</v>
      </c>
      <c r="B1101" s="1" t="s">
        <v>103</v>
      </c>
      <c r="C1101" s="1">
        <v>120220609</v>
      </c>
      <c r="D1101" s="1" t="s">
        <v>2108</v>
      </c>
      <c r="E1101" s="1" t="s">
        <v>101</v>
      </c>
      <c r="F1101" s="1" t="s">
        <v>2062</v>
      </c>
      <c r="G1101" s="1"/>
      <c r="H1101" s="1" t="s">
        <v>3763</v>
      </c>
      <c r="I1101" s="1"/>
      <c r="J1101" s="1" t="str">
        <f t="shared" si="17"/>
        <v>纠后正确</v>
      </c>
    </row>
    <row r="1102" spans="1:10" ht="14.25" customHeight="1" x14ac:dyDescent="0.2">
      <c r="A1102" s="1" t="s">
        <v>120</v>
      </c>
      <c r="B1102" s="1" t="s">
        <v>121</v>
      </c>
      <c r="C1102" s="1">
        <v>81134483</v>
      </c>
      <c r="D1102" s="1" t="s">
        <v>2119</v>
      </c>
      <c r="E1102" s="1" t="s">
        <v>119</v>
      </c>
      <c r="F1102" s="1" t="s">
        <v>2062</v>
      </c>
      <c r="G1102" s="1"/>
      <c r="H1102" s="1" t="s">
        <v>3763</v>
      </c>
      <c r="I1102" s="1"/>
      <c r="J1102" s="1" t="str">
        <f t="shared" si="17"/>
        <v>纠后正确</v>
      </c>
    </row>
    <row r="1103" spans="1:10" ht="14.25" customHeight="1" x14ac:dyDescent="0.2">
      <c r="A1103" s="1" t="s">
        <v>481</v>
      </c>
      <c r="B1103" s="1" t="s">
        <v>1</v>
      </c>
      <c r="C1103" s="1">
        <v>220462595</v>
      </c>
      <c r="D1103" s="1" t="s">
        <v>2439</v>
      </c>
      <c r="E1103" s="1" t="s">
        <v>1537</v>
      </c>
      <c r="F1103" s="1">
        <v>1</v>
      </c>
      <c r="G1103" s="1"/>
      <c r="H1103" s="1"/>
      <c r="I1103" s="1"/>
      <c r="J1103" s="1" t="str">
        <f t="shared" si="17"/>
        <v/>
      </c>
    </row>
    <row r="1104" spans="1:10" ht="14.25" customHeight="1" x14ac:dyDescent="0.2">
      <c r="A1104" s="1" t="s">
        <v>8779</v>
      </c>
      <c r="B1104" s="1" t="s">
        <v>36</v>
      </c>
      <c r="C1104" s="1">
        <v>1490684</v>
      </c>
      <c r="D1104" s="1" t="s">
        <v>3358</v>
      </c>
      <c r="E1104" s="1" t="s">
        <v>2036</v>
      </c>
      <c r="F1104" s="1" t="s">
        <v>2062</v>
      </c>
      <c r="G1104" s="4" t="s">
        <v>8790</v>
      </c>
      <c r="H1104" s="1"/>
      <c r="I1104" s="1"/>
      <c r="J1104" s="1" t="str">
        <f t="shared" si="17"/>
        <v/>
      </c>
    </row>
    <row r="1105" spans="1:10" ht="14.25" customHeight="1" x14ac:dyDescent="0.2">
      <c r="A1105" s="1" t="s">
        <v>938</v>
      </c>
      <c r="B1105" s="1" t="s">
        <v>36</v>
      </c>
      <c r="C1105" s="1">
        <v>63228875</v>
      </c>
      <c r="D1105" s="1" t="s">
        <v>2838</v>
      </c>
      <c r="E1105" s="1" t="s">
        <v>1750</v>
      </c>
      <c r="F1105" s="1">
        <v>1</v>
      </c>
      <c r="G1105" s="1"/>
      <c r="H1105" s="1"/>
      <c r="I1105" s="1"/>
      <c r="J1105" s="1" t="str">
        <f t="shared" si="17"/>
        <v/>
      </c>
    </row>
    <row r="1106" spans="1:10" ht="14.25" customHeight="1" x14ac:dyDescent="0.2">
      <c r="A1106" s="1" t="s">
        <v>931</v>
      </c>
      <c r="B1106" s="1" t="s">
        <v>36</v>
      </c>
      <c r="C1106" s="1">
        <v>45931219</v>
      </c>
      <c r="D1106" s="1" t="s">
        <v>2831</v>
      </c>
      <c r="E1106" s="1" t="s">
        <v>1747</v>
      </c>
      <c r="F1106" s="1">
        <v>1</v>
      </c>
      <c r="G1106" s="1"/>
      <c r="H1106" s="1"/>
      <c r="I1106" s="1"/>
      <c r="J1106" s="1" t="str">
        <f t="shared" si="17"/>
        <v/>
      </c>
    </row>
    <row r="1107" spans="1:10" ht="14.25" customHeight="1" x14ac:dyDescent="0.2">
      <c r="A1107" s="1" t="s">
        <v>702</v>
      </c>
      <c r="B1107" s="1" t="s">
        <v>175</v>
      </c>
      <c r="C1107" s="1">
        <v>133065008</v>
      </c>
      <c r="D1107" s="1" t="s">
        <v>2635</v>
      </c>
      <c r="E1107" s="1" t="s">
        <v>1644</v>
      </c>
      <c r="F1107" s="1">
        <v>1</v>
      </c>
      <c r="G1107" s="1"/>
      <c r="H1107" s="1"/>
      <c r="I1107" s="1"/>
      <c r="J1107" s="1" t="str">
        <f t="shared" si="17"/>
        <v/>
      </c>
    </row>
    <row r="1108" spans="1:10" ht="14.25" customHeight="1" x14ac:dyDescent="0.2">
      <c r="A1108" s="1" t="s">
        <v>485</v>
      </c>
      <c r="B1108" s="1" t="s">
        <v>1</v>
      </c>
      <c r="C1108" s="1">
        <v>231033633</v>
      </c>
      <c r="D1108" s="1" t="s">
        <v>3223</v>
      </c>
      <c r="E1108" s="1" t="s">
        <v>1976</v>
      </c>
      <c r="F1108" s="1">
        <v>2</v>
      </c>
      <c r="G1108" s="1"/>
      <c r="H1108" s="1"/>
      <c r="I1108" s="1"/>
      <c r="J1108" s="1" t="str">
        <f t="shared" si="17"/>
        <v/>
      </c>
    </row>
    <row r="1109" spans="1:10" ht="14.25" customHeight="1" x14ac:dyDescent="0.2">
      <c r="A1109" s="1" t="s">
        <v>1215</v>
      </c>
      <c r="B1109" s="1" t="s">
        <v>179</v>
      </c>
      <c r="C1109" s="1">
        <v>61370193</v>
      </c>
      <c r="D1109" s="1" t="s">
        <v>3062</v>
      </c>
      <c r="E1109" s="1" t="s">
        <v>1891</v>
      </c>
      <c r="F1109" s="1">
        <v>1</v>
      </c>
      <c r="G1109" s="1"/>
      <c r="H1109" s="1"/>
      <c r="I1109" s="1"/>
      <c r="J1109" s="1" t="str">
        <f t="shared" si="17"/>
        <v/>
      </c>
    </row>
    <row r="1110" spans="1:10" ht="14.25" customHeight="1" x14ac:dyDescent="0.2">
      <c r="A1110" s="1" t="s">
        <v>1307</v>
      </c>
      <c r="B1110" s="1" t="s">
        <v>53</v>
      </c>
      <c r="C1110" s="1">
        <v>55066547</v>
      </c>
      <c r="D1110" s="1" t="s">
        <v>3133</v>
      </c>
      <c r="E1110" s="1" t="s">
        <v>1934</v>
      </c>
      <c r="F1110" s="1">
        <v>1</v>
      </c>
      <c r="G1110" s="1"/>
      <c r="H1110" s="1"/>
      <c r="I1110" s="1"/>
      <c r="J1110" s="1" t="str">
        <f t="shared" si="17"/>
        <v/>
      </c>
    </row>
    <row r="1111" spans="1:10" ht="14.25" customHeight="1" x14ac:dyDescent="0.2">
      <c r="A1111" s="1" t="s">
        <v>1165</v>
      </c>
      <c r="B1111" s="1" t="s">
        <v>47</v>
      </c>
      <c r="C1111" s="1">
        <v>26721660</v>
      </c>
      <c r="D1111" s="1" t="s">
        <v>3387</v>
      </c>
      <c r="E1111" s="1" t="s">
        <v>2051</v>
      </c>
      <c r="F1111" s="1" t="s">
        <v>2062</v>
      </c>
      <c r="G1111" s="1"/>
      <c r="H1111" s="1" t="s">
        <v>3763</v>
      </c>
      <c r="I1111" s="1"/>
      <c r="J1111" s="1" t="str">
        <f t="shared" si="17"/>
        <v>纠后正确</v>
      </c>
    </row>
    <row r="1112" spans="1:10" ht="14.25" customHeight="1" x14ac:dyDescent="0.2">
      <c r="A1112" s="1" t="s">
        <v>1314</v>
      </c>
      <c r="B1112" s="1" t="s">
        <v>241</v>
      </c>
      <c r="C1112" s="1">
        <v>26957967</v>
      </c>
      <c r="D1112" s="1" t="s">
        <v>3140</v>
      </c>
      <c r="E1112" s="1" t="s">
        <v>1938</v>
      </c>
      <c r="F1112" s="1">
        <v>1</v>
      </c>
      <c r="G1112" s="1"/>
      <c r="H1112" s="1"/>
      <c r="I1112" s="1"/>
      <c r="J1112" s="1" t="str">
        <f t="shared" si="17"/>
        <v/>
      </c>
    </row>
    <row r="1113" spans="1:10" ht="14.25" customHeight="1" x14ac:dyDescent="0.2">
      <c r="A1113" s="1" t="s">
        <v>843</v>
      </c>
      <c r="B1113" s="1" t="s">
        <v>33</v>
      </c>
      <c r="C1113" s="1">
        <v>140125384</v>
      </c>
      <c r="D1113" s="1" t="s">
        <v>2751</v>
      </c>
      <c r="E1113" s="1" t="s">
        <v>1710</v>
      </c>
      <c r="F1113" s="1">
        <v>1</v>
      </c>
      <c r="G1113" s="1"/>
      <c r="H1113" s="1"/>
      <c r="I1113" s="1"/>
      <c r="J1113" s="1" t="str">
        <f t="shared" si="17"/>
        <v/>
      </c>
    </row>
    <row r="1114" spans="1:10" ht="14.25" customHeight="1" x14ac:dyDescent="0.2">
      <c r="A1114" s="1" t="s">
        <v>667</v>
      </c>
      <c r="B1114" s="1" t="s">
        <v>186</v>
      </c>
      <c r="C1114" s="1">
        <v>176883613</v>
      </c>
      <c r="D1114" s="1" t="s">
        <v>2604</v>
      </c>
      <c r="E1114" s="1" t="s">
        <v>1626</v>
      </c>
      <c r="F1114" s="1">
        <v>1</v>
      </c>
      <c r="G1114" s="1"/>
      <c r="H1114" s="1"/>
      <c r="I1114" s="1"/>
      <c r="J1114" s="1" t="str">
        <f t="shared" si="17"/>
        <v/>
      </c>
    </row>
    <row r="1115" spans="1:10" ht="14.25" customHeight="1" x14ac:dyDescent="0.2">
      <c r="A1115" s="1" t="s">
        <v>1157</v>
      </c>
      <c r="B1115" s="1" t="s">
        <v>47</v>
      </c>
      <c r="C1115" s="1">
        <v>7004640</v>
      </c>
      <c r="D1115" s="1" t="s">
        <v>3015</v>
      </c>
      <c r="E1115" s="1" t="s">
        <v>1858</v>
      </c>
      <c r="F1115" s="1">
        <v>1</v>
      </c>
      <c r="G1115" s="1"/>
      <c r="H1115" s="1"/>
      <c r="I1115" s="1"/>
      <c r="J1115" s="1" t="str">
        <f t="shared" si="17"/>
        <v/>
      </c>
    </row>
    <row r="1116" spans="1:10" ht="14.25" customHeight="1" x14ac:dyDescent="0.2">
      <c r="A1116" s="1" t="s">
        <v>1158</v>
      </c>
      <c r="B1116" s="1" t="s">
        <v>47</v>
      </c>
      <c r="C1116" s="1">
        <v>7004640</v>
      </c>
      <c r="D1116" s="1" t="s">
        <v>3016</v>
      </c>
      <c r="E1116" s="1" t="s">
        <v>1858</v>
      </c>
      <c r="F1116" s="1">
        <v>1</v>
      </c>
      <c r="G1116" s="1"/>
      <c r="H1116" s="1"/>
      <c r="I1116" s="1"/>
      <c r="J1116" s="1" t="str">
        <f t="shared" si="17"/>
        <v/>
      </c>
    </row>
    <row r="1117" spans="1:10" ht="14.25" customHeight="1" x14ac:dyDescent="0.2">
      <c r="A1117" s="1" t="s">
        <v>1208</v>
      </c>
      <c r="B1117" s="1" t="s">
        <v>179</v>
      </c>
      <c r="C1117" s="1">
        <v>319354</v>
      </c>
      <c r="D1117" s="1" t="s">
        <v>3057</v>
      </c>
      <c r="E1117" s="1" t="s">
        <v>1886</v>
      </c>
      <c r="F1117" s="1">
        <v>1</v>
      </c>
      <c r="G1117" s="1"/>
      <c r="H1117" s="1"/>
      <c r="I1117" s="1"/>
      <c r="J1117" s="1" t="str">
        <f t="shared" si="17"/>
        <v/>
      </c>
    </row>
    <row r="1118" spans="1:10" ht="14.25" customHeight="1" x14ac:dyDescent="0.2">
      <c r="A1118" s="1" t="s">
        <v>1330</v>
      </c>
      <c r="B1118" s="1" t="s">
        <v>241</v>
      </c>
      <c r="C1118" s="1">
        <v>46825096</v>
      </c>
      <c r="D1118" s="1" t="s">
        <v>2292</v>
      </c>
      <c r="E1118" s="1" t="s">
        <v>1456</v>
      </c>
      <c r="F1118" s="1" t="s">
        <v>3406</v>
      </c>
      <c r="G1118" s="1"/>
      <c r="H1118" s="1" t="s">
        <v>3838</v>
      </c>
      <c r="I1118" s="1"/>
      <c r="J1118" s="1" t="str">
        <f t="shared" si="17"/>
        <v>纠后正确，少3个氨基酸chr21:46924440-46932312</v>
      </c>
    </row>
    <row r="1119" spans="1:10" ht="14.25" customHeight="1" x14ac:dyDescent="0.2">
      <c r="A1119" s="1" t="s">
        <v>1124</v>
      </c>
      <c r="B1119" s="1" t="s">
        <v>121</v>
      </c>
      <c r="C1119" s="1">
        <v>21413454</v>
      </c>
      <c r="D1119" s="1" t="s">
        <v>3381</v>
      </c>
      <c r="E1119" s="1" t="s">
        <v>2046</v>
      </c>
      <c r="F1119" s="1" t="s">
        <v>2062</v>
      </c>
      <c r="G1119" s="1"/>
      <c r="H1119" s="1" t="s">
        <v>3763</v>
      </c>
      <c r="I1119" s="1"/>
      <c r="J1119" s="1" t="str">
        <f t="shared" si="17"/>
        <v>纠后正确</v>
      </c>
    </row>
    <row r="1120" spans="1:10" ht="14.25" customHeight="1" x14ac:dyDescent="0.2">
      <c r="A1120" s="1" t="s">
        <v>264</v>
      </c>
      <c r="B1120" s="1" t="s">
        <v>40</v>
      </c>
      <c r="C1120" s="1">
        <v>154429530</v>
      </c>
      <c r="D1120" s="1" t="s">
        <v>2256</v>
      </c>
      <c r="E1120" s="1" t="s">
        <v>1433</v>
      </c>
      <c r="F1120" s="1" t="s">
        <v>3406</v>
      </c>
      <c r="G1120" s="1" t="s">
        <v>8391</v>
      </c>
      <c r="H1120" s="1" t="s">
        <v>8400</v>
      </c>
      <c r="I1120" s="1"/>
      <c r="J1120" s="1" t="str">
        <f t="shared" si="17"/>
        <v>无变化</v>
      </c>
    </row>
    <row r="1121" spans="1:10" ht="14.25" customHeight="1" x14ac:dyDescent="0.2">
      <c r="A1121" s="1" t="s">
        <v>264</v>
      </c>
      <c r="B1121" s="1" t="s">
        <v>40</v>
      </c>
      <c r="C1121" s="1">
        <v>153749776</v>
      </c>
      <c r="D1121" s="1" t="s">
        <v>2253</v>
      </c>
      <c r="E1121" s="1" t="s">
        <v>1433</v>
      </c>
      <c r="F1121" s="1">
        <v>6</v>
      </c>
      <c r="G1121" s="1" t="s">
        <v>8391</v>
      </c>
      <c r="H1121" s="1" t="s">
        <v>8406</v>
      </c>
      <c r="I1121" s="1"/>
      <c r="J1121" s="1" t="str">
        <f t="shared" si="17"/>
        <v>前后均不正确</v>
      </c>
    </row>
    <row r="1122" spans="1:10" ht="14.25" customHeight="1" x14ac:dyDescent="0.2">
      <c r="A1122" s="1" t="s">
        <v>948</v>
      </c>
      <c r="B1122" s="1" t="s">
        <v>36</v>
      </c>
      <c r="C1122" s="1">
        <v>64570985</v>
      </c>
      <c r="D1122" s="1" t="s">
        <v>2845</v>
      </c>
      <c r="E1122" s="1" t="s">
        <v>1752</v>
      </c>
      <c r="F1122" s="1">
        <v>1</v>
      </c>
      <c r="G1122" s="1"/>
      <c r="H1122" s="1"/>
      <c r="I1122" s="1"/>
      <c r="J1122" s="1" t="str">
        <f t="shared" si="17"/>
        <v/>
      </c>
    </row>
    <row r="1123" spans="1:10" ht="14.25" customHeight="1" x14ac:dyDescent="0.2">
      <c r="A1123" s="1" t="s">
        <v>951</v>
      </c>
      <c r="B1123" s="1" t="s">
        <v>36</v>
      </c>
      <c r="C1123" s="1">
        <v>64570985</v>
      </c>
      <c r="D1123" s="1" t="s">
        <v>2848</v>
      </c>
      <c r="E1123" s="1" t="s">
        <v>1752</v>
      </c>
      <c r="F1123" s="1">
        <v>1</v>
      </c>
      <c r="G1123" s="1"/>
      <c r="H1123" s="1"/>
      <c r="I1123" s="1"/>
      <c r="J1123" s="1" t="str">
        <f t="shared" si="17"/>
        <v/>
      </c>
    </row>
    <row r="1124" spans="1:10" ht="14.25" customHeight="1" x14ac:dyDescent="0.2">
      <c r="A1124" s="1" t="s">
        <v>950</v>
      </c>
      <c r="B1124" s="1" t="s">
        <v>36</v>
      </c>
      <c r="C1124" s="1">
        <v>64570985</v>
      </c>
      <c r="D1124" s="1" t="s">
        <v>2847</v>
      </c>
      <c r="E1124" s="1" t="s">
        <v>1752</v>
      </c>
      <c r="F1124" s="1">
        <v>1</v>
      </c>
      <c r="G1124" s="1"/>
      <c r="H1124" s="1"/>
      <c r="I1124" s="1"/>
      <c r="J1124" s="1" t="str">
        <f t="shared" si="17"/>
        <v/>
      </c>
    </row>
    <row r="1125" spans="1:10" ht="14.25" customHeight="1" x14ac:dyDescent="0.2">
      <c r="A1125" s="1" t="s">
        <v>947</v>
      </c>
      <c r="B1125" s="1" t="s">
        <v>36</v>
      </c>
      <c r="C1125" s="1">
        <v>64570985</v>
      </c>
      <c r="D1125" s="1" t="s">
        <v>2844</v>
      </c>
      <c r="E1125" s="1" t="s">
        <v>1752</v>
      </c>
      <c r="F1125" s="1">
        <v>1</v>
      </c>
      <c r="G1125" s="1"/>
      <c r="H1125" s="1"/>
      <c r="I1125" s="1"/>
      <c r="J1125" s="1" t="str">
        <f t="shared" si="17"/>
        <v/>
      </c>
    </row>
    <row r="1126" spans="1:10" ht="14.25" customHeight="1" x14ac:dyDescent="0.2">
      <c r="A1126" s="1" t="s">
        <v>946</v>
      </c>
      <c r="B1126" s="1" t="s">
        <v>36</v>
      </c>
      <c r="C1126" s="1">
        <v>64570985</v>
      </c>
      <c r="D1126" s="1" t="s">
        <v>2843</v>
      </c>
      <c r="E1126" s="1" t="s">
        <v>1752</v>
      </c>
      <c r="F1126" s="1">
        <v>1</v>
      </c>
      <c r="G1126" s="1"/>
      <c r="H1126" s="1"/>
      <c r="I1126" s="1"/>
      <c r="J1126" s="1" t="str">
        <f t="shared" si="17"/>
        <v/>
      </c>
    </row>
    <row r="1127" spans="1:10" ht="14.25" customHeight="1" x14ac:dyDescent="0.2">
      <c r="A1127" s="1" t="s">
        <v>945</v>
      </c>
      <c r="B1127" s="1" t="s">
        <v>36</v>
      </c>
      <c r="C1127" s="1">
        <v>64570985</v>
      </c>
      <c r="D1127" s="1" t="s">
        <v>2842</v>
      </c>
      <c r="E1127" s="1" t="s">
        <v>1752</v>
      </c>
      <c r="F1127" s="1">
        <v>1</v>
      </c>
      <c r="G1127" s="1"/>
      <c r="H1127" s="1"/>
      <c r="I1127" s="1"/>
      <c r="J1127" s="1" t="str">
        <f t="shared" si="17"/>
        <v/>
      </c>
    </row>
    <row r="1128" spans="1:10" ht="14.25" customHeight="1" x14ac:dyDescent="0.2">
      <c r="A1128" s="1" t="s">
        <v>808</v>
      </c>
      <c r="B1128" s="1" t="s">
        <v>103</v>
      </c>
      <c r="C1128" s="1">
        <v>145637797</v>
      </c>
      <c r="D1128" s="1" t="s">
        <v>2721</v>
      </c>
      <c r="E1128" s="1" t="s">
        <v>1694</v>
      </c>
      <c r="F1128" s="1">
        <v>1</v>
      </c>
      <c r="G1128" s="1"/>
      <c r="H1128" s="1"/>
      <c r="I1128" s="1"/>
      <c r="J1128" s="1" t="str">
        <f t="shared" si="17"/>
        <v/>
      </c>
    </row>
    <row r="1129" spans="1:10" ht="14.25" customHeight="1" x14ac:dyDescent="0.2">
      <c r="A1129" s="1" t="s">
        <v>593</v>
      </c>
      <c r="B1129" s="1" t="s">
        <v>569</v>
      </c>
      <c r="C1129" s="1">
        <v>54966247</v>
      </c>
      <c r="D1129" s="1" t="s">
        <v>2536</v>
      </c>
      <c r="E1129" s="1" t="s">
        <v>1580</v>
      </c>
      <c r="F1129" s="1">
        <v>1</v>
      </c>
      <c r="G1129" s="1"/>
      <c r="H1129" s="1"/>
      <c r="I1129" s="1"/>
      <c r="J1129" s="1" t="str">
        <f t="shared" si="17"/>
        <v/>
      </c>
    </row>
    <row r="1130" spans="1:10" ht="14.25" customHeight="1" x14ac:dyDescent="0.2">
      <c r="A1130" s="1" t="s">
        <v>653</v>
      </c>
      <c r="B1130" s="1" t="s">
        <v>186</v>
      </c>
      <c r="C1130" s="1">
        <v>130977406</v>
      </c>
      <c r="D1130" s="1" t="s">
        <v>2591</v>
      </c>
      <c r="E1130" s="1" t="s">
        <v>1615</v>
      </c>
      <c r="F1130" s="1">
        <v>1</v>
      </c>
      <c r="G1130" s="1"/>
      <c r="H1130" s="1"/>
      <c r="I1130" s="1"/>
      <c r="J1130" s="1" t="str">
        <f t="shared" si="17"/>
        <v/>
      </c>
    </row>
    <row r="1131" spans="1:10" ht="14.25" customHeight="1" x14ac:dyDescent="0.2">
      <c r="A1131" s="1" t="s">
        <v>123</v>
      </c>
      <c r="B1131" s="1" t="s">
        <v>47</v>
      </c>
      <c r="C1131" s="1">
        <v>43189007</v>
      </c>
      <c r="D1131" s="1" t="s">
        <v>2120</v>
      </c>
      <c r="E1131" s="1" t="s">
        <v>122</v>
      </c>
      <c r="F1131" s="1" t="s">
        <v>2062</v>
      </c>
      <c r="G1131" s="1"/>
      <c r="H1131" s="1" t="s">
        <v>3763</v>
      </c>
      <c r="I1131" s="1"/>
      <c r="J1131" s="1" t="str">
        <f t="shared" si="17"/>
        <v>纠后正确</v>
      </c>
    </row>
    <row r="1132" spans="1:10" ht="14.25" customHeight="1" x14ac:dyDescent="0.2">
      <c r="A1132" s="1" t="s">
        <v>233</v>
      </c>
      <c r="B1132" s="1" t="s">
        <v>40</v>
      </c>
      <c r="C1132" s="1">
        <v>101006121</v>
      </c>
      <c r="D1132" s="1" t="s">
        <v>3855</v>
      </c>
      <c r="E1132" s="1" t="s">
        <v>277</v>
      </c>
      <c r="F1132" s="1" t="s">
        <v>2062</v>
      </c>
      <c r="G1132" s="1"/>
      <c r="H1132" s="1" t="s">
        <v>8393</v>
      </c>
      <c r="I1132" s="1"/>
      <c r="J1132" s="1" t="str">
        <f t="shared" si="17"/>
        <v>纠后正确，utr略有变化，版本不一致</v>
      </c>
    </row>
    <row r="1133" spans="1:10" ht="14.25" customHeight="1" x14ac:dyDescent="0.2">
      <c r="A1133" s="1" t="s">
        <v>234</v>
      </c>
      <c r="B1133" s="1" t="s">
        <v>50</v>
      </c>
      <c r="C1133" s="1">
        <v>58694395</v>
      </c>
      <c r="D1133" s="1" t="s">
        <v>3856</v>
      </c>
      <c r="E1133" s="1" t="s">
        <v>310</v>
      </c>
      <c r="F1133" s="1" t="s">
        <v>2062</v>
      </c>
      <c r="G1133" s="1"/>
      <c r="H1133" s="1" t="s">
        <v>8393</v>
      </c>
      <c r="I1133" s="1"/>
      <c r="J1133" s="1" t="str">
        <f t="shared" si="17"/>
        <v>纠后正确，utr略有变化，版本不一致</v>
      </c>
    </row>
    <row r="1134" spans="1:10" ht="14.25" customHeight="1" x14ac:dyDescent="0.2">
      <c r="A1134" s="1" t="s">
        <v>8780</v>
      </c>
      <c r="B1134" s="1" t="s">
        <v>86</v>
      </c>
      <c r="C1134" s="1">
        <v>12182149</v>
      </c>
      <c r="D1134" s="1" t="s">
        <v>3317</v>
      </c>
      <c r="E1134" s="1" t="s">
        <v>2024</v>
      </c>
      <c r="F1134" s="1" t="s">
        <v>2062</v>
      </c>
      <c r="G1134" s="4" t="s">
        <v>8789</v>
      </c>
      <c r="H1134" s="1"/>
      <c r="I1134" s="1"/>
      <c r="J1134" s="1" t="str">
        <f t="shared" si="17"/>
        <v/>
      </c>
    </row>
    <row r="1135" spans="1:10" ht="14.25" customHeight="1" x14ac:dyDescent="0.2">
      <c r="A1135" s="1" t="s">
        <v>597</v>
      </c>
      <c r="B1135" s="1" t="s">
        <v>569</v>
      </c>
      <c r="C1135" s="1">
        <v>84328498</v>
      </c>
      <c r="D1135" s="1" t="s">
        <v>2539</v>
      </c>
      <c r="E1135" s="1" t="s">
        <v>1583</v>
      </c>
      <c r="F1135" s="1">
        <v>1</v>
      </c>
      <c r="G1135" s="1"/>
      <c r="H1135" s="1"/>
      <c r="I1135" s="1"/>
      <c r="J1135" s="1" t="str">
        <f t="shared" si="17"/>
        <v/>
      </c>
    </row>
    <row r="1136" spans="1:10" ht="14.25" customHeight="1" x14ac:dyDescent="0.2">
      <c r="A1136" s="1" t="s">
        <v>114</v>
      </c>
      <c r="B1136" s="1" t="s">
        <v>113</v>
      </c>
      <c r="C1136" s="1">
        <v>101844132</v>
      </c>
      <c r="D1136" s="1" t="s">
        <v>2114</v>
      </c>
      <c r="E1136" s="1" t="s">
        <v>111</v>
      </c>
      <c r="F1136" s="1" t="s">
        <v>2062</v>
      </c>
      <c r="G1136" s="1"/>
      <c r="H1136" s="1" t="s">
        <v>8394</v>
      </c>
      <c r="I1136" s="1"/>
      <c r="J1136" s="1" t="str">
        <f t="shared" si="17"/>
        <v>纠后正确</v>
      </c>
    </row>
    <row r="1137" spans="1:10" ht="14.25" customHeight="1" x14ac:dyDescent="0.2">
      <c r="A1137" s="1" t="s">
        <v>1108</v>
      </c>
      <c r="B1137" s="1" t="s">
        <v>113</v>
      </c>
      <c r="C1137" s="1">
        <v>101853221</v>
      </c>
      <c r="D1137" s="1" t="s">
        <v>3379</v>
      </c>
      <c r="E1137" s="1" t="s">
        <v>111</v>
      </c>
      <c r="F1137" s="1" t="s">
        <v>2062</v>
      </c>
      <c r="G1137" s="1"/>
      <c r="H1137" s="1" t="s">
        <v>8394</v>
      </c>
      <c r="I1137" s="1"/>
      <c r="J1137" s="1" t="str">
        <f t="shared" si="17"/>
        <v>纠后正确</v>
      </c>
    </row>
    <row r="1138" spans="1:10" ht="14.25" customHeight="1" x14ac:dyDescent="0.2">
      <c r="A1138" s="1" t="s">
        <v>1107</v>
      </c>
      <c r="B1138" s="1" t="s">
        <v>113</v>
      </c>
      <c r="C1138" s="1">
        <v>101853221</v>
      </c>
      <c r="D1138" s="1" t="s">
        <v>3378</v>
      </c>
      <c r="E1138" s="1" t="s">
        <v>111</v>
      </c>
      <c r="F1138" s="1" t="s">
        <v>2062</v>
      </c>
      <c r="G1138" s="1"/>
      <c r="H1138" s="1" t="s">
        <v>8394</v>
      </c>
      <c r="I1138" s="1"/>
      <c r="J1138" s="1" t="str">
        <f t="shared" si="17"/>
        <v>纠后正确</v>
      </c>
    </row>
    <row r="1139" spans="1:10" ht="14.25" customHeight="1" x14ac:dyDescent="0.2">
      <c r="A1139" s="1" t="s">
        <v>115</v>
      </c>
      <c r="B1139" s="1" t="s">
        <v>113</v>
      </c>
      <c r="C1139" s="1">
        <v>101923952</v>
      </c>
      <c r="D1139" s="1" t="s">
        <v>2115</v>
      </c>
      <c r="E1139" s="1" t="s">
        <v>111</v>
      </c>
      <c r="F1139" s="1" t="s">
        <v>2062</v>
      </c>
      <c r="G1139" s="1"/>
      <c r="H1139" s="1" t="s">
        <v>8394</v>
      </c>
      <c r="I1139" s="1"/>
      <c r="J1139" s="1" t="str">
        <f t="shared" si="17"/>
        <v>纠后正确</v>
      </c>
    </row>
    <row r="1140" spans="1:10" ht="14.25" customHeight="1" x14ac:dyDescent="0.2">
      <c r="A1140" s="1" t="s">
        <v>116</v>
      </c>
      <c r="B1140" s="1" t="s">
        <v>113</v>
      </c>
      <c r="C1140" s="1">
        <v>101886946</v>
      </c>
      <c r="D1140" s="1" t="s">
        <v>2116</v>
      </c>
      <c r="E1140" s="1" t="s">
        <v>111</v>
      </c>
      <c r="F1140" s="1" t="s">
        <v>2062</v>
      </c>
      <c r="G1140" s="1"/>
      <c r="H1140" s="1" t="s">
        <v>8394</v>
      </c>
      <c r="I1140" s="1"/>
      <c r="J1140" s="1" t="str">
        <f t="shared" si="17"/>
        <v>纠后正确</v>
      </c>
    </row>
    <row r="1141" spans="1:10" ht="14.25" customHeight="1" x14ac:dyDescent="0.2">
      <c r="A1141" s="1" t="s">
        <v>117</v>
      </c>
      <c r="B1141" s="1" t="s">
        <v>113</v>
      </c>
      <c r="C1141" s="1">
        <v>101886946</v>
      </c>
      <c r="D1141" s="1" t="s">
        <v>2117</v>
      </c>
      <c r="E1141" s="1" t="s">
        <v>111</v>
      </c>
      <c r="F1141" s="1" t="s">
        <v>2062</v>
      </c>
      <c r="G1141" s="1"/>
      <c r="H1141" s="1" t="s">
        <v>8394</v>
      </c>
      <c r="I1141" s="1"/>
      <c r="J1141" s="1" t="str">
        <f t="shared" si="17"/>
        <v>纠后正确</v>
      </c>
    </row>
    <row r="1142" spans="1:10" ht="14.25" customHeight="1" x14ac:dyDescent="0.2">
      <c r="A1142" s="1" t="s">
        <v>118</v>
      </c>
      <c r="B1142" s="1" t="s">
        <v>113</v>
      </c>
      <c r="C1142" s="1">
        <v>101905078</v>
      </c>
      <c r="D1142" s="1" t="s">
        <v>2118</v>
      </c>
      <c r="E1142" s="1" t="s">
        <v>111</v>
      </c>
      <c r="F1142" s="1" t="s">
        <v>2062</v>
      </c>
      <c r="G1142" s="1"/>
      <c r="H1142" s="1" t="s">
        <v>8394</v>
      </c>
      <c r="I1142" s="1"/>
      <c r="J1142" s="1" t="str">
        <f t="shared" si="17"/>
        <v>纠后正确</v>
      </c>
    </row>
    <row r="1143" spans="1:10" ht="14.25" customHeight="1" x14ac:dyDescent="0.2">
      <c r="A1143" s="1" t="s">
        <v>3710</v>
      </c>
      <c r="B1143" s="1" t="s">
        <v>36</v>
      </c>
      <c r="C1143" s="1">
        <v>278569</v>
      </c>
      <c r="D1143" s="1" t="s">
        <v>3243</v>
      </c>
      <c r="E1143" s="1" t="s">
        <v>1987</v>
      </c>
      <c r="F1143" s="1">
        <v>2</v>
      </c>
      <c r="G1143" s="1"/>
      <c r="H1143" s="1"/>
      <c r="I1143" s="1"/>
      <c r="J1143" s="1" t="str">
        <f t="shared" si="17"/>
        <v/>
      </c>
    </row>
    <row r="1144" spans="1:10" ht="14.25" customHeight="1" x14ac:dyDescent="0.2">
      <c r="A1144" s="1" t="s">
        <v>1236</v>
      </c>
      <c r="B1144" s="1" t="s">
        <v>50</v>
      </c>
      <c r="C1144" s="1">
        <v>14199228</v>
      </c>
      <c r="D1144" s="1" t="s">
        <v>2285</v>
      </c>
      <c r="E1144" s="1" t="s">
        <v>3823</v>
      </c>
      <c r="F1144" s="1" t="s">
        <v>3406</v>
      </c>
      <c r="G1144" s="1"/>
      <c r="H1144" s="1" t="s">
        <v>3824</v>
      </c>
      <c r="I1144" s="1"/>
      <c r="J1144" s="1" t="str">
        <f t="shared" si="17"/>
        <v>rs号无基因信息，加106个氨基酸chr19：14199229-14200895</v>
      </c>
    </row>
    <row r="1145" spans="1:10" ht="14.25" customHeight="1" x14ac:dyDescent="0.2">
      <c r="A1145" s="1" t="s">
        <v>1087</v>
      </c>
      <c r="B1145" s="1" t="s">
        <v>113</v>
      </c>
      <c r="C1145" s="1">
        <v>45459411</v>
      </c>
      <c r="D1145" s="1" t="s">
        <v>2956</v>
      </c>
      <c r="E1145" s="1" t="s">
        <v>1822</v>
      </c>
      <c r="F1145" s="1">
        <v>1</v>
      </c>
      <c r="G1145" s="1"/>
      <c r="H1145" s="1"/>
      <c r="I1145" s="1"/>
      <c r="J1145" s="1" t="str">
        <f t="shared" si="17"/>
        <v/>
      </c>
    </row>
    <row r="1146" spans="1:10" ht="14.25" customHeight="1" x14ac:dyDescent="0.2">
      <c r="A1146" s="1" t="s">
        <v>885</v>
      </c>
      <c r="B1146" s="1" t="s">
        <v>93</v>
      </c>
      <c r="C1146" s="1">
        <v>99894380</v>
      </c>
      <c r="D1146" s="1" t="s">
        <v>2790</v>
      </c>
      <c r="E1146" s="1" t="s">
        <v>1726</v>
      </c>
      <c r="F1146" s="1">
        <v>1</v>
      </c>
      <c r="G1146" s="1"/>
      <c r="H1146" s="1"/>
      <c r="I1146" s="1"/>
      <c r="J1146" s="1" t="str">
        <f t="shared" si="17"/>
        <v/>
      </c>
    </row>
    <row r="1147" spans="1:10" ht="14.25" customHeight="1" x14ac:dyDescent="0.2">
      <c r="A1147" s="1" t="s">
        <v>903</v>
      </c>
      <c r="B1147" s="1" t="s">
        <v>36</v>
      </c>
      <c r="C1147" s="1">
        <v>1855673</v>
      </c>
      <c r="D1147" s="1" t="s">
        <v>2803</v>
      </c>
      <c r="E1147" s="1" t="s">
        <v>1733</v>
      </c>
      <c r="F1147" s="1">
        <v>1</v>
      </c>
      <c r="G1147" s="1"/>
      <c r="H1147" s="1"/>
      <c r="I1147" s="1"/>
      <c r="J1147" s="1" t="str">
        <f t="shared" si="17"/>
        <v/>
      </c>
    </row>
    <row r="1148" spans="1:10" ht="14.25" customHeight="1" x14ac:dyDescent="0.2">
      <c r="A1148" s="1" t="s">
        <v>331</v>
      </c>
      <c r="B1148" s="1" t="s">
        <v>139</v>
      </c>
      <c r="C1148" s="1">
        <v>25688739</v>
      </c>
      <c r="D1148" s="1" t="s">
        <v>2310</v>
      </c>
      <c r="E1148" s="1" t="s">
        <v>1467</v>
      </c>
      <c r="F1148" s="1">
        <v>1</v>
      </c>
      <c r="G1148" s="1"/>
      <c r="H1148" s="1"/>
      <c r="I1148" s="1"/>
      <c r="J1148" s="1" t="str">
        <f t="shared" si="17"/>
        <v/>
      </c>
    </row>
    <row r="1149" spans="1:10" ht="14.25" customHeight="1" x14ac:dyDescent="0.2">
      <c r="A1149" s="1" t="s">
        <v>332</v>
      </c>
      <c r="B1149" s="1" t="s">
        <v>139</v>
      </c>
      <c r="C1149" s="1">
        <v>25688739</v>
      </c>
      <c r="D1149" s="1" t="s">
        <v>2311</v>
      </c>
      <c r="E1149" s="1" t="s">
        <v>1467</v>
      </c>
      <c r="F1149" s="1">
        <v>1</v>
      </c>
      <c r="G1149" s="1"/>
      <c r="H1149" s="1"/>
      <c r="I1149" s="1"/>
      <c r="J1149" s="1" t="str">
        <f t="shared" si="17"/>
        <v/>
      </c>
    </row>
    <row r="1150" spans="1:10" ht="14.25" customHeight="1" x14ac:dyDescent="0.2">
      <c r="A1150" s="1" t="s">
        <v>333</v>
      </c>
      <c r="B1150" s="1" t="s">
        <v>139</v>
      </c>
      <c r="C1150" s="1">
        <v>25688739</v>
      </c>
      <c r="D1150" s="1" t="s">
        <v>2312</v>
      </c>
      <c r="E1150" s="1" t="s">
        <v>1467</v>
      </c>
      <c r="F1150" s="1">
        <v>1</v>
      </c>
      <c r="G1150" s="1"/>
      <c r="H1150" s="1"/>
      <c r="I1150" s="1"/>
      <c r="J1150" s="1" t="str">
        <f t="shared" si="17"/>
        <v/>
      </c>
    </row>
    <row r="1151" spans="1:10" ht="14.25" customHeight="1" x14ac:dyDescent="0.2">
      <c r="A1151" s="1" t="s">
        <v>3890</v>
      </c>
      <c r="B1151" s="1" t="s">
        <v>36</v>
      </c>
      <c r="C1151" s="1">
        <v>76745434</v>
      </c>
      <c r="D1151" s="1" t="s">
        <v>2269</v>
      </c>
      <c r="E1151" s="1" t="s">
        <v>1441</v>
      </c>
      <c r="F1151" s="1" t="s">
        <v>3406</v>
      </c>
      <c r="G1151" s="1"/>
      <c r="H1151" s="1"/>
      <c r="I1151" s="1" t="s">
        <v>8407</v>
      </c>
      <c r="J1151" s="1" t="str">
        <f t="shared" si="17"/>
        <v>纠后正确,版本不一致，utr略有变化，少1个氨基酸chr11:76751589-76751753</v>
      </c>
    </row>
    <row r="1152" spans="1:10" ht="14.25" customHeight="1" x14ac:dyDescent="0.2">
      <c r="A1152" s="1" t="s">
        <v>397</v>
      </c>
      <c r="B1152" s="1" t="s">
        <v>139</v>
      </c>
      <c r="C1152" s="1">
        <v>219347191</v>
      </c>
      <c r="D1152" s="1" t="s">
        <v>2372</v>
      </c>
      <c r="E1152" s="1" t="s">
        <v>1495</v>
      </c>
      <c r="F1152" s="1">
        <v>1</v>
      </c>
      <c r="G1152" s="1"/>
      <c r="H1152" s="1"/>
      <c r="I1152" s="1"/>
      <c r="J1152" s="1" t="str">
        <f t="shared" si="17"/>
        <v/>
      </c>
    </row>
    <row r="1153" spans="1:10" ht="14.25" customHeight="1" x14ac:dyDescent="0.2">
      <c r="A1153" s="1" t="s">
        <v>1219</v>
      </c>
      <c r="B1153" s="1" t="s">
        <v>179</v>
      </c>
      <c r="C1153" s="1">
        <v>70410990</v>
      </c>
      <c r="D1153" s="1" t="s">
        <v>3066</v>
      </c>
      <c r="E1153" s="1" t="s">
        <v>1893</v>
      </c>
      <c r="F1153" s="1">
        <v>1</v>
      </c>
      <c r="G1153" s="1"/>
      <c r="H1153" s="1"/>
      <c r="I1153" s="1"/>
      <c r="J1153" s="1" t="str">
        <f t="shared" si="17"/>
        <v/>
      </c>
    </row>
    <row r="1154" spans="1:10" ht="14.25" customHeight="1" x14ac:dyDescent="0.2">
      <c r="A1154" s="1" t="s">
        <v>987</v>
      </c>
      <c r="B1154" s="1" t="s">
        <v>36</v>
      </c>
      <c r="C1154" s="1">
        <v>117156401</v>
      </c>
      <c r="D1154" s="1" t="s">
        <v>2868</v>
      </c>
      <c r="E1154" s="1" t="s">
        <v>1765</v>
      </c>
      <c r="F1154" s="1">
        <v>1</v>
      </c>
      <c r="G1154" s="1"/>
      <c r="H1154" s="1"/>
      <c r="I1154" s="1"/>
      <c r="J1154" s="1" t="str">
        <f t="shared" si="17"/>
        <v/>
      </c>
    </row>
    <row r="1155" spans="1:10" ht="14.25" customHeight="1" x14ac:dyDescent="0.2">
      <c r="A1155" s="1" t="s">
        <v>988</v>
      </c>
      <c r="B1155" s="1" t="s">
        <v>36</v>
      </c>
      <c r="C1155" s="1">
        <v>117156401</v>
      </c>
      <c r="D1155" s="1" t="s">
        <v>2869</v>
      </c>
      <c r="E1155" s="1" t="s">
        <v>1765</v>
      </c>
      <c r="F1155" s="1">
        <v>1</v>
      </c>
      <c r="G1155" s="1"/>
      <c r="H1155" s="1"/>
      <c r="I1155" s="1"/>
      <c r="J1155" s="1" t="str">
        <f t="shared" ref="J1155:J1218" si="18">IF(H1155="",IF(I1155="","",I1155),H1155)</f>
        <v/>
      </c>
    </row>
    <row r="1156" spans="1:10" ht="14.25" customHeight="1" x14ac:dyDescent="0.2">
      <c r="A1156" s="1" t="s">
        <v>986</v>
      </c>
      <c r="B1156" s="1" t="s">
        <v>36</v>
      </c>
      <c r="C1156" s="1">
        <v>117156401</v>
      </c>
      <c r="D1156" s="1" t="s">
        <v>2867</v>
      </c>
      <c r="E1156" s="1" t="s">
        <v>1765</v>
      </c>
      <c r="F1156" s="1">
        <v>1</v>
      </c>
      <c r="G1156" s="1"/>
      <c r="H1156" s="1"/>
      <c r="I1156" s="1"/>
      <c r="J1156" s="1" t="str">
        <f t="shared" si="18"/>
        <v/>
      </c>
    </row>
    <row r="1157" spans="1:10" ht="14.25" customHeight="1" x14ac:dyDescent="0.2">
      <c r="A1157" s="1" t="s">
        <v>612</v>
      </c>
      <c r="B1157" s="1" t="s">
        <v>569</v>
      </c>
      <c r="C1157" s="1">
        <v>103822084</v>
      </c>
      <c r="D1157" s="1" t="s">
        <v>2554</v>
      </c>
      <c r="E1157" s="1" t="s">
        <v>1589</v>
      </c>
      <c r="F1157" s="1">
        <v>1</v>
      </c>
      <c r="G1157" s="1"/>
      <c r="H1157" s="1"/>
      <c r="I1157" s="1"/>
      <c r="J1157" s="1" t="str">
        <f t="shared" si="18"/>
        <v/>
      </c>
    </row>
    <row r="1158" spans="1:10" ht="14.25" customHeight="1" x14ac:dyDescent="0.2">
      <c r="A1158" s="1" t="s">
        <v>656</v>
      </c>
      <c r="B1158" s="1" t="s">
        <v>186</v>
      </c>
      <c r="C1158" s="1">
        <v>137475458</v>
      </c>
      <c r="D1158" s="1" t="s">
        <v>2594</v>
      </c>
      <c r="E1158" s="1" t="s">
        <v>1618</v>
      </c>
      <c r="F1158" s="1">
        <v>1</v>
      </c>
      <c r="G1158" s="1"/>
      <c r="H1158" s="1"/>
      <c r="I1158" s="1"/>
      <c r="J1158" s="1" t="str">
        <f t="shared" si="18"/>
        <v/>
      </c>
    </row>
    <row r="1159" spans="1:10" ht="14.25" customHeight="1" x14ac:dyDescent="0.2">
      <c r="A1159" s="1" t="s">
        <v>1150</v>
      </c>
      <c r="B1159" s="1" t="s">
        <v>121</v>
      </c>
      <c r="C1159" s="1">
        <v>84211452</v>
      </c>
      <c r="D1159" s="1" t="s">
        <v>3010</v>
      </c>
      <c r="E1159" s="1" t="s">
        <v>1856</v>
      </c>
      <c r="F1159" s="1">
        <v>1</v>
      </c>
      <c r="G1159" s="1"/>
      <c r="H1159" s="1"/>
      <c r="I1159" s="1"/>
      <c r="J1159" s="1" t="str">
        <f t="shared" si="18"/>
        <v/>
      </c>
    </row>
    <row r="1160" spans="1:10" ht="14.25" customHeight="1" x14ac:dyDescent="0.2">
      <c r="A1160" s="1" t="s">
        <v>3707</v>
      </c>
      <c r="B1160" s="1" t="s">
        <v>113</v>
      </c>
      <c r="C1160" s="1">
        <v>40886446</v>
      </c>
      <c r="D1160" s="1" t="s">
        <v>2955</v>
      </c>
      <c r="E1160" s="1" t="s">
        <v>1821</v>
      </c>
      <c r="F1160" s="1">
        <v>1</v>
      </c>
      <c r="G1160" s="1"/>
      <c r="H1160" s="1"/>
      <c r="I1160" s="1"/>
      <c r="J1160" s="1" t="str">
        <f t="shared" si="18"/>
        <v/>
      </c>
    </row>
    <row r="1161" spans="1:10" ht="14.25" customHeight="1" x14ac:dyDescent="0.2">
      <c r="A1161" s="1" t="s">
        <v>598</v>
      </c>
      <c r="B1161" s="1" t="s">
        <v>569</v>
      </c>
      <c r="C1161" s="1">
        <v>87797357</v>
      </c>
      <c r="D1161" s="1" t="s">
        <v>2540</v>
      </c>
      <c r="E1161" s="1" t="s">
        <v>1584</v>
      </c>
      <c r="F1161" s="1">
        <v>1</v>
      </c>
      <c r="G1161" s="1"/>
      <c r="H1161" s="1"/>
      <c r="I1161" s="1"/>
      <c r="J1161" s="1" t="str">
        <f t="shared" si="18"/>
        <v/>
      </c>
    </row>
    <row r="1162" spans="1:10" ht="14.25" customHeight="1" x14ac:dyDescent="0.2">
      <c r="A1162" s="1" t="s">
        <v>779</v>
      </c>
      <c r="B1162" s="1" t="s">
        <v>103</v>
      </c>
      <c r="C1162" s="1">
        <v>52232136</v>
      </c>
      <c r="D1162" s="1" t="s">
        <v>2699</v>
      </c>
      <c r="E1162" s="1" t="s">
        <v>1681</v>
      </c>
      <c r="F1162" s="1">
        <v>1</v>
      </c>
      <c r="G1162" s="1"/>
      <c r="H1162" s="1"/>
      <c r="I1162" s="1"/>
      <c r="J1162" s="1" t="str">
        <f t="shared" si="18"/>
        <v/>
      </c>
    </row>
    <row r="1163" spans="1:10" ht="14.25" customHeight="1" x14ac:dyDescent="0.2">
      <c r="A1163" s="1" t="s">
        <v>1006</v>
      </c>
      <c r="B1163" s="1" t="s">
        <v>212</v>
      </c>
      <c r="C1163" s="1">
        <v>8975149</v>
      </c>
      <c r="D1163" s="1" t="s">
        <v>3254</v>
      </c>
      <c r="E1163" s="1" t="s">
        <v>1991</v>
      </c>
      <c r="F1163" s="1">
        <v>2</v>
      </c>
      <c r="G1163" s="1"/>
      <c r="H1163" s="1"/>
      <c r="I1163" s="1"/>
      <c r="J1163" s="1" t="str">
        <f t="shared" si="18"/>
        <v/>
      </c>
    </row>
    <row r="1164" spans="1:10" ht="14.25" customHeight="1" x14ac:dyDescent="0.2">
      <c r="A1164" s="1" t="s">
        <v>790</v>
      </c>
      <c r="B1164" s="1" t="s">
        <v>103</v>
      </c>
      <c r="C1164" s="1">
        <v>124780881</v>
      </c>
      <c r="D1164" s="1" t="s">
        <v>2706</v>
      </c>
      <c r="E1164" s="1" t="s">
        <v>1685</v>
      </c>
      <c r="F1164" s="1">
        <v>1</v>
      </c>
      <c r="G1164" s="1"/>
      <c r="H1164" s="1"/>
      <c r="I1164" s="1"/>
      <c r="J1164" s="1" t="str">
        <f t="shared" si="18"/>
        <v/>
      </c>
    </row>
    <row r="1165" spans="1:10" ht="14.25" customHeight="1" x14ac:dyDescent="0.2">
      <c r="A1165" s="1" t="s">
        <v>777</v>
      </c>
      <c r="B1165" s="1" t="s">
        <v>103</v>
      </c>
      <c r="C1165" s="1">
        <v>38965049</v>
      </c>
      <c r="D1165" s="1" t="s">
        <v>2697</v>
      </c>
      <c r="E1165" s="1" t="s">
        <v>1679</v>
      </c>
      <c r="F1165" s="1">
        <v>1</v>
      </c>
      <c r="G1165" s="1"/>
      <c r="H1165" s="1"/>
      <c r="I1165" s="1"/>
      <c r="J1165" s="1" t="str">
        <f t="shared" si="18"/>
        <v/>
      </c>
    </row>
    <row r="1166" spans="1:10" ht="14.25" customHeight="1" x14ac:dyDescent="0.2">
      <c r="A1166" s="1" t="s">
        <v>1212</v>
      </c>
      <c r="B1166" s="1" t="s">
        <v>179</v>
      </c>
      <c r="C1166" s="1">
        <v>43753987</v>
      </c>
      <c r="D1166" s="1" t="s">
        <v>2281</v>
      </c>
      <c r="E1166" s="1" t="s">
        <v>1449</v>
      </c>
      <c r="F1166" s="1" t="s">
        <v>3406</v>
      </c>
      <c r="G1166" s="1"/>
      <c r="H1166" s="1" t="s">
        <v>3825</v>
      </c>
      <c r="I1166" s="1"/>
      <c r="J1166" s="1" t="str">
        <f t="shared" si="18"/>
        <v>纠后正确，加1个氨基酸chr18：43833705-43843081</v>
      </c>
    </row>
    <row r="1167" spans="1:10" ht="14.25" customHeight="1" x14ac:dyDescent="0.2">
      <c r="A1167" s="1" t="s">
        <v>80</v>
      </c>
      <c r="B1167" s="1" t="s">
        <v>81</v>
      </c>
      <c r="C1167" s="1">
        <v>63779548</v>
      </c>
      <c r="D1167" s="1" t="s">
        <v>2097</v>
      </c>
      <c r="E1167" s="1" t="s">
        <v>79</v>
      </c>
      <c r="F1167" s="1" t="s">
        <v>2062</v>
      </c>
      <c r="G1167" s="1"/>
      <c r="H1167" s="1" t="s">
        <v>3763</v>
      </c>
      <c r="I1167" s="1"/>
      <c r="J1167" s="1" t="str">
        <f t="shared" si="18"/>
        <v>纠后正确</v>
      </c>
    </row>
    <row r="1168" spans="1:10" ht="14.25" customHeight="1" x14ac:dyDescent="0.2">
      <c r="A1168" s="1" t="s">
        <v>338</v>
      </c>
      <c r="B1168" s="1" t="s">
        <v>139</v>
      </c>
      <c r="C1168" s="1">
        <v>33938231</v>
      </c>
      <c r="D1168" s="1" t="s">
        <v>2317</v>
      </c>
      <c r="E1168" s="1" t="s">
        <v>1470</v>
      </c>
      <c r="F1168" s="1">
        <v>1</v>
      </c>
      <c r="G1168" s="1"/>
      <c r="H1168" s="1"/>
      <c r="I1168" s="1"/>
      <c r="J1168" s="1" t="str">
        <f t="shared" si="18"/>
        <v/>
      </c>
    </row>
    <row r="1169" spans="1:10" ht="14.25" customHeight="1" x14ac:dyDescent="0.2">
      <c r="A1169" s="1" t="s">
        <v>44</v>
      </c>
      <c r="B1169" s="1" t="s">
        <v>43</v>
      </c>
      <c r="C1169" s="1">
        <v>36585175</v>
      </c>
      <c r="D1169" s="1" t="s">
        <v>2078</v>
      </c>
      <c r="E1169" s="1" t="s">
        <v>41</v>
      </c>
      <c r="F1169" s="1" t="s">
        <v>2062</v>
      </c>
      <c r="G1169" s="1"/>
      <c r="H1169" s="1" t="s">
        <v>8394</v>
      </c>
      <c r="I1169" s="1"/>
      <c r="J1169" s="1" t="str">
        <f t="shared" si="18"/>
        <v>纠后正确</v>
      </c>
    </row>
    <row r="1170" spans="1:10" ht="14.25" customHeight="1" x14ac:dyDescent="0.2">
      <c r="A1170" s="1" t="s">
        <v>164</v>
      </c>
      <c r="B1170" s="1" t="s">
        <v>113</v>
      </c>
      <c r="C1170" s="1">
        <v>99645285</v>
      </c>
      <c r="D1170" s="1" t="s">
        <v>2147</v>
      </c>
      <c r="E1170" s="1" t="s">
        <v>162</v>
      </c>
      <c r="F1170" s="1" t="s">
        <v>2062</v>
      </c>
      <c r="G1170" s="1"/>
      <c r="H1170" s="1" t="s">
        <v>3763</v>
      </c>
      <c r="I1170" s="1"/>
      <c r="J1170" s="1" t="str">
        <f t="shared" si="18"/>
        <v>纠后正确</v>
      </c>
    </row>
    <row r="1171" spans="1:10" ht="14.25" customHeight="1" x14ac:dyDescent="0.2">
      <c r="A1171" s="1" t="s">
        <v>1340</v>
      </c>
      <c r="B1171" s="1" t="s">
        <v>43</v>
      </c>
      <c r="C1171" s="1">
        <v>29723668</v>
      </c>
      <c r="D1171" s="1" t="s">
        <v>3159</v>
      </c>
      <c r="E1171" s="1" t="s">
        <v>1947</v>
      </c>
      <c r="F1171" s="1">
        <v>1</v>
      </c>
      <c r="G1171" s="1"/>
      <c r="H1171" s="1"/>
      <c r="I1171" s="1"/>
      <c r="J1171" s="1" t="str">
        <f t="shared" si="18"/>
        <v/>
      </c>
    </row>
    <row r="1172" spans="1:10" ht="14.25" customHeight="1" x14ac:dyDescent="0.2">
      <c r="A1172" s="1" t="s">
        <v>313</v>
      </c>
      <c r="B1172" s="1" t="s">
        <v>139</v>
      </c>
      <c r="C1172" s="1">
        <v>1266725</v>
      </c>
      <c r="D1172" s="1" t="s">
        <v>2298</v>
      </c>
      <c r="E1172" s="1" t="s">
        <v>1460</v>
      </c>
      <c r="F1172" s="1">
        <v>1</v>
      </c>
      <c r="G1172" s="1"/>
      <c r="H1172" s="1"/>
      <c r="I1172" s="1"/>
      <c r="J1172" s="1" t="str">
        <f t="shared" si="18"/>
        <v/>
      </c>
    </row>
    <row r="1173" spans="1:10" ht="14.25" customHeight="1" x14ac:dyDescent="0.2">
      <c r="A1173" s="1" t="s">
        <v>235</v>
      </c>
      <c r="B1173" s="1" t="s">
        <v>43</v>
      </c>
      <c r="C1173" s="1">
        <v>29702996</v>
      </c>
      <c r="D1173" s="1" t="s">
        <v>3857</v>
      </c>
      <c r="E1173" s="1" t="s">
        <v>280</v>
      </c>
      <c r="F1173" s="1" t="s">
        <v>2062</v>
      </c>
      <c r="G1173" s="1"/>
      <c r="H1173" s="1" t="s">
        <v>8393</v>
      </c>
      <c r="I1173" s="1"/>
      <c r="J1173" s="1" t="str">
        <f t="shared" si="18"/>
        <v>纠后正确，utr略有变化，版本不一致</v>
      </c>
    </row>
    <row r="1174" spans="1:10" ht="14.25" customHeight="1" x14ac:dyDescent="0.2">
      <c r="A1174" s="1" t="s">
        <v>933</v>
      </c>
      <c r="B1174" s="1" t="s">
        <v>36</v>
      </c>
      <c r="C1174" s="1">
        <v>47430045</v>
      </c>
      <c r="D1174" s="1" t="s">
        <v>2833</v>
      </c>
      <c r="E1174" s="1" t="s">
        <v>1748</v>
      </c>
      <c r="F1174" s="1">
        <v>1</v>
      </c>
      <c r="G1174" s="1"/>
      <c r="H1174" s="1"/>
      <c r="I1174" s="1"/>
      <c r="J1174" s="1" t="str">
        <f t="shared" si="18"/>
        <v/>
      </c>
    </row>
    <row r="1175" spans="1:10" ht="14.25" customHeight="1" x14ac:dyDescent="0.2">
      <c r="A1175" s="1" t="s">
        <v>74</v>
      </c>
      <c r="B1175" s="1" t="s">
        <v>73</v>
      </c>
      <c r="C1175" s="1">
        <v>152853382</v>
      </c>
      <c r="D1175" s="1" t="s">
        <v>2094</v>
      </c>
      <c r="E1175" s="1" t="s">
        <v>71</v>
      </c>
      <c r="F1175" s="1" t="s">
        <v>2062</v>
      </c>
      <c r="G1175" s="1"/>
      <c r="H1175" s="1" t="s">
        <v>8396</v>
      </c>
      <c r="I1175" s="1"/>
      <c r="J1175" s="1" t="str">
        <f t="shared" si="18"/>
        <v>纠后正确</v>
      </c>
    </row>
    <row r="1176" spans="1:10" ht="14.25" customHeight="1" x14ac:dyDescent="0.2">
      <c r="A1176" s="1" t="s">
        <v>1081</v>
      </c>
      <c r="B1176" s="1" t="s">
        <v>81</v>
      </c>
      <c r="C1176" s="1">
        <v>92246265</v>
      </c>
      <c r="D1176" s="1" t="s">
        <v>2947</v>
      </c>
      <c r="E1176" s="1" t="s">
        <v>1815</v>
      </c>
      <c r="F1176" s="1">
        <v>1</v>
      </c>
      <c r="G1176" s="1"/>
      <c r="H1176" s="1"/>
      <c r="I1176" s="1"/>
      <c r="J1176" s="1" t="str">
        <f t="shared" si="18"/>
        <v/>
      </c>
    </row>
    <row r="1177" spans="1:10" ht="14.25" customHeight="1" x14ac:dyDescent="0.2">
      <c r="A1177" s="1" t="s">
        <v>1131</v>
      </c>
      <c r="B1177" s="1" t="s">
        <v>121</v>
      </c>
      <c r="C1177" s="1">
        <v>29789560</v>
      </c>
      <c r="D1177" s="1" t="s">
        <v>3265</v>
      </c>
      <c r="E1177" s="1" t="s">
        <v>2000</v>
      </c>
      <c r="F1177" s="1">
        <v>2</v>
      </c>
      <c r="G1177" s="1"/>
      <c r="H1177" s="1"/>
      <c r="I1177" s="1"/>
      <c r="J1177" s="1" t="str">
        <f t="shared" si="18"/>
        <v/>
      </c>
    </row>
    <row r="1178" spans="1:10" ht="14.25" customHeight="1" x14ac:dyDescent="0.2">
      <c r="A1178" s="1" t="s">
        <v>620</v>
      </c>
      <c r="B1178" s="1" t="s">
        <v>569</v>
      </c>
      <c r="C1178" s="1">
        <v>113066552</v>
      </c>
      <c r="D1178" s="1" t="s">
        <v>2562</v>
      </c>
      <c r="E1178" s="1" t="s">
        <v>1593</v>
      </c>
      <c r="F1178" s="1">
        <v>1</v>
      </c>
      <c r="G1178" s="1"/>
      <c r="H1178" s="1"/>
      <c r="I1178" s="1"/>
      <c r="J1178" s="1" t="str">
        <f t="shared" si="18"/>
        <v/>
      </c>
    </row>
    <row r="1179" spans="1:10" ht="14.25" customHeight="1" x14ac:dyDescent="0.2">
      <c r="A1179" s="1" t="s">
        <v>1040</v>
      </c>
      <c r="B1179" s="1" t="s">
        <v>212</v>
      </c>
      <c r="C1179" s="1">
        <v>64586418</v>
      </c>
      <c r="D1179" s="1" t="s">
        <v>3255</v>
      </c>
      <c r="E1179" s="1" t="s">
        <v>1992</v>
      </c>
      <c r="F1179" s="1">
        <v>2</v>
      </c>
      <c r="G1179" s="1"/>
      <c r="H1179" s="1"/>
      <c r="I1179" s="1"/>
      <c r="J1179" s="1" t="str">
        <f t="shared" si="18"/>
        <v/>
      </c>
    </row>
    <row r="1180" spans="1:10" ht="14.25" customHeight="1" x14ac:dyDescent="0.2">
      <c r="A1180" s="1" t="s">
        <v>3747</v>
      </c>
      <c r="B1180" s="1" t="s">
        <v>139</v>
      </c>
      <c r="C1180" s="1">
        <v>861120</v>
      </c>
      <c r="D1180" s="1" t="s">
        <v>2296</v>
      </c>
      <c r="E1180" s="1" t="s">
        <v>1458</v>
      </c>
      <c r="F1180" s="1">
        <v>1</v>
      </c>
      <c r="G1180" s="1"/>
      <c r="H1180" s="1"/>
      <c r="I1180" s="1"/>
      <c r="J1180" s="1" t="str">
        <f t="shared" si="18"/>
        <v/>
      </c>
    </row>
    <row r="1181" spans="1:10" ht="14.25" customHeight="1" x14ac:dyDescent="0.2">
      <c r="A1181" s="1" t="s">
        <v>3839</v>
      </c>
      <c r="B1181" s="1" t="s">
        <v>53</v>
      </c>
      <c r="C1181" s="1">
        <v>35729628</v>
      </c>
      <c r="D1181" s="1" t="s">
        <v>2081</v>
      </c>
      <c r="E1181" s="1" t="s">
        <v>51</v>
      </c>
      <c r="F1181" s="1" t="s">
        <v>2062</v>
      </c>
      <c r="G1181" s="1"/>
      <c r="H1181" s="1" t="s">
        <v>8396</v>
      </c>
      <c r="I1181" s="1"/>
      <c r="J1181" s="1" t="str">
        <f t="shared" si="18"/>
        <v>纠后正确</v>
      </c>
    </row>
    <row r="1182" spans="1:10" ht="14.25" customHeight="1" x14ac:dyDescent="0.2">
      <c r="A1182" s="1" t="s">
        <v>451</v>
      </c>
      <c r="B1182" s="1" t="s">
        <v>1</v>
      </c>
      <c r="C1182" s="1">
        <v>160092303</v>
      </c>
      <c r="D1182" s="1" t="s">
        <v>2415</v>
      </c>
      <c r="E1182" s="1" t="s">
        <v>1521</v>
      </c>
      <c r="F1182" s="1">
        <v>1</v>
      </c>
      <c r="G1182" s="1"/>
      <c r="H1182" s="1"/>
      <c r="I1182" s="1"/>
      <c r="J1182" s="1" t="str">
        <f t="shared" si="18"/>
        <v/>
      </c>
    </row>
    <row r="1183" spans="1:10" ht="14.25" customHeight="1" x14ac:dyDescent="0.2">
      <c r="A1183" s="1" t="s">
        <v>645</v>
      </c>
      <c r="B1183" s="1" t="s">
        <v>186</v>
      </c>
      <c r="C1183" s="1">
        <v>94727047</v>
      </c>
      <c r="D1183" s="1" t="s">
        <v>2583</v>
      </c>
      <c r="E1183" s="1" t="s">
        <v>1610</v>
      </c>
      <c r="F1183" s="1">
        <v>1</v>
      </c>
      <c r="G1183" s="1"/>
      <c r="H1183" s="1"/>
      <c r="I1183" s="1"/>
      <c r="J1183" s="1" t="str">
        <f t="shared" si="18"/>
        <v/>
      </c>
    </row>
    <row r="1184" spans="1:10" ht="14.25" customHeight="1" x14ac:dyDescent="0.2">
      <c r="A1184" s="1" t="s">
        <v>662</v>
      </c>
      <c r="B1184" s="1" t="s">
        <v>186</v>
      </c>
      <c r="C1184" s="1">
        <v>145316125</v>
      </c>
      <c r="D1184" s="1" t="s">
        <v>2600</v>
      </c>
      <c r="E1184" s="1" t="s">
        <v>1623</v>
      </c>
      <c r="F1184" s="1">
        <v>1</v>
      </c>
      <c r="G1184" s="1"/>
      <c r="H1184" s="1"/>
      <c r="I1184" s="1"/>
      <c r="J1184" s="1" t="str">
        <f t="shared" si="18"/>
        <v/>
      </c>
    </row>
    <row r="1185" spans="1:10" ht="14.25" customHeight="1" x14ac:dyDescent="0.2">
      <c r="A1185" s="1" t="s">
        <v>346</v>
      </c>
      <c r="B1185" s="1" t="s">
        <v>139</v>
      </c>
      <c r="C1185" s="1">
        <v>55271735</v>
      </c>
      <c r="D1185" s="1" t="s">
        <v>2322</v>
      </c>
      <c r="E1185" s="1" t="s">
        <v>1474</v>
      </c>
      <c r="F1185" s="1">
        <v>1</v>
      </c>
      <c r="G1185" s="1"/>
      <c r="H1185" s="1"/>
      <c r="I1185" s="1"/>
      <c r="J1185" s="1" t="str">
        <f t="shared" si="18"/>
        <v/>
      </c>
    </row>
    <row r="1186" spans="1:10" ht="14.25" customHeight="1" x14ac:dyDescent="0.2">
      <c r="A1186" s="1" t="s">
        <v>647</v>
      </c>
      <c r="B1186" s="1" t="s">
        <v>186</v>
      </c>
      <c r="C1186" s="1">
        <v>112312406</v>
      </c>
      <c r="D1186" s="1" t="s">
        <v>2585</v>
      </c>
      <c r="E1186" s="1" t="s">
        <v>1612</v>
      </c>
      <c r="F1186" s="1">
        <v>1</v>
      </c>
      <c r="G1186" s="1"/>
      <c r="H1186" s="1"/>
      <c r="I1186" s="1"/>
      <c r="J1186" s="1" t="str">
        <f t="shared" si="18"/>
        <v/>
      </c>
    </row>
    <row r="1187" spans="1:10" ht="14.25" customHeight="1" x14ac:dyDescent="0.2">
      <c r="A1187" s="1" t="s">
        <v>634</v>
      </c>
      <c r="B1187" s="1" t="s">
        <v>569</v>
      </c>
      <c r="C1187" s="1">
        <v>185570766</v>
      </c>
      <c r="D1187" s="1" t="s">
        <v>2574</v>
      </c>
      <c r="E1187" s="1" t="s">
        <v>1602</v>
      </c>
      <c r="F1187" s="1">
        <v>1</v>
      </c>
      <c r="G1187" s="1"/>
      <c r="H1187" s="1"/>
      <c r="I1187" s="1"/>
      <c r="J1187" s="1" t="str">
        <f t="shared" si="18"/>
        <v/>
      </c>
    </row>
    <row r="1188" spans="1:10" ht="14.25" customHeight="1" x14ac:dyDescent="0.2">
      <c r="A1188" s="1" t="s">
        <v>659</v>
      </c>
      <c r="B1188" s="1" t="s">
        <v>186</v>
      </c>
      <c r="C1188" s="1">
        <v>138702884</v>
      </c>
      <c r="D1188" s="1" t="s">
        <v>2597</v>
      </c>
      <c r="E1188" s="1" t="s">
        <v>1620</v>
      </c>
      <c r="F1188" s="1">
        <v>1</v>
      </c>
      <c r="G1188" s="1"/>
      <c r="H1188" s="1"/>
      <c r="I1188" s="1"/>
      <c r="J1188" s="1" t="str">
        <f t="shared" si="18"/>
        <v/>
      </c>
    </row>
    <row r="1189" spans="1:10" ht="14.25" customHeight="1" x14ac:dyDescent="0.2">
      <c r="A1189" s="1" t="s">
        <v>871</v>
      </c>
      <c r="B1189" s="1" t="s">
        <v>93</v>
      </c>
      <c r="C1189" s="1">
        <v>72530994</v>
      </c>
      <c r="D1189" s="1" t="s">
        <v>2776</v>
      </c>
      <c r="E1189" s="1" t="s">
        <v>1721</v>
      </c>
      <c r="F1189" s="1">
        <v>1</v>
      </c>
      <c r="G1189" s="1"/>
      <c r="H1189" s="1"/>
      <c r="I1189" s="1"/>
      <c r="J1189" s="1" t="str">
        <f t="shared" si="18"/>
        <v/>
      </c>
    </row>
    <row r="1190" spans="1:10" ht="14.25" customHeight="1" x14ac:dyDescent="0.2">
      <c r="A1190" s="1" t="s">
        <v>8375</v>
      </c>
      <c r="B1190" s="1" t="s">
        <v>106</v>
      </c>
      <c r="C1190" s="1">
        <v>52706778</v>
      </c>
      <c r="D1190" s="1" t="s">
        <v>2110</v>
      </c>
      <c r="E1190" s="1" t="s">
        <v>3932</v>
      </c>
      <c r="F1190" s="1" t="s">
        <v>2062</v>
      </c>
      <c r="G1190" s="1"/>
      <c r="H1190" s="1" t="s">
        <v>8403</v>
      </c>
      <c r="I1190" s="11"/>
      <c r="J1190" s="1" t="str">
        <f t="shared" si="18"/>
        <v>无此变体信息</v>
      </c>
    </row>
    <row r="1191" spans="1:10" ht="14.25" customHeight="1" x14ac:dyDescent="0.2">
      <c r="A1191" s="1" t="s">
        <v>236</v>
      </c>
      <c r="B1191" s="1" t="s">
        <v>103</v>
      </c>
      <c r="C1191" s="1">
        <v>64081120</v>
      </c>
      <c r="D1191" s="1" t="s">
        <v>3858</v>
      </c>
      <c r="E1191" s="1" t="s">
        <v>309</v>
      </c>
      <c r="F1191" s="1" t="s">
        <v>2062</v>
      </c>
      <c r="G1191" s="1"/>
      <c r="H1191" s="1" t="s">
        <v>8393</v>
      </c>
      <c r="I1191" s="1"/>
      <c r="J1191" s="1" t="str">
        <f t="shared" si="18"/>
        <v>纠后正确，utr略有变化，版本不一致</v>
      </c>
    </row>
    <row r="1192" spans="1:10" ht="14.25" customHeight="1" x14ac:dyDescent="0.2">
      <c r="A1192" s="1" t="s">
        <v>953</v>
      </c>
      <c r="B1192" s="1" t="s">
        <v>36</v>
      </c>
      <c r="C1192" s="1">
        <v>65713114</v>
      </c>
      <c r="D1192" s="1" t="s">
        <v>2850</v>
      </c>
      <c r="E1192" s="1" t="s">
        <v>1754</v>
      </c>
      <c r="F1192" s="1">
        <v>1</v>
      </c>
      <c r="G1192" s="1"/>
      <c r="H1192" s="1"/>
      <c r="I1192" s="1"/>
      <c r="J1192" s="1" t="str">
        <f t="shared" si="18"/>
        <v/>
      </c>
    </row>
    <row r="1193" spans="1:10" ht="14.25" customHeight="1" x14ac:dyDescent="0.2">
      <c r="A1193" s="1" t="s">
        <v>237</v>
      </c>
      <c r="B1193" s="1" t="s">
        <v>47</v>
      </c>
      <c r="C1193" s="1">
        <v>21142182</v>
      </c>
      <c r="D1193" s="1" t="s">
        <v>2160</v>
      </c>
      <c r="E1193" s="1" t="s">
        <v>272</v>
      </c>
      <c r="F1193" s="1" t="s">
        <v>2062</v>
      </c>
      <c r="G1193" s="1"/>
      <c r="H1193" s="1" t="s">
        <v>3763</v>
      </c>
      <c r="I1193" s="1"/>
      <c r="J1193" s="1" t="str">
        <f t="shared" si="18"/>
        <v>纠后正确</v>
      </c>
    </row>
    <row r="1194" spans="1:10" ht="14.25" customHeight="1" x14ac:dyDescent="0.2">
      <c r="A1194" s="1" t="s">
        <v>159</v>
      </c>
      <c r="B1194" s="1" t="s">
        <v>50</v>
      </c>
      <c r="C1194" s="1">
        <v>2328628</v>
      </c>
      <c r="D1194" s="1" t="s">
        <v>2143</v>
      </c>
      <c r="E1194" s="1" t="s">
        <v>157</v>
      </c>
      <c r="F1194" s="1" t="s">
        <v>2062</v>
      </c>
      <c r="G1194" s="1"/>
      <c r="H1194" s="1" t="s">
        <v>3763</v>
      </c>
      <c r="I1194" s="1"/>
      <c r="J1194" s="1" t="str">
        <f t="shared" si="18"/>
        <v>纠后正确</v>
      </c>
    </row>
    <row r="1195" spans="1:10" ht="14.25" customHeight="1" x14ac:dyDescent="0.2">
      <c r="A1195" s="1" t="s">
        <v>1390</v>
      </c>
      <c r="B1195" s="1" t="s">
        <v>73</v>
      </c>
      <c r="C1195" s="1">
        <v>79924986</v>
      </c>
      <c r="D1195" s="1" t="s">
        <v>3192</v>
      </c>
      <c r="E1195" s="1" t="s">
        <v>1962</v>
      </c>
      <c r="F1195" s="1">
        <v>1</v>
      </c>
      <c r="G1195" s="1"/>
      <c r="H1195" s="1"/>
      <c r="I1195" s="1"/>
      <c r="J1195" s="1" t="str">
        <f t="shared" si="18"/>
        <v/>
      </c>
    </row>
    <row r="1196" spans="1:10" ht="14.25" customHeight="1" x14ac:dyDescent="0.2">
      <c r="A1196" s="1" t="s">
        <v>1290</v>
      </c>
      <c r="B1196" s="1" t="s">
        <v>50</v>
      </c>
      <c r="C1196" s="1">
        <v>58038692</v>
      </c>
      <c r="D1196" s="1" t="s">
        <v>3117</v>
      </c>
      <c r="E1196" s="1" t="s">
        <v>1923</v>
      </c>
      <c r="F1196" s="1">
        <v>1</v>
      </c>
      <c r="G1196" s="1"/>
      <c r="H1196" s="1"/>
      <c r="I1196" s="1"/>
      <c r="J1196" s="1" t="str">
        <f t="shared" si="18"/>
        <v/>
      </c>
    </row>
    <row r="1197" spans="1:10" ht="14.25" customHeight="1" x14ac:dyDescent="0.2">
      <c r="A1197" s="1" t="s">
        <v>494</v>
      </c>
      <c r="B1197" s="1" t="s">
        <v>86</v>
      </c>
      <c r="C1197" s="1">
        <v>9958757</v>
      </c>
      <c r="D1197" s="1" t="s">
        <v>2449</v>
      </c>
      <c r="E1197" s="1" t="s">
        <v>1542</v>
      </c>
      <c r="F1197" s="1">
        <v>1</v>
      </c>
      <c r="G1197" s="1"/>
      <c r="H1197" s="1"/>
      <c r="I1197" s="1"/>
      <c r="J1197" s="1" t="str">
        <f t="shared" si="18"/>
        <v/>
      </c>
    </row>
    <row r="1198" spans="1:10" ht="14.25" customHeight="1" x14ac:dyDescent="0.2">
      <c r="A1198" s="1" t="s">
        <v>499</v>
      </c>
      <c r="B1198" s="1" t="s">
        <v>86</v>
      </c>
      <c r="C1198" s="1">
        <v>9958781</v>
      </c>
      <c r="D1198" s="1" t="s">
        <v>2454</v>
      </c>
      <c r="E1198" s="1" t="s">
        <v>1542</v>
      </c>
      <c r="F1198" s="1">
        <v>1</v>
      </c>
      <c r="G1198" s="1"/>
      <c r="H1198" s="1"/>
      <c r="I1198" s="1"/>
      <c r="J1198" s="1" t="str">
        <f t="shared" si="18"/>
        <v/>
      </c>
    </row>
    <row r="1199" spans="1:10" ht="14.25" customHeight="1" x14ac:dyDescent="0.2">
      <c r="A1199" s="1" t="s">
        <v>1174</v>
      </c>
      <c r="B1199" s="1" t="s">
        <v>47</v>
      </c>
      <c r="C1199" s="1">
        <v>39657232</v>
      </c>
      <c r="D1199" s="1" t="s">
        <v>3028</v>
      </c>
      <c r="E1199" s="1" t="s">
        <v>1868</v>
      </c>
      <c r="F1199" s="1">
        <v>1</v>
      </c>
      <c r="G1199" s="1"/>
      <c r="H1199" s="1"/>
      <c r="I1199" s="1"/>
      <c r="J1199" s="1" t="str">
        <f t="shared" si="18"/>
        <v/>
      </c>
    </row>
    <row r="1200" spans="1:10" ht="14.25" customHeight="1" x14ac:dyDescent="0.2">
      <c r="A1200" s="1" t="s">
        <v>719</v>
      </c>
      <c r="B1200" s="1" t="s">
        <v>40</v>
      </c>
      <c r="C1200" s="1">
        <v>27132611</v>
      </c>
      <c r="D1200" s="1" t="s">
        <v>2652</v>
      </c>
      <c r="E1200" s="1" t="s">
        <v>1654</v>
      </c>
      <c r="F1200" s="1">
        <v>1</v>
      </c>
      <c r="G1200" s="1"/>
      <c r="H1200" s="1"/>
      <c r="I1200" s="1"/>
      <c r="J1200" s="1" t="str">
        <f t="shared" si="18"/>
        <v/>
      </c>
    </row>
    <row r="1201" spans="1:10" ht="14.25" customHeight="1" x14ac:dyDescent="0.2">
      <c r="A1201" s="1" t="s">
        <v>1320</v>
      </c>
      <c r="B1201" s="1" t="s">
        <v>241</v>
      </c>
      <c r="C1201" s="1">
        <v>38437663</v>
      </c>
      <c r="D1201" s="1" t="s">
        <v>3144</v>
      </c>
      <c r="E1201" s="1" t="s">
        <v>1940</v>
      </c>
      <c r="F1201" s="1">
        <v>1</v>
      </c>
      <c r="G1201" s="1"/>
      <c r="H1201" s="1"/>
      <c r="I1201" s="1"/>
      <c r="J1201" s="1" t="str">
        <f t="shared" si="18"/>
        <v/>
      </c>
    </row>
    <row r="1202" spans="1:10" ht="14.25" customHeight="1" x14ac:dyDescent="0.2">
      <c r="A1202" s="1" t="s">
        <v>3706</v>
      </c>
      <c r="B1202" s="1" t="s">
        <v>113</v>
      </c>
      <c r="C1202" s="1">
        <v>40886446</v>
      </c>
      <c r="D1202" s="1" t="s">
        <v>2954</v>
      </c>
      <c r="E1202" s="1" t="s">
        <v>1821</v>
      </c>
      <c r="F1202" s="1">
        <v>1</v>
      </c>
      <c r="G1202" s="1"/>
      <c r="H1202" s="1"/>
      <c r="I1202" s="1"/>
      <c r="J1202" s="1" t="str">
        <f t="shared" si="18"/>
        <v/>
      </c>
    </row>
    <row r="1203" spans="1:10" ht="14.25" customHeight="1" x14ac:dyDescent="0.2">
      <c r="A1203" s="1" t="s">
        <v>373</v>
      </c>
      <c r="B1203" s="1" t="s">
        <v>139</v>
      </c>
      <c r="C1203" s="1">
        <v>110453232</v>
      </c>
      <c r="D1203" s="1" t="s">
        <v>2349</v>
      </c>
      <c r="E1203" s="1" t="s">
        <v>1484</v>
      </c>
      <c r="F1203" s="1">
        <v>1</v>
      </c>
      <c r="G1203" s="1"/>
      <c r="H1203" s="1"/>
      <c r="I1203" s="1"/>
      <c r="J1203" s="1" t="str">
        <f t="shared" si="18"/>
        <v/>
      </c>
    </row>
    <row r="1204" spans="1:10" ht="14.25" customHeight="1" x14ac:dyDescent="0.2">
      <c r="A1204" s="1" t="s">
        <v>371</v>
      </c>
      <c r="B1204" s="1" t="s">
        <v>139</v>
      </c>
      <c r="C1204" s="1">
        <v>110453232</v>
      </c>
      <c r="D1204" s="1" t="s">
        <v>2347</v>
      </c>
      <c r="E1204" s="1" t="s">
        <v>1484</v>
      </c>
      <c r="F1204" s="1">
        <v>1</v>
      </c>
      <c r="G1204" s="1"/>
      <c r="H1204" s="1"/>
      <c r="I1204" s="1"/>
      <c r="J1204" s="1" t="str">
        <f t="shared" si="18"/>
        <v/>
      </c>
    </row>
    <row r="1205" spans="1:10" ht="14.25" customHeight="1" x14ac:dyDescent="0.2">
      <c r="A1205" s="1" t="s">
        <v>372</v>
      </c>
      <c r="B1205" s="1" t="s">
        <v>139</v>
      </c>
      <c r="C1205" s="1">
        <v>110453232</v>
      </c>
      <c r="D1205" s="1" t="s">
        <v>2348</v>
      </c>
      <c r="E1205" s="1" t="s">
        <v>1484</v>
      </c>
      <c r="F1205" s="1">
        <v>1</v>
      </c>
      <c r="G1205" s="1"/>
      <c r="H1205" s="1"/>
      <c r="I1205" s="1"/>
      <c r="J1205" s="1" t="str">
        <f t="shared" si="18"/>
        <v/>
      </c>
    </row>
    <row r="1206" spans="1:10" ht="14.25" customHeight="1" x14ac:dyDescent="0.2">
      <c r="A1206" s="1" t="s">
        <v>747</v>
      </c>
      <c r="B1206" s="1" t="s">
        <v>40</v>
      </c>
      <c r="C1206" s="1">
        <v>100331248</v>
      </c>
      <c r="D1206" s="1" t="s">
        <v>3350</v>
      </c>
      <c r="E1206" s="1" t="s">
        <v>2031</v>
      </c>
      <c r="F1206" s="1" t="s">
        <v>2062</v>
      </c>
      <c r="G1206" s="1"/>
      <c r="H1206" s="1" t="s">
        <v>3763</v>
      </c>
      <c r="I1206" s="1"/>
      <c r="J1206" s="1" t="str">
        <f t="shared" si="18"/>
        <v>纠后正确</v>
      </c>
    </row>
    <row r="1207" spans="1:10" ht="14.25" customHeight="1" x14ac:dyDescent="0.2">
      <c r="A1207" s="1" t="s">
        <v>1179</v>
      </c>
      <c r="B1207" s="1" t="s">
        <v>47</v>
      </c>
      <c r="C1207" s="1">
        <v>41132581</v>
      </c>
      <c r="D1207" s="1" t="s">
        <v>3032</v>
      </c>
      <c r="E1207" s="1" t="s">
        <v>1872</v>
      </c>
      <c r="F1207" s="1">
        <v>1</v>
      </c>
      <c r="G1207" s="1"/>
      <c r="H1207" s="1"/>
      <c r="I1207" s="1"/>
      <c r="J1207" s="1" t="str">
        <f t="shared" si="18"/>
        <v/>
      </c>
    </row>
    <row r="1208" spans="1:10" ht="14.25" customHeight="1" x14ac:dyDescent="0.2">
      <c r="A1208" s="1" t="s">
        <v>1239</v>
      </c>
      <c r="B1208" s="1" t="s">
        <v>50</v>
      </c>
      <c r="C1208" s="1">
        <v>17634109</v>
      </c>
      <c r="D1208" s="1" t="s">
        <v>3078</v>
      </c>
      <c r="E1208" s="1" t="s">
        <v>1904</v>
      </c>
      <c r="F1208" s="1">
        <v>1</v>
      </c>
      <c r="G1208" s="1"/>
      <c r="H1208" s="1"/>
      <c r="I1208" s="1"/>
      <c r="J1208" s="1" t="str">
        <f t="shared" si="18"/>
        <v/>
      </c>
    </row>
    <row r="1209" spans="1:10" ht="14.25" customHeight="1" x14ac:dyDescent="0.2">
      <c r="A1209" s="1" t="s">
        <v>715</v>
      </c>
      <c r="B1209" s="1" t="s">
        <v>40</v>
      </c>
      <c r="C1209" s="1">
        <v>5965776</v>
      </c>
      <c r="D1209" s="1" t="s">
        <v>2648</v>
      </c>
      <c r="E1209" s="1" t="s">
        <v>1650</v>
      </c>
      <c r="F1209" s="1">
        <v>1</v>
      </c>
      <c r="G1209" s="1"/>
      <c r="H1209" s="1"/>
      <c r="I1209" s="1"/>
      <c r="J1209" s="1" t="str">
        <f t="shared" si="18"/>
        <v/>
      </c>
    </row>
    <row r="1210" spans="1:10" ht="14.25" customHeight="1" x14ac:dyDescent="0.2">
      <c r="A1210" s="1" t="s">
        <v>1324</v>
      </c>
      <c r="B1210" s="1" t="s">
        <v>241</v>
      </c>
      <c r="C1210" s="1">
        <v>43491425</v>
      </c>
      <c r="D1210" s="1" t="s">
        <v>3148</v>
      </c>
      <c r="E1210" s="1" t="s">
        <v>1942</v>
      </c>
      <c r="F1210" s="1">
        <v>1</v>
      </c>
      <c r="G1210" s="1"/>
      <c r="H1210" s="1"/>
      <c r="I1210" s="1"/>
      <c r="J1210" s="1" t="str">
        <f t="shared" si="18"/>
        <v/>
      </c>
    </row>
    <row r="1211" spans="1:10" ht="14.25" customHeight="1" x14ac:dyDescent="0.2">
      <c r="A1211" s="1" t="s">
        <v>921</v>
      </c>
      <c r="B1211" s="1" t="s">
        <v>36</v>
      </c>
      <c r="C1211" s="1">
        <v>18725851</v>
      </c>
      <c r="D1211" s="1" t="s">
        <v>2821</v>
      </c>
      <c r="E1211" s="1" t="s">
        <v>1742</v>
      </c>
      <c r="F1211" s="1">
        <v>1</v>
      </c>
      <c r="G1211" s="1"/>
      <c r="H1211" s="1"/>
      <c r="I1211" s="1"/>
      <c r="J1211" s="1" t="str">
        <f t="shared" si="18"/>
        <v/>
      </c>
    </row>
    <row r="1212" spans="1:10" ht="14.25" customHeight="1" x14ac:dyDescent="0.2">
      <c r="A1212" s="1" t="s">
        <v>627</v>
      </c>
      <c r="B1212" s="1" t="s">
        <v>569</v>
      </c>
      <c r="C1212" s="1">
        <v>154631311</v>
      </c>
      <c r="D1212" s="1" t="s">
        <v>2568</v>
      </c>
      <c r="E1212" s="1" t="s">
        <v>1598</v>
      </c>
      <c r="F1212" s="1">
        <v>1</v>
      </c>
      <c r="G1212" s="1"/>
      <c r="H1212" s="1"/>
      <c r="I1212" s="1"/>
      <c r="J1212" s="1" t="str">
        <f t="shared" si="18"/>
        <v/>
      </c>
    </row>
    <row r="1213" spans="1:10" ht="14.25" customHeight="1" x14ac:dyDescent="0.2">
      <c r="A1213" s="1" t="s">
        <v>770</v>
      </c>
      <c r="B1213" s="1" t="s">
        <v>40</v>
      </c>
      <c r="C1213" s="1">
        <v>150709296</v>
      </c>
      <c r="D1213" s="1" t="s">
        <v>3352</v>
      </c>
      <c r="E1213" s="1" t="s">
        <v>2032</v>
      </c>
      <c r="F1213" s="1" t="s">
        <v>2062</v>
      </c>
      <c r="G1213" s="1"/>
      <c r="H1213" s="1" t="s">
        <v>3763</v>
      </c>
      <c r="I1213" s="1"/>
      <c r="J1213" s="1" t="str">
        <f t="shared" si="18"/>
        <v>纠后正确</v>
      </c>
    </row>
    <row r="1214" spans="1:10" ht="14.25" customHeight="1" x14ac:dyDescent="0.2">
      <c r="A1214" s="1" t="s">
        <v>1398</v>
      </c>
      <c r="B1214" s="1" t="s">
        <v>73</v>
      </c>
      <c r="C1214" s="1">
        <v>138808504</v>
      </c>
      <c r="D1214" s="1" t="s">
        <v>3200</v>
      </c>
      <c r="E1214" s="1" t="s">
        <v>1966</v>
      </c>
      <c r="F1214" s="1">
        <v>1</v>
      </c>
      <c r="G1214" s="1"/>
      <c r="H1214" s="1"/>
      <c r="I1214" s="1"/>
      <c r="J1214" s="1" t="str">
        <f t="shared" si="18"/>
        <v/>
      </c>
    </row>
    <row r="1215" spans="1:10" ht="14.25" customHeight="1" x14ac:dyDescent="0.2">
      <c r="A1215" s="1" t="s">
        <v>1367</v>
      </c>
      <c r="B1215" s="1" t="s">
        <v>73</v>
      </c>
      <c r="C1215" s="1">
        <v>26156459</v>
      </c>
      <c r="D1215" s="1" t="s">
        <v>3180</v>
      </c>
      <c r="E1215" s="1" t="s">
        <v>1958</v>
      </c>
      <c r="F1215" s="1">
        <v>1</v>
      </c>
      <c r="G1215" s="1"/>
      <c r="H1215" s="1"/>
      <c r="I1215" s="1"/>
      <c r="J1215" s="1" t="str">
        <f t="shared" si="18"/>
        <v/>
      </c>
    </row>
    <row r="1216" spans="1:10" ht="14.25" customHeight="1" x14ac:dyDescent="0.2">
      <c r="A1216" s="1" t="s">
        <v>404</v>
      </c>
      <c r="B1216" s="1" t="s">
        <v>139</v>
      </c>
      <c r="C1216" s="1">
        <v>247419373</v>
      </c>
      <c r="D1216" s="1" t="s">
        <v>2378</v>
      </c>
      <c r="E1216" s="1" t="s">
        <v>1500</v>
      </c>
      <c r="F1216" s="1">
        <v>1</v>
      </c>
      <c r="G1216" s="1"/>
      <c r="H1216" s="1"/>
      <c r="I1216" s="1"/>
      <c r="J1216" s="1" t="str">
        <f t="shared" si="18"/>
        <v/>
      </c>
    </row>
    <row r="1217" spans="1:10" ht="14.25" customHeight="1" x14ac:dyDescent="0.2">
      <c r="A1217" s="1" t="s">
        <v>1005</v>
      </c>
      <c r="B1217" s="1" t="s">
        <v>212</v>
      </c>
      <c r="C1217" s="1">
        <v>7507555</v>
      </c>
      <c r="D1217" s="1" t="s">
        <v>2883</v>
      </c>
      <c r="E1217" s="1" t="s">
        <v>1772</v>
      </c>
      <c r="F1217" s="1">
        <v>1</v>
      </c>
      <c r="G1217" s="1"/>
      <c r="H1217" s="1"/>
      <c r="I1217" s="1"/>
      <c r="J1217" s="1" t="str">
        <f t="shared" si="18"/>
        <v/>
      </c>
    </row>
    <row r="1218" spans="1:10" ht="14.25" customHeight="1" x14ac:dyDescent="0.2">
      <c r="A1218" s="1" t="s">
        <v>1078</v>
      </c>
      <c r="B1218" s="1" t="s">
        <v>81</v>
      </c>
      <c r="C1218" s="1">
        <v>60902673</v>
      </c>
      <c r="D1218" s="1" t="s">
        <v>2944</v>
      </c>
      <c r="E1218" s="1" t="s">
        <v>1814</v>
      </c>
      <c r="F1218" s="1">
        <v>1</v>
      </c>
      <c r="G1218" s="1"/>
      <c r="H1218" s="1"/>
      <c r="I1218" s="1"/>
      <c r="J1218" s="1" t="str">
        <f t="shared" si="18"/>
        <v/>
      </c>
    </row>
    <row r="1219" spans="1:10" ht="14.25" customHeight="1" x14ac:dyDescent="0.2">
      <c r="A1219" s="1" t="s">
        <v>701</v>
      </c>
      <c r="B1219" s="1" t="s">
        <v>175</v>
      </c>
      <c r="C1219" s="1">
        <v>132859426</v>
      </c>
      <c r="D1219" s="1" t="s">
        <v>2634</v>
      </c>
      <c r="E1219" s="1" t="s">
        <v>1643</v>
      </c>
      <c r="F1219" s="1">
        <v>1</v>
      </c>
      <c r="G1219" s="1"/>
      <c r="H1219" s="1"/>
      <c r="I1219" s="1"/>
      <c r="J1219" s="1" t="str">
        <f t="shared" ref="J1219:J1282" si="19">IF(H1219="",IF(I1219="","",I1219),H1219)</f>
        <v/>
      </c>
    </row>
    <row r="1220" spans="1:10" ht="14.25" customHeight="1" x14ac:dyDescent="0.2">
      <c r="A1220" s="1" t="s">
        <v>1085</v>
      </c>
      <c r="B1220" s="1" t="s">
        <v>113</v>
      </c>
      <c r="C1220" s="1">
        <v>34638065</v>
      </c>
      <c r="D1220" s="1" t="s">
        <v>2952</v>
      </c>
      <c r="E1220" s="1" t="s">
        <v>1819</v>
      </c>
      <c r="F1220" s="1">
        <v>1</v>
      </c>
      <c r="G1220" s="1"/>
      <c r="H1220" s="1"/>
      <c r="I1220" s="1"/>
      <c r="J1220" s="1" t="str">
        <f t="shared" si="19"/>
        <v/>
      </c>
    </row>
    <row r="1221" spans="1:10" ht="14.25" customHeight="1" x14ac:dyDescent="0.2">
      <c r="A1221" s="1" t="s">
        <v>540</v>
      </c>
      <c r="B1221" s="1" t="s">
        <v>86</v>
      </c>
      <c r="C1221" s="1">
        <v>121774208</v>
      </c>
      <c r="D1221" s="1" t="s">
        <v>2491</v>
      </c>
      <c r="E1221" s="1" t="s">
        <v>1559</v>
      </c>
      <c r="F1221" s="1">
        <v>1</v>
      </c>
      <c r="G1221" s="1"/>
      <c r="H1221" s="1"/>
      <c r="I1221" s="1"/>
      <c r="J1221" s="1" t="str">
        <f t="shared" si="19"/>
        <v/>
      </c>
    </row>
    <row r="1222" spans="1:10" ht="14.25" customHeight="1" x14ac:dyDescent="0.2">
      <c r="A1222" s="1" t="s">
        <v>1265</v>
      </c>
      <c r="B1222" s="1" t="s">
        <v>50</v>
      </c>
      <c r="C1222" s="1">
        <v>46268042</v>
      </c>
      <c r="D1222" s="1" t="s">
        <v>3098</v>
      </c>
      <c r="E1222" s="1" t="s">
        <v>1914</v>
      </c>
      <c r="F1222" s="1">
        <v>1</v>
      </c>
      <c r="G1222" s="1"/>
      <c r="H1222" s="1"/>
      <c r="I1222" s="1"/>
      <c r="J1222" s="1" t="str">
        <f t="shared" si="19"/>
        <v/>
      </c>
    </row>
    <row r="1223" spans="1:10" ht="14.25" customHeight="1" x14ac:dyDescent="0.2">
      <c r="A1223" s="1" t="s">
        <v>717</v>
      </c>
      <c r="B1223" s="1" t="s">
        <v>40</v>
      </c>
      <c r="C1223" s="1">
        <v>18066396</v>
      </c>
      <c r="D1223" s="1" t="s">
        <v>2650</v>
      </c>
      <c r="E1223" s="1" t="s">
        <v>1652</v>
      </c>
      <c r="F1223" s="1">
        <v>1</v>
      </c>
      <c r="G1223" s="1"/>
      <c r="H1223" s="1"/>
      <c r="I1223" s="1"/>
      <c r="J1223" s="1" t="str">
        <f t="shared" si="19"/>
        <v/>
      </c>
    </row>
    <row r="1224" spans="1:10" ht="14.25" customHeight="1" x14ac:dyDescent="0.2">
      <c r="A1224" s="1" t="s">
        <v>766</v>
      </c>
      <c r="B1224" s="1" t="s">
        <v>40</v>
      </c>
      <c r="C1224" s="1">
        <v>141672430</v>
      </c>
      <c r="D1224" s="1" t="s">
        <v>2688</v>
      </c>
      <c r="E1224" s="1" t="s">
        <v>1672</v>
      </c>
      <c r="F1224" s="1">
        <v>1</v>
      </c>
      <c r="G1224" s="1"/>
      <c r="H1224" s="1"/>
      <c r="I1224" s="1"/>
      <c r="J1224" s="1" t="str">
        <f t="shared" si="19"/>
        <v/>
      </c>
    </row>
    <row r="1225" spans="1:10" ht="14.25" customHeight="1" x14ac:dyDescent="0.2">
      <c r="A1225" s="1" t="s">
        <v>1144</v>
      </c>
      <c r="B1225" s="1" t="s">
        <v>121</v>
      </c>
      <c r="C1225" s="1">
        <v>56666533</v>
      </c>
      <c r="D1225" s="1" t="s">
        <v>3004</v>
      </c>
      <c r="E1225" s="1" t="s">
        <v>1852</v>
      </c>
      <c r="F1225" s="1">
        <v>1</v>
      </c>
      <c r="G1225" s="1"/>
      <c r="H1225" s="1"/>
      <c r="I1225" s="1"/>
      <c r="J1225" s="1" t="str">
        <f t="shared" si="19"/>
        <v/>
      </c>
    </row>
    <row r="1226" spans="1:10" ht="14.25" customHeight="1" x14ac:dyDescent="0.2">
      <c r="A1226" s="1" t="s">
        <v>348</v>
      </c>
      <c r="B1226" s="1" t="s">
        <v>139</v>
      </c>
      <c r="C1226" s="1">
        <v>62208148</v>
      </c>
      <c r="D1226" s="1" t="s">
        <v>2324</v>
      </c>
      <c r="E1226" s="1" t="s">
        <v>1475</v>
      </c>
      <c r="F1226" s="1">
        <v>1</v>
      </c>
      <c r="G1226" s="1"/>
      <c r="H1226" s="1"/>
      <c r="I1226" s="1"/>
      <c r="J1226" s="1" t="str">
        <f t="shared" si="19"/>
        <v/>
      </c>
    </row>
    <row r="1227" spans="1:10" ht="14.25" customHeight="1" x14ac:dyDescent="0.2">
      <c r="A1227" s="1" t="s">
        <v>544</v>
      </c>
      <c r="B1227" s="1" t="s">
        <v>86</v>
      </c>
      <c r="C1227" s="1">
        <v>121796695</v>
      </c>
      <c r="D1227" s="1" t="s">
        <v>2495</v>
      </c>
      <c r="E1227" s="1" t="s">
        <v>1559</v>
      </c>
      <c r="F1227" s="1">
        <v>1</v>
      </c>
      <c r="G1227" s="1"/>
      <c r="H1227" s="1"/>
      <c r="I1227" s="1"/>
      <c r="J1227" s="1" t="str">
        <f t="shared" si="19"/>
        <v/>
      </c>
    </row>
    <row r="1228" spans="1:10" ht="14.25" customHeight="1" x14ac:dyDescent="0.2">
      <c r="A1228" s="1" t="s">
        <v>895</v>
      </c>
      <c r="B1228" s="1" t="s">
        <v>93</v>
      </c>
      <c r="C1228" s="1">
        <v>134598319</v>
      </c>
      <c r="D1228" s="1" t="s">
        <v>2796</v>
      </c>
      <c r="E1228" s="1" t="s">
        <v>1729</v>
      </c>
      <c r="F1228" s="1">
        <v>1</v>
      </c>
      <c r="G1228" s="1"/>
      <c r="H1228" s="1"/>
      <c r="I1228" s="1"/>
      <c r="J1228" s="1" t="str">
        <f t="shared" si="19"/>
        <v/>
      </c>
    </row>
    <row r="1229" spans="1:10" ht="14.25" customHeight="1" x14ac:dyDescent="0.2">
      <c r="A1229" s="1" t="s">
        <v>1021</v>
      </c>
      <c r="B1229" s="1" t="s">
        <v>212</v>
      </c>
      <c r="C1229" s="1">
        <v>27677044</v>
      </c>
      <c r="D1229" s="1" t="s">
        <v>2898</v>
      </c>
      <c r="E1229" s="1" t="s">
        <v>1780</v>
      </c>
      <c r="F1229" s="1">
        <v>1</v>
      </c>
      <c r="G1229" s="1"/>
      <c r="H1229" s="1"/>
      <c r="I1229" s="1"/>
      <c r="J1229" s="1" t="str">
        <f t="shared" si="19"/>
        <v/>
      </c>
    </row>
    <row r="1230" spans="1:10" ht="14.25" customHeight="1" x14ac:dyDescent="0.2">
      <c r="A1230" s="1" t="s">
        <v>1129</v>
      </c>
      <c r="B1230" s="1" t="s">
        <v>121</v>
      </c>
      <c r="C1230" s="1">
        <v>28603263</v>
      </c>
      <c r="D1230" s="1" t="s">
        <v>2991</v>
      </c>
      <c r="E1230" s="1" t="s">
        <v>1845</v>
      </c>
      <c r="F1230" s="1">
        <v>1</v>
      </c>
      <c r="G1230" s="1"/>
      <c r="H1230" s="1"/>
      <c r="I1230" s="1"/>
      <c r="J1230" s="1" t="str">
        <f t="shared" si="19"/>
        <v/>
      </c>
    </row>
    <row r="1231" spans="1:10" ht="14.25" customHeight="1" x14ac:dyDescent="0.2">
      <c r="A1231" s="1" t="s">
        <v>1400</v>
      </c>
      <c r="B1231" s="1" t="s">
        <v>73</v>
      </c>
      <c r="C1231" s="1">
        <v>148622518</v>
      </c>
      <c r="D1231" s="1" t="s">
        <v>3202</v>
      </c>
      <c r="E1231" s="1" t="s">
        <v>1967</v>
      </c>
      <c r="F1231" s="1">
        <v>1</v>
      </c>
      <c r="G1231" s="1"/>
      <c r="H1231" s="1"/>
      <c r="I1231" s="1"/>
      <c r="J1231" s="1" t="str">
        <f t="shared" si="19"/>
        <v/>
      </c>
    </row>
    <row r="1232" spans="1:10" ht="14.25" customHeight="1" x14ac:dyDescent="0.2">
      <c r="A1232" s="1" t="s">
        <v>238</v>
      </c>
      <c r="B1232" s="1" t="s">
        <v>121</v>
      </c>
      <c r="C1232" s="1">
        <v>2047767</v>
      </c>
      <c r="D1232" s="1" t="s">
        <v>3859</v>
      </c>
      <c r="E1232" s="1" t="s">
        <v>311</v>
      </c>
      <c r="F1232" s="1" t="s">
        <v>2062</v>
      </c>
      <c r="G1232" s="1"/>
      <c r="H1232" s="1" t="s">
        <v>8393</v>
      </c>
      <c r="I1232" s="1"/>
      <c r="J1232" s="1" t="str">
        <f t="shared" si="19"/>
        <v>纠后正确，utr略有变化，版本不一致</v>
      </c>
    </row>
    <row r="1233" spans="1:10" ht="14.25" customHeight="1" x14ac:dyDescent="0.2">
      <c r="A1233" s="1" t="s">
        <v>392</v>
      </c>
      <c r="B1233" s="1" t="s">
        <v>139</v>
      </c>
      <c r="C1233" s="1">
        <v>156495196</v>
      </c>
      <c r="D1233" s="1" t="s">
        <v>2368</v>
      </c>
      <c r="E1233" s="1" t="s">
        <v>1491</v>
      </c>
      <c r="F1233" s="1">
        <v>1</v>
      </c>
      <c r="G1233" s="1"/>
      <c r="H1233" s="1"/>
      <c r="I1233" s="1"/>
      <c r="J1233" s="1" t="str">
        <f t="shared" si="19"/>
        <v/>
      </c>
    </row>
    <row r="1234" spans="1:10" ht="14.25" customHeight="1" x14ac:dyDescent="0.2">
      <c r="A1234" s="1" t="s">
        <v>1161</v>
      </c>
      <c r="B1234" s="1" t="s">
        <v>47</v>
      </c>
      <c r="C1234" s="1">
        <v>15635590</v>
      </c>
      <c r="D1234" s="1" t="s">
        <v>3019</v>
      </c>
      <c r="E1234" s="1" t="s">
        <v>1861</v>
      </c>
      <c r="F1234" s="1">
        <v>1</v>
      </c>
      <c r="G1234" s="1"/>
      <c r="H1234" s="1"/>
      <c r="I1234" s="1"/>
      <c r="J1234" s="1" t="str">
        <f t="shared" si="19"/>
        <v/>
      </c>
    </row>
    <row r="1235" spans="1:10" ht="14.25" customHeight="1" x14ac:dyDescent="0.2">
      <c r="A1235" s="1" t="s">
        <v>1285</v>
      </c>
      <c r="B1235" s="1" t="s">
        <v>50</v>
      </c>
      <c r="C1235" s="1">
        <v>55670028</v>
      </c>
      <c r="D1235" s="1" t="s">
        <v>3113</v>
      </c>
      <c r="E1235" s="1" t="s">
        <v>1922</v>
      </c>
      <c r="F1235" s="1">
        <v>1</v>
      </c>
      <c r="G1235" s="1"/>
      <c r="H1235" s="1"/>
      <c r="I1235" s="1"/>
      <c r="J1235" s="1" t="str">
        <f t="shared" si="19"/>
        <v/>
      </c>
    </row>
    <row r="1236" spans="1:10" ht="14.25" customHeight="1" x14ac:dyDescent="0.2">
      <c r="A1236" s="1" t="s">
        <v>239</v>
      </c>
      <c r="B1236" s="1" t="s">
        <v>121</v>
      </c>
      <c r="C1236" s="1">
        <v>3589032</v>
      </c>
      <c r="D1236" s="1" t="s">
        <v>2178</v>
      </c>
      <c r="E1236" s="1" t="s">
        <v>289</v>
      </c>
      <c r="F1236" s="1" t="s">
        <v>2062</v>
      </c>
      <c r="G1236" s="1"/>
      <c r="H1236" s="1" t="s">
        <v>3763</v>
      </c>
      <c r="I1236" s="1"/>
      <c r="J1236" s="1" t="str">
        <f t="shared" si="19"/>
        <v>纠后正确</v>
      </c>
    </row>
    <row r="1237" spans="1:10" ht="14.25" customHeight="1" x14ac:dyDescent="0.2">
      <c r="A1237" s="1" t="s">
        <v>982</v>
      </c>
      <c r="B1237" s="1" t="s">
        <v>36</v>
      </c>
      <c r="C1237" s="1">
        <v>112831968</v>
      </c>
      <c r="D1237" s="1" t="s">
        <v>3362</v>
      </c>
      <c r="E1237" s="1" t="s">
        <v>3737</v>
      </c>
      <c r="F1237" s="1" t="s">
        <v>2062</v>
      </c>
      <c r="G1237" s="1"/>
      <c r="H1237" s="1" t="s">
        <v>3763</v>
      </c>
      <c r="I1237" s="1"/>
      <c r="J1237" s="1" t="str">
        <f t="shared" si="19"/>
        <v>纠后正确</v>
      </c>
    </row>
    <row r="1238" spans="1:10" ht="14.25" customHeight="1" x14ac:dyDescent="0.2">
      <c r="A1238" s="1" t="s">
        <v>436</v>
      </c>
      <c r="B1238" s="1" t="s">
        <v>1</v>
      </c>
      <c r="C1238" s="1">
        <v>109065576</v>
      </c>
      <c r="D1238" s="1" t="s">
        <v>2401</v>
      </c>
      <c r="E1238" s="1" t="s">
        <v>1516</v>
      </c>
      <c r="F1238" s="1">
        <v>1</v>
      </c>
      <c r="G1238" s="1"/>
      <c r="H1238" s="1"/>
      <c r="I1238" s="1"/>
      <c r="J1238" s="1" t="str">
        <f t="shared" si="19"/>
        <v/>
      </c>
    </row>
    <row r="1239" spans="1:10" ht="14.25" customHeight="1" x14ac:dyDescent="0.2">
      <c r="A1239" s="1" t="s">
        <v>1149</v>
      </c>
      <c r="B1239" s="1" t="s">
        <v>121</v>
      </c>
      <c r="C1239" s="1">
        <v>71963440</v>
      </c>
      <c r="D1239" s="1" t="s">
        <v>3383</v>
      </c>
      <c r="E1239" s="1" t="s">
        <v>2048</v>
      </c>
      <c r="F1239" s="1" t="s">
        <v>2062</v>
      </c>
      <c r="G1239" s="1"/>
      <c r="H1239" s="1" t="s">
        <v>3763</v>
      </c>
      <c r="I1239" s="1"/>
      <c r="J1239" s="1" t="str">
        <f t="shared" si="19"/>
        <v>纠后正确</v>
      </c>
    </row>
    <row r="1240" spans="1:10" ht="14.25" customHeight="1" x14ac:dyDescent="0.2">
      <c r="A1240" s="1" t="s">
        <v>240</v>
      </c>
      <c r="B1240" s="1" t="s">
        <v>241</v>
      </c>
      <c r="C1240" s="1">
        <v>32201356</v>
      </c>
      <c r="D1240" s="1" t="s">
        <v>2172</v>
      </c>
      <c r="E1240" s="1" t="s">
        <v>283</v>
      </c>
      <c r="F1240" s="1" t="s">
        <v>2062</v>
      </c>
      <c r="G1240" s="1"/>
      <c r="H1240" s="1" t="s">
        <v>8394</v>
      </c>
      <c r="I1240" s="1"/>
      <c r="J1240" s="1" t="str">
        <f t="shared" si="19"/>
        <v>纠后正确</v>
      </c>
    </row>
    <row r="1241" spans="1:10" ht="14.25" customHeight="1" x14ac:dyDescent="0.2">
      <c r="A1241" s="1" t="s">
        <v>943</v>
      </c>
      <c r="B1241" s="1" t="s">
        <v>36</v>
      </c>
      <c r="C1241" s="1">
        <v>64085559</v>
      </c>
      <c r="D1241" s="1" t="s">
        <v>2840</v>
      </c>
      <c r="E1241" s="1" t="s">
        <v>1751</v>
      </c>
      <c r="F1241" s="1">
        <v>1</v>
      </c>
      <c r="G1241" s="1"/>
      <c r="H1241" s="1"/>
      <c r="I1241" s="1"/>
      <c r="J1241" s="1" t="str">
        <f t="shared" si="19"/>
        <v/>
      </c>
    </row>
    <row r="1242" spans="1:10" ht="14.25" customHeight="1" x14ac:dyDescent="0.2">
      <c r="A1242" s="1" t="s">
        <v>944</v>
      </c>
      <c r="B1242" s="1" t="s">
        <v>36</v>
      </c>
      <c r="C1242" s="1">
        <v>64085559</v>
      </c>
      <c r="D1242" s="1" t="s">
        <v>2841</v>
      </c>
      <c r="E1242" s="1" t="s">
        <v>1751</v>
      </c>
      <c r="F1242" s="1">
        <v>1</v>
      </c>
      <c r="G1242" s="1"/>
      <c r="H1242" s="1"/>
      <c r="I1242" s="1"/>
      <c r="J1242" s="1" t="str">
        <f t="shared" si="19"/>
        <v/>
      </c>
    </row>
    <row r="1243" spans="1:10" ht="14.25" customHeight="1" x14ac:dyDescent="0.2">
      <c r="A1243" s="1" t="s">
        <v>535</v>
      </c>
      <c r="B1243" s="1" t="s">
        <v>86</v>
      </c>
      <c r="C1243" s="1">
        <v>112182812</v>
      </c>
      <c r="D1243" s="1" t="s">
        <v>2486</v>
      </c>
      <c r="E1243" s="1" t="s">
        <v>1555</v>
      </c>
      <c r="F1243" s="1">
        <v>1</v>
      </c>
      <c r="G1243" s="1"/>
      <c r="H1243" s="1"/>
      <c r="I1243" s="1"/>
      <c r="J1243" s="1" t="str">
        <f t="shared" si="19"/>
        <v/>
      </c>
    </row>
    <row r="1244" spans="1:10" ht="14.25" customHeight="1" x14ac:dyDescent="0.2">
      <c r="A1244" s="1" t="s">
        <v>1155</v>
      </c>
      <c r="B1244" s="1" t="s">
        <v>47</v>
      </c>
      <c r="C1244" s="1">
        <v>6926368</v>
      </c>
      <c r="D1244" s="1" t="s">
        <v>2277</v>
      </c>
      <c r="E1244" s="1" t="s">
        <v>1446</v>
      </c>
      <c r="F1244" s="1" t="s">
        <v>3406</v>
      </c>
      <c r="G1244" s="1"/>
      <c r="H1244" s="1" t="s">
        <v>3826</v>
      </c>
      <c r="I1244" s="1"/>
      <c r="J1244" s="1" t="str">
        <f t="shared" si="19"/>
        <v>纠后正确，加1个氨基酸chr17:6928051-6930938</v>
      </c>
    </row>
    <row r="1245" spans="1:10" ht="14.25" customHeight="1" x14ac:dyDescent="0.2">
      <c r="A1245" s="1" t="s">
        <v>1242</v>
      </c>
      <c r="B1245" s="1" t="s">
        <v>50</v>
      </c>
      <c r="C1245" s="1">
        <v>21264952</v>
      </c>
      <c r="D1245" s="1" t="s">
        <v>2286</v>
      </c>
      <c r="E1245" s="1" t="s">
        <v>1451</v>
      </c>
      <c r="F1245" s="1" t="s">
        <v>3406</v>
      </c>
      <c r="G1245" s="1"/>
      <c r="H1245" s="1" t="s">
        <v>3827</v>
      </c>
      <c r="I1245" s="1"/>
      <c r="J1245" s="1" t="str">
        <f t="shared" si="19"/>
        <v>纠后正确，加1个氨基酸chr19:21299778-21301135</v>
      </c>
    </row>
    <row r="1246" spans="1:10" ht="14.25" customHeight="1" x14ac:dyDescent="0.2">
      <c r="A1246" s="1" t="s">
        <v>568</v>
      </c>
      <c r="B1246" s="1" t="s">
        <v>569</v>
      </c>
      <c r="C1246" s="1">
        <v>53226</v>
      </c>
      <c r="D1246" s="1" t="s">
        <v>3322</v>
      </c>
      <c r="E1246" s="1" t="s">
        <v>2027</v>
      </c>
      <c r="F1246" s="1" t="s">
        <v>2062</v>
      </c>
      <c r="G1246" s="1"/>
      <c r="H1246" s="1" t="s">
        <v>3763</v>
      </c>
      <c r="I1246" s="1"/>
      <c r="J1246" s="1" t="str">
        <f t="shared" si="19"/>
        <v>纠后正确</v>
      </c>
    </row>
    <row r="1247" spans="1:10" ht="14.25" customHeight="1" x14ac:dyDescent="0.2">
      <c r="A1247" s="1" t="s">
        <v>320</v>
      </c>
      <c r="B1247" s="1" t="s">
        <v>139</v>
      </c>
      <c r="C1247" s="1">
        <v>2120986</v>
      </c>
      <c r="D1247" s="1" t="s">
        <v>2301</v>
      </c>
      <c r="E1247" s="1" t="s">
        <v>1461</v>
      </c>
      <c r="F1247" s="1">
        <v>1</v>
      </c>
      <c r="G1247" s="1"/>
      <c r="H1247" s="1"/>
      <c r="I1247" s="1"/>
      <c r="J1247" s="1" t="str">
        <f t="shared" si="19"/>
        <v/>
      </c>
    </row>
    <row r="1248" spans="1:10" ht="14.25" customHeight="1" x14ac:dyDescent="0.2">
      <c r="A1248" s="1" t="s">
        <v>1031</v>
      </c>
      <c r="B1248" s="1" t="s">
        <v>212</v>
      </c>
      <c r="C1248" s="1">
        <v>51236700</v>
      </c>
      <c r="D1248" s="1" t="s">
        <v>2907</v>
      </c>
      <c r="E1248" s="1" t="s">
        <v>1785</v>
      </c>
      <c r="F1248" s="1">
        <v>1</v>
      </c>
      <c r="G1248" s="1"/>
      <c r="H1248" s="1"/>
      <c r="I1248" s="1"/>
      <c r="J1248" s="1" t="str">
        <f t="shared" si="19"/>
        <v/>
      </c>
    </row>
    <row r="1249" spans="1:10" ht="14.25" customHeight="1" x14ac:dyDescent="0.2">
      <c r="A1249" s="1" t="s">
        <v>388</v>
      </c>
      <c r="B1249" s="1" t="s">
        <v>139</v>
      </c>
      <c r="C1249" s="1">
        <v>151819576</v>
      </c>
      <c r="D1249" s="1" t="s">
        <v>2364</v>
      </c>
      <c r="E1249" s="1" t="s">
        <v>1489</v>
      </c>
      <c r="F1249" s="1">
        <v>1</v>
      </c>
      <c r="G1249" s="1"/>
      <c r="H1249" s="1"/>
      <c r="I1249" s="1"/>
      <c r="J1249" s="1" t="str">
        <f t="shared" si="19"/>
        <v/>
      </c>
    </row>
    <row r="1250" spans="1:10" ht="14.25" customHeight="1" x14ac:dyDescent="0.2">
      <c r="A1250" s="1" t="s">
        <v>745</v>
      </c>
      <c r="B1250" s="1" t="s">
        <v>40</v>
      </c>
      <c r="C1250" s="1">
        <v>76139744</v>
      </c>
      <c r="D1250" s="1" t="s">
        <v>2672</v>
      </c>
      <c r="E1250" s="1" t="s">
        <v>1662</v>
      </c>
      <c r="F1250" s="1">
        <v>1</v>
      </c>
      <c r="G1250" s="1"/>
      <c r="H1250" s="1"/>
      <c r="I1250" s="1"/>
      <c r="J1250" s="1" t="str">
        <f t="shared" si="19"/>
        <v/>
      </c>
    </row>
    <row r="1251" spans="1:10" ht="14.25" customHeight="1" x14ac:dyDescent="0.2">
      <c r="A1251" s="1" t="s">
        <v>8795</v>
      </c>
      <c r="B1251" s="1" t="s">
        <v>47</v>
      </c>
      <c r="C1251" s="1">
        <v>289768</v>
      </c>
      <c r="D1251" s="1" t="s">
        <v>3384</v>
      </c>
      <c r="E1251" s="1" t="s">
        <v>2049</v>
      </c>
      <c r="F1251" s="1" t="s">
        <v>2062</v>
      </c>
      <c r="G1251" s="4" t="s">
        <v>8789</v>
      </c>
      <c r="H1251" s="1"/>
      <c r="I1251" s="1"/>
      <c r="J1251" s="1" t="str">
        <f t="shared" si="19"/>
        <v/>
      </c>
    </row>
    <row r="1252" spans="1:10" ht="14.25" customHeight="1" x14ac:dyDescent="0.2">
      <c r="A1252" s="1" t="s">
        <v>802</v>
      </c>
      <c r="B1252" s="1" t="s">
        <v>103</v>
      </c>
      <c r="C1252" s="1">
        <v>144873089</v>
      </c>
      <c r="D1252" s="1" t="s">
        <v>2716</v>
      </c>
      <c r="E1252" s="1" t="s">
        <v>1691</v>
      </c>
      <c r="F1252" s="1">
        <v>1</v>
      </c>
      <c r="G1252" s="1"/>
      <c r="H1252" s="1"/>
      <c r="I1252" s="1"/>
      <c r="J1252" s="1" t="str">
        <f t="shared" si="19"/>
        <v/>
      </c>
    </row>
    <row r="1253" spans="1:10" ht="14.25" customHeight="1" x14ac:dyDescent="0.2">
      <c r="A1253" s="1" t="s">
        <v>1315</v>
      </c>
      <c r="B1253" s="1" t="s">
        <v>241</v>
      </c>
      <c r="C1253" s="1">
        <v>30248385</v>
      </c>
      <c r="D1253" s="1" t="s">
        <v>3280</v>
      </c>
      <c r="E1253" s="1" t="s">
        <v>2009</v>
      </c>
      <c r="F1253" s="1">
        <v>2</v>
      </c>
      <c r="G1253" s="1"/>
      <c r="H1253" s="1"/>
      <c r="I1253" s="1"/>
      <c r="J1253" s="1" t="str">
        <f t="shared" si="19"/>
        <v/>
      </c>
    </row>
    <row r="1254" spans="1:10" ht="14.25" customHeight="1" x14ac:dyDescent="0.2">
      <c r="A1254" s="1" t="s">
        <v>3708</v>
      </c>
      <c r="B1254" s="1" t="s">
        <v>113</v>
      </c>
      <c r="C1254" s="1">
        <v>53805937</v>
      </c>
      <c r="D1254" s="1" t="s">
        <v>2960</v>
      </c>
      <c r="E1254" s="1" t="s">
        <v>1825</v>
      </c>
      <c r="F1254" s="1">
        <v>1</v>
      </c>
      <c r="G1254" s="1"/>
      <c r="H1254" s="1"/>
      <c r="I1254" s="1"/>
      <c r="J1254" s="1" t="str">
        <f t="shared" si="19"/>
        <v/>
      </c>
    </row>
    <row r="1255" spans="1:10" ht="14.25" customHeight="1" x14ac:dyDescent="0.2">
      <c r="A1255" s="1" t="s">
        <v>493</v>
      </c>
      <c r="B1255" s="1" t="s">
        <v>86</v>
      </c>
      <c r="C1255" s="1">
        <v>3168599</v>
      </c>
      <c r="D1255" s="1" t="s">
        <v>2448</v>
      </c>
      <c r="E1255" s="1" t="s">
        <v>1541</v>
      </c>
      <c r="F1255" s="1">
        <v>1</v>
      </c>
      <c r="G1255" s="1"/>
      <c r="H1255" s="1"/>
      <c r="I1255" s="1"/>
      <c r="J1255" s="1" t="str">
        <f t="shared" si="19"/>
        <v/>
      </c>
    </row>
    <row r="1256" spans="1:10" ht="14.25" customHeight="1" x14ac:dyDescent="0.2">
      <c r="A1256" s="1" t="s">
        <v>564</v>
      </c>
      <c r="B1256" s="1" t="s">
        <v>86</v>
      </c>
      <c r="C1256" s="1">
        <v>184032951</v>
      </c>
      <c r="D1256" s="1" t="s">
        <v>2511</v>
      </c>
      <c r="E1256" s="1" t="s">
        <v>1567</v>
      </c>
      <c r="F1256" s="1">
        <v>1</v>
      </c>
      <c r="G1256" s="1"/>
      <c r="H1256" s="1"/>
      <c r="I1256" s="1"/>
      <c r="J1256" s="1" t="str">
        <f t="shared" si="19"/>
        <v/>
      </c>
    </row>
    <row r="1257" spans="1:10" ht="14.25" customHeight="1" x14ac:dyDescent="0.2">
      <c r="A1257" s="1" t="s">
        <v>1077</v>
      </c>
      <c r="B1257" s="1" t="s">
        <v>81</v>
      </c>
      <c r="C1257" s="1">
        <v>51193950</v>
      </c>
      <c r="D1257" s="1" t="s">
        <v>3260</v>
      </c>
      <c r="E1257" s="1" t="s">
        <v>1995</v>
      </c>
      <c r="F1257" s="1">
        <v>2</v>
      </c>
      <c r="G1257" s="1"/>
      <c r="H1257" s="1"/>
      <c r="I1257" s="1"/>
      <c r="J1257" s="1" t="str">
        <f t="shared" si="19"/>
        <v/>
      </c>
    </row>
    <row r="1258" spans="1:10" ht="14.25" customHeight="1" x14ac:dyDescent="0.2">
      <c r="A1258" s="1" t="s">
        <v>1076</v>
      </c>
      <c r="B1258" s="1" t="s">
        <v>81</v>
      </c>
      <c r="C1258" s="1">
        <v>51192545</v>
      </c>
      <c r="D1258" s="1" t="s">
        <v>3259</v>
      </c>
      <c r="E1258" s="1" t="s">
        <v>1995</v>
      </c>
      <c r="F1258" s="1">
        <v>2</v>
      </c>
      <c r="G1258" s="1"/>
      <c r="H1258" s="1"/>
      <c r="I1258" s="1"/>
      <c r="J1258" s="1" t="str">
        <f t="shared" si="19"/>
        <v/>
      </c>
    </row>
    <row r="1259" spans="1:10" ht="14.25" customHeight="1" x14ac:dyDescent="0.2">
      <c r="A1259" s="1" t="s">
        <v>1039</v>
      </c>
      <c r="B1259" s="1" t="s">
        <v>212</v>
      </c>
      <c r="C1259" s="1">
        <v>58005217</v>
      </c>
      <c r="D1259" s="1" t="s">
        <v>2915</v>
      </c>
      <c r="E1259" s="1" t="s">
        <v>1790</v>
      </c>
      <c r="F1259" s="1">
        <v>1</v>
      </c>
      <c r="G1259" s="1"/>
      <c r="H1259" s="1"/>
      <c r="I1259" s="1"/>
      <c r="J1259" s="1" t="str">
        <f t="shared" si="19"/>
        <v/>
      </c>
    </row>
    <row r="1260" spans="1:10" ht="14.25" customHeight="1" x14ac:dyDescent="0.2">
      <c r="A1260" s="1" t="s">
        <v>405</v>
      </c>
      <c r="B1260" s="1" t="s">
        <v>139</v>
      </c>
      <c r="C1260" s="1">
        <v>247693433</v>
      </c>
      <c r="D1260" s="1" t="s">
        <v>2379</v>
      </c>
      <c r="E1260" s="1" t="s">
        <v>1501</v>
      </c>
      <c r="F1260" s="1">
        <v>1</v>
      </c>
      <c r="G1260" s="1"/>
      <c r="H1260" s="1"/>
      <c r="I1260" s="1"/>
      <c r="J1260" s="1" t="str">
        <f t="shared" si="19"/>
        <v/>
      </c>
    </row>
    <row r="1261" spans="1:10" ht="14.25" customHeight="1" x14ac:dyDescent="0.2">
      <c r="A1261" s="1" t="s">
        <v>1262</v>
      </c>
      <c r="B1261" s="1" t="s">
        <v>50</v>
      </c>
      <c r="C1261" s="1">
        <v>44488321</v>
      </c>
      <c r="D1261" s="1" t="s">
        <v>3095</v>
      </c>
      <c r="E1261" s="1" t="s">
        <v>1912</v>
      </c>
      <c r="F1261" s="1">
        <v>1</v>
      </c>
      <c r="G1261" s="1"/>
      <c r="H1261" s="1"/>
      <c r="I1261" s="1"/>
      <c r="J1261" s="1" t="str">
        <f t="shared" si="19"/>
        <v/>
      </c>
    </row>
    <row r="1262" spans="1:10" ht="14.25" customHeight="1" x14ac:dyDescent="0.2">
      <c r="A1262" s="1" t="s">
        <v>1327</v>
      </c>
      <c r="B1262" s="1" t="s">
        <v>241</v>
      </c>
      <c r="C1262" s="1">
        <v>45553493</v>
      </c>
      <c r="D1262" s="1" t="s">
        <v>3151</v>
      </c>
      <c r="E1262" s="1" t="s">
        <v>1943</v>
      </c>
      <c r="F1262" s="1">
        <v>1</v>
      </c>
      <c r="G1262" s="1"/>
      <c r="H1262" s="1"/>
      <c r="I1262" s="1"/>
      <c r="J1262" s="1" t="str">
        <f t="shared" si="19"/>
        <v/>
      </c>
    </row>
    <row r="1263" spans="1:10" ht="14.25" customHeight="1" x14ac:dyDescent="0.2">
      <c r="A1263" s="1" t="s">
        <v>561</v>
      </c>
      <c r="B1263" s="1" t="s">
        <v>86</v>
      </c>
      <c r="C1263" s="1">
        <v>184032282</v>
      </c>
      <c r="D1263" s="1" t="s">
        <v>2508</v>
      </c>
      <c r="E1263" s="1" t="s">
        <v>1567</v>
      </c>
      <c r="F1263" s="1">
        <v>1</v>
      </c>
      <c r="G1263" s="1"/>
      <c r="H1263" s="1"/>
      <c r="I1263" s="1"/>
      <c r="J1263" s="1" t="str">
        <f t="shared" si="19"/>
        <v/>
      </c>
    </row>
    <row r="1264" spans="1:10" ht="14.25" customHeight="1" x14ac:dyDescent="0.2">
      <c r="A1264" s="1" t="s">
        <v>563</v>
      </c>
      <c r="B1264" s="1" t="s">
        <v>86</v>
      </c>
      <c r="C1264" s="1">
        <v>184032282</v>
      </c>
      <c r="D1264" s="1" t="s">
        <v>2510</v>
      </c>
      <c r="E1264" s="1" t="s">
        <v>1567</v>
      </c>
      <c r="F1264" s="1">
        <v>1</v>
      </c>
      <c r="G1264" s="1"/>
      <c r="H1264" s="1"/>
      <c r="I1264" s="1"/>
      <c r="J1264" s="1" t="str">
        <f t="shared" si="19"/>
        <v/>
      </c>
    </row>
    <row r="1265" spans="1:10" ht="14.25" customHeight="1" x14ac:dyDescent="0.2">
      <c r="A1265" s="1" t="s">
        <v>161</v>
      </c>
      <c r="B1265" s="1" t="s">
        <v>40</v>
      </c>
      <c r="C1265" s="1">
        <v>149473130</v>
      </c>
      <c r="D1265" s="1" t="s">
        <v>2145</v>
      </c>
      <c r="E1265" s="1" t="s">
        <v>160</v>
      </c>
      <c r="F1265" s="1" t="s">
        <v>2062</v>
      </c>
      <c r="G1265" s="1"/>
      <c r="H1265" s="1" t="s">
        <v>3763</v>
      </c>
      <c r="I1265" s="1"/>
      <c r="J1265" s="1" t="str">
        <f t="shared" si="19"/>
        <v>纠后正确</v>
      </c>
    </row>
    <row r="1266" spans="1:10" ht="14.25" customHeight="1" x14ac:dyDescent="0.2">
      <c r="A1266" s="1" t="s">
        <v>1279</v>
      </c>
      <c r="B1266" s="1" t="s">
        <v>50</v>
      </c>
      <c r="C1266" s="1">
        <v>53268746</v>
      </c>
      <c r="D1266" s="1" t="s">
        <v>3109</v>
      </c>
      <c r="E1266" s="1" t="s">
        <v>1919</v>
      </c>
      <c r="F1266" s="1">
        <v>1</v>
      </c>
      <c r="G1266" s="1"/>
      <c r="H1266" s="1"/>
      <c r="I1266" s="1"/>
      <c r="J1266" s="1" t="str">
        <f t="shared" si="19"/>
        <v/>
      </c>
    </row>
    <row r="1267" spans="1:10" ht="14.25" customHeight="1" x14ac:dyDescent="0.2">
      <c r="A1267" s="1" t="s">
        <v>800</v>
      </c>
      <c r="B1267" s="1" t="s">
        <v>103</v>
      </c>
      <c r="C1267" s="1">
        <v>144806102</v>
      </c>
      <c r="D1267" s="1" t="s">
        <v>2714</v>
      </c>
      <c r="E1267" s="1" t="s">
        <v>1690</v>
      </c>
      <c r="F1267" s="1">
        <v>1</v>
      </c>
      <c r="G1267" s="1"/>
      <c r="H1267" s="1"/>
      <c r="I1267" s="1"/>
      <c r="J1267" s="1" t="str">
        <f t="shared" si="19"/>
        <v/>
      </c>
    </row>
    <row r="1268" spans="1:10" ht="14.25" customHeight="1" x14ac:dyDescent="0.2">
      <c r="A1268" s="1" t="s">
        <v>1167</v>
      </c>
      <c r="B1268" s="1" t="s">
        <v>47</v>
      </c>
      <c r="C1268" s="1">
        <v>28268622</v>
      </c>
      <c r="D1268" s="1" t="s">
        <v>3022</v>
      </c>
      <c r="E1268" s="1" t="s">
        <v>1863</v>
      </c>
      <c r="F1268" s="1">
        <v>1</v>
      </c>
      <c r="G1268" s="1"/>
      <c r="H1268" s="1"/>
      <c r="I1268" s="1"/>
      <c r="J1268" s="1" t="str">
        <f t="shared" si="19"/>
        <v/>
      </c>
    </row>
    <row r="1269" spans="1:10" ht="14.25" customHeight="1" x14ac:dyDescent="0.2">
      <c r="A1269" s="1" t="s">
        <v>637</v>
      </c>
      <c r="B1269" s="1" t="s">
        <v>186</v>
      </c>
      <c r="C1269" s="1">
        <v>43486802</v>
      </c>
      <c r="D1269" s="1" t="s">
        <v>2577</v>
      </c>
      <c r="E1269" s="1" t="s">
        <v>1604</v>
      </c>
      <c r="F1269" s="1">
        <v>1</v>
      </c>
      <c r="G1269" s="1"/>
      <c r="H1269" s="1"/>
      <c r="I1269" s="1"/>
      <c r="J1269" s="1" t="str">
        <f t="shared" si="19"/>
        <v/>
      </c>
    </row>
    <row r="1270" spans="1:10" ht="14.25" customHeight="1" x14ac:dyDescent="0.2">
      <c r="A1270" s="1" t="s">
        <v>706</v>
      </c>
      <c r="B1270" s="1" t="s">
        <v>175</v>
      </c>
      <c r="C1270" s="1">
        <v>142623055</v>
      </c>
      <c r="D1270" s="1" t="s">
        <v>2639</v>
      </c>
      <c r="E1270" s="1" t="s">
        <v>1645</v>
      </c>
      <c r="F1270" s="1">
        <v>1</v>
      </c>
      <c r="G1270" s="1"/>
      <c r="H1270" s="1"/>
      <c r="I1270" s="1"/>
      <c r="J1270" s="1" t="str">
        <f t="shared" si="19"/>
        <v/>
      </c>
    </row>
    <row r="1271" spans="1:10" ht="14.25" customHeight="1" x14ac:dyDescent="0.2">
      <c r="A1271" s="1" t="s">
        <v>1026</v>
      </c>
      <c r="B1271" s="1" t="s">
        <v>212</v>
      </c>
      <c r="C1271" s="1">
        <v>40618812</v>
      </c>
      <c r="D1271" s="1" t="s">
        <v>2903</v>
      </c>
      <c r="E1271" s="1" t="s">
        <v>1783</v>
      </c>
      <c r="F1271" s="1">
        <v>1</v>
      </c>
      <c r="G1271" s="1"/>
      <c r="H1271" s="1"/>
      <c r="I1271" s="1"/>
      <c r="J1271" s="1" t="str">
        <f t="shared" si="19"/>
        <v/>
      </c>
    </row>
    <row r="1272" spans="1:10" ht="14.25" customHeight="1" x14ac:dyDescent="0.2">
      <c r="A1272" s="1" t="s">
        <v>8801</v>
      </c>
      <c r="B1272" s="1" t="s">
        <v>241</v>
      </c>
      <c r="C1272" s="1">
        <v>46020496</v>
      </c>
      <c r="D1272" s="1" t="s">
        <v>2291</v>
      </c>
      <c r="E1272" s="1" t="s">
        <v>1455</v>
      </c>
      <c r="F1272" s="1" t="s">
        <v>3406</v>
      </c>
      <c r="G1272" s="1"/>
      <c r="H1272" s="1" t="s">
        <v>8802</v>
      </c>
      <c r="I1272" s="1"/>
      <c r="J1272" s="1" t="str">
        <f t="shared" si="19"/>
        <v>纠后正确，少5个氨基酸chr21:46020656-46021649</v>
      </c>
    </row>
    <row r="1273" spans="1:10" ht="14.25" customHeight="1" x14ac:dyDescent="0.2">
      <c r="A1273" s="1" t="s">
        <v>753</v>
      </c>
      <c r="B1273" s="1" t="s">
        <v>40</v>
      </c>
      <c r="C1273" s="1">
        <v>114562208</v>
      </c>
      <c r="D1273" s="1" t="s">
        <v>2677</v>
      </c>
      <c r="E1273" s="1" t="s">
        <v>1666</v>
      </c>
      <c r="F1273" s="1">
        <v>1</v>
      </c>
      <c r="G1273" s="1"/>
      <c r="H1273" s="1"/>
      <c r="I1273" s="1"/>
      <c r="J1273" s="1" t="str">
        <f t="shared" si="19"/>
        <v/>
      </c>
    </row>
    <row r="1274" spans="1:10" ht="14.25" customHeight="1" x14ac:dyDescent="0.2">
      <c r="A1274" s="1" t="s">
        <v>1306</v>
      </c>
      <c r="B1274" s="1" t="s">
        <v>53</v>
      </c>
      <c r="C1274" s="1">
        <v>48740273</v>
      </c>
      <c r="D1274" s="1" t="s">
        <v>3132</v>
      </c>
      <c r="E1274" s="1" t="s">
        <v>1933</v>
      </c>
      <c r="F1274" s="1">
        <v>1</v>
      </c>
      <c r="G1274" s="1"/>
      <c r="H1274" s="1"/>
      <c r="I1274" s="1"/>
      <c r="J1274" s="1" t="str">
        <f t="shared" si="19"/>
        <v/>
      </c>
    </row>
    <row r="1275" spans="1:10" ht="14.25" customHeight="1" x14ac:dyDescent="0.2">
      <c r="A1275" s="1" t="s">
        <v>920</v>
      </c>
      <c r="B1275" s="1" t="s">
        <v>36</v>
      </c>
      <c r="C1275" s="1">
        <v>18287807</v>
      </c>
      <c r="D1275" s="1" t="s">
        <v>2820</v>
      </c>
      <c r="E1275" s="1" t="s">
        <v>1741</v>
      </c>
      <c r="F1275" s="1">
        <v>1</v>
      </c>
      <c r="G1275" s="1"/>
      <c r="H1275" s="1"/>
      <c r="I1275" s="1"/>
      <c r="J1275" s="1" t="str">
        <f t="shared" si="19"/>
        <v/>
      </c>
    </row>
    <row r="1276" spans="1:10" ht="14.25" customHeight="1" x14ac:dyDescent="0.2">
      <c r="A1276" s="1" t="s">
        <v>1304</v>
      </c>
      <c r="B1276" s="1" t="s">
        <v>53</v>
      </c>
      <c r="C1276" s="1">
        <v>48697660</v>
      </c>
      <c r="D1276" s="1" t="s">
        <v>3130</v>
      </c>
      <c r="E1276" s="1" t="s">
        <v>1932</v>
      </c>
      <c r="F1276" s="1">
        <v>1</v>
      </c>
      <c r="G1276" s="1"/>
      <c r="H1276" s="1"/>
      <c r="I1276" s="1"/>
      <c r="J1276" s="1" t="str">
        <f t="shared" si="19"/>
        <v/>
      </c>
    </row>
    <row r="1277" spans="1:10" ht="14.25" customHeight="1" x14ac:dyDescent="0.2">
      <c r="A1277" s="1" t="s">
        <v>1310</v>
      </c>
      <c r="B1277" s="1" t="s">
        <v>241</v>
      </c>
      <c r="C1277" s="1">
        <v>10906740</v>
      </c>
      <c r="D1277" s="1" t="s">
        <v>3136</v>
      </c>
      <c r="E1277" s="1" t="s">
        <v>1936</v>
      </c>
      <c r="F1277" s="1">
        <v>1</v>
      </c>
      <c r="G1277" s="1"/>
      <c r="H1277" s="1"/>
      <c r="I1277" s="1"/>
      <c r="J1277" s="1" t="str">
        <f t="shared" si="19"/>
        <v/>
      </c>
    </row>
    <row r="1278" spans="1:10" ht="14.25" customHeight="1" x14ac:dyDescent="0.2">
      <c r="A1278" s="1" t="s">
        <v>1309</v>
      </c>
      <c r="B1278" s="1" t="s">
        <v>241</v>
      </c>
      <c r="C1278" s="1">
        <v>10906740</v>
      </c>
      <c r="D1278" s="1" t="s">
        <v>3135</v>
      </c>
      <c r="E1278" s="1" t="s">
        <v>1936</v>
      </c>
      <c r="F1278" s="1">
        <v>1</v>
      </c>
      <c r="G1278" s="1"/>
      <c r="H1278" s="1"/>
      <c r="I1278" s="1"/>
      <c r="J1278" s="1" t="str">
        <f t="shared" si="19"/>
        <v/>
      </c>
    </row>
    <row r="1279" spans="1:10" ht="14.25" customHeight="1" x14ac:dyDescent="0.2">
      <c r="A1279" s="1" t="s">
        <v>1311</v>
      </c>
      <c r="B1279" s="1" t="s">
        <v>241</v>
      </c>
      <c r="C1279" s="1">
        <v>10906740</v>
      </c>
      <c r="D1279" s="1" t="s">
        <v>3137</v>
      </c>
      <c r="E1279" s="1" t="s">
        <v>1936</v>
      </c>
      <c r="F1279" s="1">
        <v>1</v>
      </c>
      <c r="G1279" s="1"/>
      <c r="H1279" s="1"/>
      <c r="I1279" s="1"/>
      <c r="J1279" s="1" t="str">
        <f t="shared" si="19"/>
        <v/>
      </c>
    </row>
    <row r="1280" spans="1:10" ht="14.25" customHeight="1" x14ac:dyDescent="0.2">
      <c r="A1280" s="1" t="s">
        <v>757</v>
      </c>
      <c r="B1280" s="1" t="s">
        <v>40</v>
      </c>
      <c r="C1280" s="1">
        <v>128530000</v>
      </c>
      <c r="D1280" s="1" t="s">
        <v>2248</v>
      </c>
      <c r="E1280" s="1" t="s">
        <v>1430</v>
      </c>
      <c r="F1280" s="1" t="s">
        <v>3406</v>
      </c>
      <c r="G1280" s="1"/>
      <c r="H1280" s="1" t="s">
        <v>8394</v>
      </c>
      <c r="I1280" s="1"/>
      <c r="J1280" s="1" t="str">
        <f t="shared" si="19"/>
        <v>纠后正确</v>
      </c>
    </row>
    <row r="1281" spans="1:10" ht="14.25" customHeight="1" x14ac:dyDescent="0.2">
      <c r="A1281" s="1" t="s">
        <v>1098</v>
      </c>
      <c r="B1281" s="1" t="s">
        <v>113</v>
      </c>
      <c r="C1281" s="1">
        <v>91509267</v>
      </c>
      <c r="D1281" s="1" t="s">
        <v>2965</v>
      </c>
      <c r="E1281" s="1" t="s">
        <v>1829</v>
      </c>
      <c r="F1281" s="1">
        <v>1</v>
      </c>
      <c r="G1281" s="1"/>
      <c r="H1281" s="1"/>
      <c r="I1281" s="1"/>
      <c r="J1281" s="1" t="str">
        <f t="shared" si="19"/>
        <v/>
      </c>
    </row>
    <row r="1282" spans="1:10" ht="14.25" customHeight="1" x14ac:dyDescent="0.2">
      <c r="A1282" s="1" t="s">
        <v>869</v>
      </c>
      <c r="B1282" s="1" t="s">
        <v>93</v>
      </c>
      <c r="C1282" s="1">
        <v>64280206</v>
      </c>
      <c r="D1282" s="1" t="s">
        <v>2774</v>
      </c>
      <c r="E1282" s="1" t="s">
        <v>1719</v>
      </c>
      <c r="F1282" s="1">
        <v>1</v>
      </c>
      <c r="G1282" s="1"/>
      <c r="H1282" s="1"/>
      <c r="I1282" s="1"/>
      <c r="J1282" s="1" t="str">
        <f t="shared" si="19"/>
        <v/>
      </c>
    </row>
    <row r="1283" spans="1:10" ht="14.25" customHeight="1" x14ac:dyDescent="0.2">
      <c r="A1283" s="1" t="s">
        <v>468</v>
      </c>
      <c r="B1283" s="1" t="s">
        <v>1</v>
      </c>
      <c r="C1283" s="1">
        <v>206547223</v>
      </c>
      <c r="D1283" s="1" t="s">
        <v>2432</v>
      </c>
      <c r="E1283" s="1" t="s">
        <v>1531</v>
      </c>
      <c r="F1283" s="1">
        <v>1</v>
      </c>
      <c r="G1283" s="1"/>
      <c r="H1283" s="1"/>
      <c r="I1283" s="1"/>
      <c r="J1283" s="1" t="str">
        <f t="shared" ref="J1283:J1338" si="20">IF(H1283="",IF(I1283="","",I1283),H1283)</f>
        <v/>
      </c>
    </row>
    <row r="1284" spans="1:10" ht="14.25" customHeight="1" x14ac:dyDescent="0.2">
      <c r="A1284" s="1" t="s">
        <v>463</v>
      </c>
      <c r="B1284" s="1" t="s">
        <v>1</v>
      </c>
      <c r="C1284" s="1">
        <v>206547223</v>
      </c>
      <c r="D1284" s="1" t="s">
        <v>2427</v>
      </c>
      <c r="E1284" s="1" t="s">
        <v>1531</v>
      </c>
      <c r="F1284" s="1">
        <v>1</v>
      </c>
      <c r="G1284" s="1"/>
      <c r="H1284" s="1"/>
      <c r="I1284" s="1"/>
      <c r="J1284" s="1" t="str">
        <f t="shared" si="20"/>
        <v/>
      </c>
    </row>
    <row r="1285" spans="1:10" ht="14.25" customHeight="1" x14ac:dyDescent="0.2">
      <c r="A1285" s="1" t="s">
        <v>467</v>
      </c>
      <c r="B1285" s="1" t="s">
        <v>1</v>
      </c>
      <c r="C1285" s="1">
        <v>206547223</v>
      </c>
      <c r="D1285" s="1" t="s">
        <v>2431</v>
      </c>
      <c r="E1285" s="1" t="s">
        <v>1531</v>
      </c>
      <c r="F1285" s="1">
        <v>1</v>
      </c>
      <c r="G1285" s="1"/>
      <c r="H1285" s="1"/>
      <c r="I1285" s="1"/>
      <c r="J1285" s="1" t="str">
        <f t="shared" si="20"/>
        <v/>
      </c>
    </row>
    <row r="1286" spans="1:10" ht="14.25" customHeight="1" x14ac:dyDescent="0.2">
      <c r="A1286" s="1" t="s">
        <v>465</v>
      </c>
      <c r="B1286" s="1" t="s">
        <v>1</v>
      </c>
      <c r="C1286" s="1">
        <v>206547223</v>
      </c>
      <c r="D1286" s="1" t="s">
        <v>2429</v>
      </c>
      <c r="E1286" s="1" t="s">
        <v>1531</v>
      </c>
      <c r="F1286" s="1">
        <v>1</v>
      </c>
      <c r="G1286" s="1"/>
      <c r="H1286" s="1"/>
      <c r="I1286" s="1"/>
      <c r="J1286" s="1" t="str">
        <f t="shared" si="20"/>
        <v/>
      </c>
    </row>
    <row r="1287" spans="1:10" ht="14.25" customHeight="1" x14ac:dyDescent="0.2">
      <c r="A1287" s="1" t="s">
        <v>1001</v>
      </c>
      <c r="B1287" s="1" t="s">
        <v>212</v>
      </c>
      <c r="C1287" s="1">
        <v>3068477</v>
      </c>
      <c r="D1287" s="1" t="s">
        <v>2880</v>
      </c>
      <c r="E1287" s="1" t="s">
        <v>1769</v>
      </c>
      <c r="F1287" s="1">
        <v>1</v>
      </c>
      <c r="G1287" s="1"/>
      <c r="H1287" s="1"/>
      <c r="I1287" s="1"/>
      <c r="J1287" s="1" t="str">
        <f t="shared" si="20"/>
        <v/>
      </c>
    </row>
    <row r="1288" spans="1:10" ht="14.25" customHeight="1" x14ac:dyDescent="0.2">
      <c r="A1288" s="1" t="s">
        <v>483</v>
      </c>
      <c r="B1288" s="1" t="s">
        <v>1</v>
      </c>
      <c r="C1288" s="1">
        <v>220492291</v>
      </c>
      <c r="D1288" s="1" t="s">
        <v>2441</v>
      </c>
      <c r="E1288" s="1" t="s">
        <v>1538</v>
      </c>
      <c r="F1288" s="1">
        <v>1</v>
      </c>
      <c r="G1288" s="1"/>
      <c r="H1288" s="1"/>
      <c r="I1288" s="1"/>
      <c r="J1288" s="1" t="str">
        <f t="shared" si="20"/>
        <v/>
      </c>
    </row>
    <row r="1289" spans="1:10" ht="14.25" customHeight="1" x14ac:dyDescent="0.2">
      <c r="A1289" s="1" t="s">
        <v>671</v>
      </c>
      <c r="B1289" s="1" t="s">
        <v>175</v>
      </c>
      <c r="C1289" s="1">
        <v>31132113</v>
      </c>
      <c r="D1289" s="1" t="s">
        <v>2608</v>
      </c>
      <c r="E1289" s="1" t="s">
        <v>1629</v>
      </c>
      <c r="F1289" s="1">
        <v>1</v>
      </c>
      <c r="G1289" s="1"/>
      <c r="H1289" s="1"/>
      <c r="I1289" s="1"/>
      <c r="J1289" s="1" t="str">
        <f t="shared" si="20"/>
        <v/>
      </c>
    </row>
    <row r="1290" spans="1:10" ht="14.25" customHeight="1" x14ac:dyDescent="0.2">
      <c r="A1290" s="1" t="s">
        <v>491</v>
      </c>
      <c r="B1290" s="1" t="s">
        <v>1</v>
      </c>
      <c r="C1290" s="1">
        <v>242166681</v>
      </c>
      <c r="D1290" s="1" t="s">
        <v>2446</v>
      </c>
      <c r="E1290" s="1" t="s">
        <v>1540</v>
      </c>
      <c r="F1290" s="1">
        <v>1</v>
      </c>
      <c r="G1290" s="1"/>
      <c r="H1290" s="1"/>
      <c r="I1290" s="1"/>
      <c r="J1290" s="1" t="str">
        <f t="shared" si="20"/>
        <v/>
      </c>
    </row>
    <row r="1291" spans="1:10" ht="14.25" customHeight="1" x14ac:dyDescent="0.2">
      <c r="A1291" s="1" t="s">
        <v>644</v>
      </c>
      <c r="B1291" s="1" t="s">
        <v>186</v>
      </c>
      <c r="C1291" s="1">
        <v>89754019</v>
      </c>
      <c r="D1291" s="1" t="s">
        <v>2582</v>
      </c>
      <c r="E1291" s="1" t="s">
        <v>1609</v>
      </c>
      <c r="F1291" s="1">
        <v>1</v>
      </c>
      <c r="G1291" s="1"/>
      <c r="H1291" s="1"/>
      <c r="I1291" s="1"/>
      <c r="J1291" s="1" t="str">
        <f t="shared" si="20"/>
        <v/>
      </c>
    </row>
    <row r="1292" spans="1:10" ht="14.25" customHeight="1" x14ac:dyDescent="0.2">
      <c r="A1292" s="1" t="s">
        <v>1190</v>
      </c>
      <c r="B1292" s="1" t="s">
        <v>47</v>
      </c>
      <c r="C1292" s="1">
        <v>59489111</v>
      </c>
      <c r="D1292" s="1" t="s">
        <v>3042</v>
      </c>
      <c r="E1292" s="1" t="s">
        <v>1879</v>
      </c>
      <c r="F1292" s="1">
        <v>1</v>
      </c>
      <c r="G1292" s="1"/>
      <c r="H1292" s="1"/>
      <c r="I1292" s="1"/>
      <c r="J1292" s="1" t="str">
        <f t="shared" si="20"/>
        <v/>
      </c>
    </row>
    <row r="1293" spans="1:10" ht="14.25" customHeight="1" x14ac:dyDescent="0.2">
      <c r="A1293" s="1" t="s">
        <v>530</v>
      </c>
      <c r="B1293" s="1" t="s">
        <v>86</v>
      </c>
      <c r="C1293" s="1">
        <v>52867130</v>
      </c>
      <c r="D1293" s="1" t="s">
        <v>2482</v>
      </c>
      <c r="E1293" s="1" t="s">
        <v>1551</v>
      </c>
      <c r="F1293" s="1">
        <v>1</v>
      </c>
      <c r="G1293" s="1"/>
      <c r="H1293" s="1"/>
      <c r="I1293" s="1"/>
      <c r="J1293" s="1" t="str">
        <f t="shared" si="20"/>
        <v/>
      </c>
    </row>
    <row r="1294" spans="1:10" ht="14.25" customHeight="1" x14ac:dyDescent="0.2">
      <c r="A1294" s="1" t="s">
        <v>395</v>
      </c>
      <c r="B1294" s="1" t="s">
        <v>139</v>
      </c>
      <c r="C1294" s="1">
        <v>215796235</v>
      </c>
      <c r="D1294" s="1" t="s">
        <v>3212</v>
      </c>
      <c r="E1294" s="1" t="s">
        <v>1494</v>
      </c>
      <c r="F1294" s="1">
        <v>2</v>
      </c>
      <c r="G1294" s="1"/>
      <c r="H1294" s="1"/>
      <c r="I1294" s="1"/>
      <c r="J1294" s="1" t="str">
        <f t="shared" si="20"/>
        <v/>
      </c>
    </row>
    <row r="1295" spans="1:10" ht="14.25" customHeight="1" x14ac:dyDescent="0.2">
      <c r="A1295" s="1" t="s">
        <v>416</v>
      </c>
      <c r="B1295" s="1" t="s">
        <v>1</v>
      </c>
      <c r="C1295" s="1">
        <v>33172368</v>
      </c>
      <c r="D1295" s="1" t="s">
        <v>2388</v>
      </c>
      <c r="E1295" s="1" t="s">
        <v>1509</v>
      </c>
      <c r="F1295" s="1">
        <v>1</v>
      </c>
      <c r="G1295" s="1"/>
      <c r="H1295" s="1"/>
      <c r="I1295" s="1"/>
      <c r="J1295" s="1" t="str">
        <f t="shared" si="20"/>
        <v/>
      </c>
    </row>
    <row r="1296" spans="1:10" ht="14.25" customHeight="1" x14ac:dyDescent="0.2">
      <c r="A1296" s="1" t="s">
        <v>354</v>
      </c>
      <c r="B1296" s="1" t="s">
        <v>139</v>
      </c>
      <c r="C1296" s="1">
        <v>92414927</v>
      </c>
      <c r="D1296" s="1" t="s">
        <v>2330</v>
      </c>
      <c r="E1296" s="1" t="s">
        <v>1478</v>
      </c>
      <c r="F1296" s="1">
        <v>1</v>
      </c>
      <c r="G1296" s="1"/>
      <c r="H1296" s="1"/>
      <c r="I1296" s="1"/>
      <c r="J1296" s="1" t="str">
        <f t="shared" si="20"/>
        <v/>
      </c>
    </row>
    <row r="1297" spans="1:10" ht="14.25" customHeight="1" x14ac:dyDescent="0.2">
      <c r="A1297" s="1" t="s">
        <v>443</v>
      </c>
      <c r="B1297" s="1" t="s">
        <v>1</v>
      </c>
      <c r="C1297" s="1">
        <v>130949317</v>
      </c>
      <c r="D1297" s="1" t="s">
        <v>2408</v>
      </c>
      <c r="E1297" s="1" t="s">
        <v>1519</v>
      </c>
      <c r="F1297" s="1">
        <v>1</v>
      </c>
      <c r="G1297" s="1"/>
      <c r="H1297" s="1"/>
      <c r="I1297" s="1"/>
      <c r="J1297" s="1" t="str">
        <f t="shared" si="20"/>
        <v/>
      </c>
    </row>
    <row r="1298" spans="1:10" ht="14.25" customHeight="1" x14ac:dyDescent="0.2">
      <c r="A1298" s="1" t="s">
        <v>1037</v>
      </c>
      <c r="B1298" s="1" t="s">
        <v>212</v>
      </c>
      <c r="C1298" s="1">
        <v>56862300</v>
      </c>
      <c r="D1298" s="1" t="s">
        <v>2913</v>
      </c>
      <c r="E1298" s="1" t="s">
        <v>1789</v>
      </c>
      <c r="F1298" s="1">
        <v>1</v>
      </c>
      <c r="G1298" s="1"/>
      <c r="H1298" s="1"/>
      <c r="I1298" s="1"/>
      <c r="J1298" s="1" t="str">
        <f t="shared" si="20"/>
        <v/>
      </c>
    </row>
    <row r="1299" spans="1:10" ht="14.25" customHeight="1" x14ac:dyDescent="0.2">
      <c r="A1299" s="1" t="s">
        <v>242</v>
      </c>
      <c r="B1299" s="1" t="s">
        <v>103</v>
      </c>
      <c r="C1299" s="1">
        <v>6666037</v>
      </c>
      <c r="D1299" s="1" t="s">
        <v>2206</v>
      </c>
      <c r="E1299" s="1" t="s">
        <v>308</v>
      </c>
      <c r="F1299" s="1" t="s">
        <v>2062</v>
      </c>
      <c r="G1299" s="1"/>
      <c r="H1299" s="1" t="s">
        <v>3763</v>
      </c>
      <c r="I1299" s="1"/>
      <c r="J1299" s="1" t="str">
        <f t="shared" si="20"/>
        <v>纠后正确</v>
      </c>
    </row>
    <row r="1300" spans="1:10" ht="14.25" customHeight="1" x14ac:dyDescent="0.2">
      <c r="A1300" s="1" t="s">
        <v>792</v>
      </c>
      <c r="B1300" s="1" t="s">
        <v>103</v>
      </c>
      <c r="C1300" s="1">
        <v>142443928</v>
      </c>
      <c r="D1300" s="1" t="s">
        <v>2708</v>
      </c>
      <c r="E1300" s="1" t="s">
        <v>1687</v>
      </c>
      <c r="F1300" s="1">
        <v>1</v>
      </c>
      <c r="G1300" s="1"/>
      <c r="H1300" s="1"/>
      <c r="I1300" s="1"/>
      <c r="J1300" s="1" t="str">
        <f t="shared" si="20"/>
        <v/>
      </c>
    </row>
    <row r="1301" spans="1:10" ht="14.25" customHeight="1" x14ac:dyDescent="0.2">
      <c r="A1301" s="1" t="s">
        <v>243</v>
      </c>
      <c r="B1301" s="1" t="s">
        <v>139</v>
      </c>
      <c r="C1301" s="1">
        <v>17698740</v>
      </c>
      <c r="D1301" s="1" t="s">
        <v>2186</v>
      </c>
      <c r="E1301" s="1" t="s">
        <v>292</v>
      </c>
      <c r="F1301" s="1" t="s">
        <v>2062</v>
      </c>
      <c r="G1301" s="1"/>
      <c r="H1301" s="1" t="s">
        <v>3763</v>
      </c>
      <c r="I1301" s="1"/>
      <c r="J1301" s="1" t="str">
        <f t="shared" si="20"/>
        <v>纠后正确</v>
      </c>
    </row>
    <row r="1302" spans="1:10" ht="14.25" customHeight="1" x14ac:dyDescent="0.2">
      <c r="A1302" s="1" t="s">
        <v>470</v>
      </c>
      <c r="B1302" s="1" t="s">
        <v>1</v>
      </c>
      <c r="C1302" s="1">
        <v>216225176</v>
      </c>
      <c r="D1302" s="1" t="s">
        <v>3217</v>
      </c>
      <c r="E1302" s="1" t="s">
        <v>1975</v>
      </c>
      <c r="F1302" s="1">
        <v>2</v>
      </c>
      <c r="G1302" s="1"/>
      <c r="H1302" s="1"/>
      <c r="I1302" s="1"/>
      <c r="J1302" s="1" t="str">
        <f t="shared" si="20"/>
        <v/>
      </c>
    </row>
    <row r="1303" spans="1:10" ht="14.25" customHeight="1" x14ac:dyDescent="0.2">
      <c r="A1303" s="1" t="s">
        <v>471</v>
      </c>
      <c r="B1303" s="1" t="s">
        <v>1</v>
      </c>
      <c r="C1303" s="1">
        <v>216225176</v>
      </c>
      <c r="D1303" s="1" t="s">
        <v>3218</v>
      </c>
      <c r="E1303" s="1" t="s">
        <v>1975</v>
      </c>
      <c r="F1303" s="1">
        <v>2</v>
      </c>
      <c r="G1303" s="1"/>
      <c r="H1303" s="1"/>
      <c r="I1303" s="1"/>
      <c r="J1303" s="1" t="str">
        <f t="shared" si="20"/>
        <v/>
      </c>
    </row>
    <row r="1304" spans="1:10" ht="14.25" customHeight="1" x14ac:dyDescent="0.2">
      <c r="A1304" s="1" t="s">
        <v>472</v>
      </c>
      <c r="B1304" s="1" t="s">
        <v>1</v>
      </c>
      <c r="C1304" s="1">
        <v>216225176</v>
      </c>
      <c r="D1304" s="1" t="s">
        <v>3219</v>
      </c>
      <c r="E1304" s="1" t="s">
        <v>1975</v>
      </c>
      <c r="F1304" s="1">
        <v>2</v>
      </c>
      <c r="G1304" s="1"/>
      <c r="H1304" s="1"/>
      <c r="I1304" s="1"/>
      <c r="J1304" s="1" t="str">
        <f t="shared" si="20"/>
        <v/>
      </c>
    </row>
    <row r="1305" spans="1:10" ht="14.25" customHeight="1" x14ac:dyDescent="0.2">
      <c r="A1305" s="1" t="s">
        <v>474</v>
      </c>
      <c r="B1305" s="1" t="s">
        <v>1</v>
      </c>
      <c r="C1305" s="1">
        <v>216225176</v>
      </c>
      <c r="D1305" s="1" t="s">
        <v>3221</v>
      </c>
      <c r="E1305" s="1" t="s">
        <v>1975</v>
      </c>
      <c r="F1305" s="1">
        <v>2</v>
      </c>
      <c r="G1305" s="1"/>
      <c r="H1305" s="1"/>
      <c r="I1305" s="1"/>
      <c r="J1305" s="1" t="str">
        <f t="shared" si="20"/>
        <v/>
      </c>
    </row>
    <row r="1306" spans="1:10" ht="14.25" customHeight="1" x14ac:dyDescent="0.2">
      <c r="A1306" s="1" t="s">
        <v>839</v>
      </c>
      <c r="B1306" s="1" t="s">
        <v>33</v>
      </c>
      <c r="C1306" s="1">
        <v>139901685</v>
      </c>
      <c r="D1306" s="1" t="s">
        <v>2747</v>
      </c>
      <c r="E1306" s="1" t="s">
        <v>1709</v>
      </c>
      <c r="F1306" s="1">
        <v>1</v>
      </c>
      <c r="G1306" s="1"/>
      <c r="H1306" s="1"/>
      <c r="I1306" s="1"/>
      <c r="J1306" s="1" t="str">
        <f t="shared" si="20"/>
        <v/>
      </c>
    </row>
    <row r="1307" spans="1:10" ht="14.25" customHeight="1" x14ac:dyDescent="0.2">
      <c r="A1307" s="1" t="s">
        <v>54</v>
      </c>
      <c r="B1307" s="1" t="s">
        <v>53</v>
      </c>
      <c r="C1307" s="1">
        <v>35757223</v>
      </c>
      <c r="D1307" s="1" t="s">
        <v>2082</v>
      </c>
      <c r="E1307" s="1" t="s">
        <v>51</v>
      </c>
      <c r="F1307" s="1" t="s">
        <v>2062</v>
      </c>
      <c r="G1307" s="1"/>
      <c r="H1307" s="1" t="s">
        <v>8396</v>
      </c>
      <c r="I1307" s="1"/>
      <c r="J1307" s="1" t="str">
        <f t="shared" si="20"/>
        <v>纠后正确</v>
      </c>
    </row>
    <row r="1308" spans="1:10" ht="14.25" customHeight="1" x14ac:dyDescent="0.2">
      <c r="A1308" s="1" t="s">
        <v>55</v>
      </c>
      <c r="B1308" s="1" t="s">
        <v>53</v>
      </c>
      <c r="C1308" s="1">
        <v>35757223</v>
      </c>
      <c r="D1308" s="1" t="s">
        <v>2083</v>
      </c>
      <c r="E1308" s="1" t="s">
        <v>51</v>
      </c>
      <c r="F1308" s="1" t="s">
        <v>2062</v>
      </c>
      <c r="G1308" s="1"/>
      <c r="H1308" s="1" t="s">
        <v>8396</v>
      </c>
      <c r="I1308" s="1"/>
      <c r="J1308" s="1" t="str">
        <f t="shared" si="20"/>
        <v>纠后正确</v>
      </c>
    </row>
    <row r="1309" spans="1:10" ht="14.25" customHeight="1" x14ac:dyDescent="0.2">
      <c r="A1309" s="1" t="s">
        <v>1011</v>
      </c>
      <c r="B1309" s="1" t="s">
        <v>212</v>
      </c>
      <c r="C1309" s="1">
        <v>10598626</v>
      </c>
      <c r="D1309" s="1" t="s">
        <v>2888</v>
      </c>
      <c r="E1309" s="1" t="s">
        <v>1776</v>
      </c>
      <c r="F1309" s="1">
        <v>1</v>
      </c>
      <c r="G1309" s="1"/>
      <c r="H1309" s="1"/>
      <c r="I1309" s="1"/>
      <c r="J1309" s="1" t="str">
        <f t="shared" si="20"/>
        <v/>
      </c>
    </row>
    <row r="1310" spans="1:10" ht="14.25" customHeight="1" x14ac:dyDescent="0.2">
      <c r="A1310" s="1" t="s">
        <v>1012</v>
      </c>
      <c r="B1310" s="1" t="s">
        <v>212</v>
      </c>
      <c r="C1310" s="1">
        <v>10598626</v>
      </c>
      <c r="D1310" s="1" t="s">
        <v>2889</v>
      </c>
      <c r="E1310" s="1" t="s">
        <v>1776</v>
      </c>
      <c r="F1310" s="1">
        <v>1</v>
      </c>
      <c r="G1310" s="1"/>
      <c r="H1310" s="1"/>
      <c r="I1310" s="1"/>
      <c r="J1310" s="1" t="str">
        <f t="shared" si="20"/>
        <v/>
      </c>
    </row>
    <row r="1311" spans="1:10" ht="14.25" customHeight="1" x14ac:dyDescent="0.2">
      <c r="A1311" s="1" t="s">
        <v>1223</v>
      </c>
      <c r="B1311" s="1" t="s">
        <v>50</v>
      </c>
      <c r="C1311" s="1">
        <v>685545</v>
      </c>
      <c r="D1311" s="1" t="s">
        <v>3070</v>
      </c>
      <c r="E1311" s="1" t="s">
        <v>1896</v>
      </c>
      <c r="F1311" s="1">
        <v>1</v>
      </c>
      <c r="G1311" s="1"/>
      <c r="H1311" s="1"/>
      <c r="I1311" s="1"/>
      <c r="J1311" s="1" t="str">
        <f t="shared" si="20"/>
        <v/>
      </c>
    </row>
    <row r="1312" spans="1:10" ht="14.25" customHeight="1" x14ac:dyDescent="0.2">
      <c r="A1312" s="1" t="s">
        <v>3891</v>
      </c>
      <c r="B1312" s="1" t="s">
        <v>93</v>
      </c>
      <c r="C1312" s="1">
        <v>47191764</v>
      </c>
      <c r="D1312" s="1" t="s">
        <v>3356</v>
      </c>
      <c r="E1312" s="1" t="s">
        <v>2034</v>
      </c>
      <c r="F1312" s="1" t="s">
        <v>2062</v>
      </c>
      <c r="G1312" s="1"/>
      <c r="H1312" s="1"/>
      <c r="I1312" s="1" t="s">
        <v>8376</v>
      </c>
      <c r="J1312" s="1" t="str">
        <f t="shared" si="20"/>
        <v>纠后正确，版本不一致，utr略有变化</v>
      </c>
    </row>
    <row r="1313" spans="1:10" ht="14.25" customHeight="1" x14ac:dyDescent="0.2">
      <c r="A1313" s="1" t="s">
        <v>3703</v>
      </c>
      <c r="B1313" s="1" t="s">
        <v>212</v>
      </c>
      <c r="C1313" s="1">
        <v>9613793</v>
      </c>
      <c r="D1313" s="1" t="s">
        <v>2885</v>
      </c>
      <c r="E1313" s="1" t="s">
        <v>1774</v>
      </c>
      <c r="F1313" s="1">
        <v>1</v>
      </c>
      <c r="G1313" s="1"/>
      <c r="H1313" s="1"/>
      <c r="I1313" s="1"/>
      <c r="J1313" s="1" t="str">
        <f t="shared" si="20"/>
        <v/>
      </c>
    </row>
    <row r="1314" spans="1:10" ht="14.25" customHeight="1" x14ac:dyDescent="0.2">
      <c r="A1314" s="1" t="s">
        <v>3892</v>
      </c>
      <c r="B1314" s="1" t="s">
        <v>86</v>
      </c>
      <c r="C1314" s="1">
        <v>44540461</v>
      </c>
      <c r="D1314" s="1" t="s">
        <v>3320</v>
      </c>
      <c r="E1314" s="1" t="s">
        <v>2026</v>
      </c>
      <c r="F1314" s="1" t="s">
        <v>2062</v>
      </c>
      <c r="G1314" s="1"/>
      <c r="H1314" s="1"/>
      <c r="I1314" s="1" t="s">
        <v>8376</v>
      </c>
      <c r="J1314" s="1" t="str">
        <f t="shared" si="20"/>
        <v>纠后正确，版本不一致，utr略有变化</v>
      </c>
    </row>
    <row r="1315" spans="1:10" ht="14.25" customHeight="1" x14ac:dyDescent="0.2">
      <c r="A1315" s="1" t="s">
        <v>8781</v>
      </c>
      <c r="B1315" s="1" t="s">
        <v>1</v>
      </c>
      <c r="C1315" s="1">
        <v>133062579</v>
      </c>
      <c r="D1315" s="1" t="s">
        <v>8753</v>
      </c>
      <c r="E1315" s="1" t="s">
        <v>8782</v>
      </c>
      <c r="F1315" s="1" t="s">
        <v>3406</v>
      </c>
      <c r="G1315" s="1" t="s">
        <v>8783</v>
      </c>
      <c r="H1315" s="1"/>
      <c r="I1315" s="1"/>
      <c r="J1315" s="1" t="str">
        <f t="shared" si="20"/>
        <v/>
      </c>
    </row>
    <row r="1316" spans="1:10" ht="14.25" customHeight="1" x14ac:dyDescent="0.2">
      <c r="A1316" s="1" t="s">
        <v>835</v>
      </c>
      <c r="B1316" s="1" t="s">
        <v>33</v>
      </c>
      <c r="C1316" s="1">
        <v>133223388</v>
      </c>
      <c r="D1316" s="1" t="s">
        <v>2743</v>
      </c>
      <c r="E1316" s="1" t="s">
        <v>1706</v>
      </c>
      <c r="F1316" s="1">
        <v>1</v>
      </c>
      <c r="G1316" s="1"/>
      <c r="H1316" s="1"/>
      <c r="I1316" s="1"/>
      <c r="J1316" s="1" t="str">
        <f t="shared" si="20"/>
        <v/>
      </c>
    </row>
    <row r="1317" spans="1:10" ht="14.25" customHeight="1" x14ac:dyDescent="0.2">
      <c r="A1317" s="1" t="s">
        <v>8784</v>
      </c>
      <c r="B1317" s="1" t="s">
        <v>139</v>
      </c>
      <c r="C1317" s="1">
        <v>41827226</v>
      </c>
      <c r="D1317" s="1" t="s">
        <v>3306</v>
      </c>
      <c r="E1317" s="1" t="s">
        <v>2018</v>
      </c>
      <c r="F1317" s="1" t="s">
        <v>2062</v>
      </c>
      <c r="G1317" s="1" t="s">
        <v>8786</v>
      </c>
      <c r="H1317" s="1"/>
      <c r="I1317" s="1"/>
      <c r="J1317" s="1" t="str">
        <f t="shared" si="20"/>
        <v/>
      </c>
    </row>
    <row r="1318" spans="1:10" ht="14.25" customHeight="1" x14ac:dyDescent="0.2">
      <c r="A1318" s="1" t="s">
        <v>8785</v>
      </c>
      <c r="B1318" s="1" t="s">
        <v>175</v>
      </c>
      <c r="C1318" s="1">
        <v>9697862</v>
      </c>
      <c r="D1318" s="1" t="s">
        <v>3324</v>
      </c>
      <c r="E1318" s="1" t="s">
        <v>2029</v>
      </c>
      <c r="F1318" s="1" t="s">
        <v>2062</v>
      </c>
      <c r="G1318" s="1" t="s">
        <v>8787</v>
      </c>
      <c r="H1318" s="1"/>
      <c r="I1318" s="1"/>
      <c r="J1318" s="1" t="str">
        <f t="shared" si="20"/>
        <v/>
      </c>
    </row>
    <row r="1319" spans="1:10" ht="14.25" customHeight="1" x14ac:dyDescent="0.2">
      <c r="A1319" s="1" t="s">
        <v>1205</v>
      </c>
      <c r="B1319" s="1" t="s">
        <v>47</v>
      </c>
      <c r="C1319" s="1">
        <v>75719693</v>
      </c>
      <c r="D1319" s="1" t="s">
        <v>3056</v>
      </c>
      <c r="E1319" s="1" t="s">
        <v>1885</v>
      </c>
      <c r="F1319" s="1">
        <v>1</v>
      </c>
      <c r="G1319" s="1"/>
      <c r="H1319" s="1"/>
      <c r="I1319" s="1"/>
      <c r="J1319" s="1" t="str">
        <f t="shared" si="20"/>
        <v/>
      </c>
    </row>
    <row r="1320" spans="1:10" ht="14.25" customHeight="1" x14ac:dyDescent="0.2">
      <c r="A1320" s="1" t="s">
        <v>8788</v>
      </c>
      <c r="B1320" s="1" t="s">
        <v>1</v>
      </c>
      <c r="C1320" s="1">
        <v>87991039</v>
      </c>
      <c r="D1320" s="1" t="s">
        <v>2228</v>
      </c>
      <c r="E1320" s="1" t="s">
        <v>3726</v>
      </c>
      <c r="F1320" s="1" t="s">
        <v>3406</v>
      </c>
      <c r="G1320" s="1" t="s">
        <v>8783</v>
      </c>
      <c r="H1320" s="1"/>
      <c r="I1320" s="1"/>
      <c r="J1320" s="1" t="str">
        <f t="shared" si="20"/>
        <v/>
      </c>
    </row>
    <row r="1321" spans="1:10" ht="14.25" customHeight="1" x14ac:dyDescent="0.2">
      <c r="A1321" s="1" t="s">
        <v>3893</v>
      </c>
      <c r="B1321" s="1" t="s">
        <v>121</v>
      </c>
      <c r="C1321" s="1">
        <v>21845883</v>
      </c>
      <c r="D1321" s="1" t="s">
        <v>3382</v>
      </c>
      <c r="E1321" s="1" t="s">
        <v>2047</v>
      </c>
      <c r="F1321" s="1" t="s">
        <v>2062</v>
      </c>
      <c r="G1321" s="1"/>
      <c r="H1321" s="1"/>
      <c r="I1321" s="1" t="s">
        <v>8381</v>
      </c>
      <c r="J1321" s="1" t="str">
        <f t="shared" si="20"/>
        <v>纠后正确,版本不一致，区间有变化</v>
      </c>
    </row>
    <row r="1322" spans="1:10" ht="14.25" customHeight="1" x14ac:dyDescent="0.2">
      <c r="A1322" s="1" t="s">
        <v>3713</v>
      </c>
      <c r="B1322" s="1" t="s">
        <v>40</v>
      </c>
      <c r="C1322" s="1">
        <v>63222525</v>
      </c>
      <c r="D1322" s="1" t="s">
        <v>3345</v>
      </c>
      <c r="E1322" s="1" t="s">
        <v>3732</v>
      </c>
      <c r="F1322" s="1" t="s">
        <v>2062</v>
      </c>
      <c r="G1322" s="1"/>
      <c r="H1322" s="1" t="s">
        <v>8408</v>
      </c>
      <c r="I1322" s="1"/>
      <c r="J1322" s="1" t="str">
        <f t="shared" si="20"/>
        <v>无此基因（被注消）</v>
      </c>
    </row>
    <row r="1323" spans="1:10" ht="14.25" customHeight="1" x14ac:dyDescent="0.2">
      <c r="A1323" s="1" t="s">
        <v>3712</v>
      </c>
      <c r="B1323" s="1" t="s">
        <v>40</v>
      </c>
      <c r="C1323" s="1">
        <v>63211026</v>
      </c>
      <c r="D1323" s="1" t="s">
        <v>3343</v>
      </c>
      <c r="E1323" s="1" t="s">
        <v>3731</v>
      </c>
      <c r="F1323" s="1" t="s">
        <v>2062</v>
      </c>
      <c r="G1323" s="1"/>
      <c r="H1323" s="1" t="s">
        <v>8408</v>
      </c>
      <c r="I1323" s="1"/>
      <c r="J1323" s="1" t="str">
        <f t="shared" si="20"/>
        <v>无此基因（被注消）</v>
      </c>
    </row>
    <row r="1324" spans="1:10" ht="14.25" customHeight="1" x14ac:dyDescent="0.2">
      <c r="A1324" s="1" t="s">
        <v>3915</v>
      </c>
      <c r="B1324" s="1" t="s">
        <v>40</v>
      </c>
      <c r="C1324" s="1">
        <v>63220846</v>
      </c>
      <c r="D1324" s="1" t="s">
        <v>3344</v>
      </c>
      <c r="E1324" s="1" t="s">
        <v>3720</v>
      </c>
      <c r="F1324" s="1" t="s">
        <v>2062</v>
      </c>
      <c r="G1324" s="1"/>
      <c r="H1324" s="1" t="s">
        <v>8409</v>
      </c>
      <c r="I1324" s="1"/>
      <c r="J1324" s="1" t="str">
        <f t="shared" si="20"/>
        <v>非编码基因</v>
      </c>
    </row>
    <row r="1325" spans="1:10" ht="14.25" customHeight="1" x14ac:dyDescent="0.2">
      <c r="A1325" s="1" t="s">
        <v>3705</v>
      </c>
      <c r="B1325" s="1" t="s">
        <v>113</v>
      </c>
      <c r="C1325" s="1">
        <v>32620089</v>
      </c>
      <c r="D1325" s="1" t="s">
        <v>2951</v>
      </c>
      <c r="E1325" s="1" t="s">
        <v>3723</v>
      </c>
      <c r="F1325" s="1">
        <v>1</v>
      </c>
      <c r="G1325" s="1"/>
      <c r="H1325" s="1"/>
      <c r="I1325" s="1"/>
      <c r="J1325" s="1" t="str">
        <f t="shared" si="20"/>
        <v/>
      </c>
    </row>
    <row r="1326" spans="1:10" ht="14.25" customHeight="1" x14ac:dyDescent="0.2">
      <c r="A1326" s="1" t="s">
        <v>3913</v>
      </c>
      <c r="B1326" s="1" t="s">
        <v>113</v>
      </c>
      <c r="C1326" s="1">
        <v>76083708</v>
      </c>
      <c r="D1326" s="1" t="s">
        <v>3376</v>
      </c>
      <c r="E1326" s="1" t="s">
        <v>3729</v>
      </c>
      <c r="F1326" s="1" t="s">
        <v>2062</v>
      </c>
      <c r="G1326" s="1"/>
      <c r="H1326" s="1" t="s">
        <v>3722</v>
      </c>
      <c r="I1326" s="1"/>
      <c r="J1326" s="1" t="str">
        <f t="shared" si="20"/>
        <v>别名DNM1P49，假基因</v>
      </c>
    </row>
    <row r="1327" spans="1:10" ht="14.25" customHeight="1" x14ac:dyDescent="0.2">
      <c r="A1327" s="1" t="s">
        <v>3914</v>
      </c>
      <c r="B1327" s="1" t="s">
        <v>43</v>
      </c>
      <c r="C1327" s="1">
        <v>18859808</v>
      </c>
      <c r="D1327" s="1" t="s">
        <v>2295</v>
      </c>
      <c r="E1327" s="1" t="s">
        <v>3727</v>
      </c>
      <c r="F1327" s="1" t="s">
        <v>3406</v>
      </c>
      <c r="G1327" s="1"/>
      <c r="H1327" s="1" t="s">
        <v>3725</v>
      </c>
      <c r="I1327" s="1"/>
      <c r="J1327" s="1" t="str">
        <f t="shared" si="20"/>
        <v>别名LINC01663，ncRNA</v>
      </c>
    </row>
    <row r="1328" spans="1:10" ht="14.25" customHeight="1" x14ac:dyDescent="0.2">
      <c r="A1328" s="1" t="s">
        <v>3923</v>
      </c>
      <c r="B1328" s="1" t="s">
        <v>86</v>
      </c>
      <c r="C1328" s="1">
        <v>75717378</v>
      </c>
      <c r="D1328" s="1" t="s">
        <v>3321</v>
      </c>
      <c r="E1328" s="1" t="s">
        <v>3931</v>
      </c>
      <c r="F1328" s="1" t="s">
        <v>2062</v>
      </c>
      <c r="G1328" s="1"/>
      <c r="H1328" s="1" t="s">
        <v>8410</v>
      </c>
      <c r="I1328" s="1"/>
      <c r="J1328" s="1" t="str">
        <f t="shared" si="20"/>
        <v>无此变体及基因信息，极可能为假基因</v>
      </c>
    </row>
    <row r="1329" spans="1:10" ht="14.25" customHeight="1" x14ac:dyDescent="0.2">
      <c r="A1329" s="1" t="s">
        <v>3894</v>
      </c>
      <c r="B1329" s="1" t="s">
        <v>212</v>
      </c>
      <c r="C1329" s="1">
        <v>40791676</v>
      </c>
      <c r="D1329" s="1" t="s">
        <v>3370</v>
      </c>
      <c r="E1329" s="1" t="s">
        <v>2041</v>
      </c>
      <c r="F1329" s="1" t="s">
        <v>2062</v>
      </c>
      <c r="G1329" s="1"/>
      <c r="H1329" s="1"/>
      <c r="I1329" s="1" t="s">
        <v>8382</v>
      </c>
      <c r="J1329" s="1" t="str">
        <f t="shared" si="20"/>
        <v>纠后正确,版本不一致，utr略有变化</v>
      </c>
    </row>
    <row r="1330" spans="1:10" ht="14.25" customHeight="1" x14ac:dyDescent="0.2">
      <c r="A1330" s="1" t="s">
        <v>3922</v>
      </c>
      <c r="B1330" s="1" t="s">
        <v>139</v>
      </c>
      <c r="C1330" s="1">
        <v>144593729</v>
      </c>
      <c r="D1330" s="1" t="s">
        <v>3307</v>
      </c>
      <c r="E1330" s="1" t="s">
        <v>3930</v>
      </c>
      <c r="F1330" s="1" t="s">
        <v>2062</v>
      </c>
      <c r="G1330" s="1"/>
      <c r="H1330" s="1" t="s">
        <v>8411</v>
      </c>
      <c r="I1330" s="1"/>
      <c r="J1330" s="1" t="str">
        <f t="shared" si="20"/>
        <v>无此变体信息，基因被NBPF14取代（chr1:148003031-148025865）</v>
      </c>
    </row>
    <row r="1331" spans="1:10" ht="14.25" customHeight="1" x14ac:dyDescent="0.2">
      <c r="A1331" s="1" t="s">
        <v>3700</v>
      </c>
      <c r="B1331" s="1" t="s">
        <v>40</v>
      </c>
      <c r="C1331" s="1">
        <v>63204449</v>
      </c>
      <c r="D1331" s="1" t="s">
        <v>2666</v>
      </c>
      <c r="E1331" s="1" t="s">
        <v>1658</v>
      </c>
      <c r="F1331" s="1">
        <v>1</v>
      </c>
      <c r="G1331" s="1"/>
      <c r="H1331" s="1"/>
      <c r="I1331" s="1"/>
      <c r="J1331" s="1" t="str">
        <f t="shared" si="20"/>
        <v/>
      </c>
    </row>
    <row r="1332" spans="1:10" ht="14.25" customHeight="1" x14ac:dyDescent="0.2">
      <c r="A1332" s="1" t="s">
        <v>3895</v>
      </c>
      <c r="B1332" s="1" t="s">
        <v>33</v>
      </c>
      <c r="C1332" s="1">
        <v>70923807</v>
      </c>
      <c r="D1332" s="1" t="s">
        <v>3355</v>
      </c>
      <c r="E1332" s="1" t="s">
        <v>3730</v>
      </c>
      <c r="F1332" s="1" t="s">
        <v>2062</v>
      </c>
      <c r="G1332" s="1"/>
      <c r="H1332" s="1" t="s">
        <v>8408</v>
      </c>
      <c r="I1332" s="1"/>
      <c r="J1332" s="1" t="str">
        <f t="shared" si="20"/>
        <v>无此基因（被注消）</v>
      </c>
    </row>
    <row r="1333" spans="1:10" ht="14.25" customHeight="1" x14ac:dyDescent="0.2">
      <c r="A1333" s="1" t="s">
        <v>3702</v>
      </c>
      <c r="B1333" s="1" t="s">
        <v>36</v>
      </c>
      <c r="C1333" s="1">
        <v>1212786</v>
      </c>
      <c r="D1333" s="1" t="s">
        <v>2802</v>
      </c>
      <c r="E1333" s="1" t="s">
        <v>3724</v>
      </c>
      <c r="F1333" s="1">
        <v>1</v>
      </c>
      <c r="G1333" s="1"/>
      <c r="H1333" s="1"/>
      <c r="I1333" s="1"/>
      <c r="J1333" s="1" t="str">
        <f t="shared" si="20"/>
        <v/>
      </c>
    </row>
    <row r="1334" spans="1:10" ht="14.25" customHeight="1" x14ac:dyDescent="0.2">
      <c r="A1334" s="1" t="s">
        <v>1243</v>
      </c>
      <c r="B1334" s="1" t="s">
        <v>50</v>
      </c>
      <c r="C1334" s="1">
        <v>21800851</v>
      </c>
      <c r="D1334" s="1" t="s">
        <v>3390</v>
      </c>
      <c r="E1334" s="1" t="s">
        <v>2054</v>
      </c>
      <c r="F1334" s="1" t="s">
        <v>2062</v>
      </c>
      <c r="G1334" s="1"/>
      <c r="H1334" s="1" t="s">
        <v>8393</v>
      </c>
      <c r="I1334" s="1"/>
      <c r="J1334" s="1" t="str">
        <f t="shared" si="20"/>
        <v>纠后正确，utr略有变化，版本不一致</v>
      </c>
    </row>
    <row r="1335" spans="1:10" ht="14.25" customHeight="1" x14ac:dyDescent="0.2">
      <c r="A1335" s="1" t="s">
        <v>3896</v>
      </c>
      <c r="B1335" s="1" t="s">
        <v>241</v>
      </c>
      <c r="C1335" s="1">
        <v>47612390</v>
      </c>
      <c r="D1335" s="1" t="s">
        <v>3391</v>
      </c>
      <c r="E1335" s="1" t="s">
        <v>3921</v>
      </c>
      <c r="F1335" s="1" t="s">
        <v>2062</v>
      </c>
      <c r="G1335" s="1"/>
      <c r="H1335" s="1" t="s">
        <v>8412</v>
      </c>
      <c r="I1335" s="1"/>
      <c r="J1335" s="1" t="str">
        <f t="shared" si="20"/>
        <v>无此变体信息，基因被注销</v>
      </c>
    </row>
    <row r="1336" spans="1:10" ht="14.25" customHeight="1" x14ac:dyDescent="0.2">
      <c r="A1336" s="1" t="s">
        <v>3916</v>
      </c>
      <c r="B1336" s="1" t="s">
        <v>86</v>
      </c>
      <c r="C1336" s="1">
        <v>9258578</v>
      </c>
      <c r="D1336" s="1" t="s">
        <v>3316</v>
      </c>
      <c r="E1336" s="1" t="s">
        <v>3716</v>
      </c>
      <c r="F1336" s="1" t="s">
        <v>2062</v>
      </c>
      <c r="G1336" s="1"/>
      <c r="H1336" s="1" t="s">
        <v>8409</v>
      </c>
      <c r="I1336" s="1"/>
      <c r="J1336" s="1" t="str">
        <f t="shared" si="20"/>
        <v>非编码基因</v>
      </c>
    </row>
    <row r="1337" spans="1:10" ht="14.25" customHeight="1" x14ac:dyDescent="0.2">
      <c r="A1337" s="1" t="s">
        <v>3897</v>
      </c>
      <c r="B1337" s="1" t="s">
        <v>186</v>
      </c>
      <c r="C1337" s="1">
        <v>99725725</v>
      </c>
      <c r="D1337" s="1" t="s">
        <v>3717</v>
      </c>
      <c r="E1337" s="1" t="s">
        <v>3718</v>
      </c>
      <c r="F1337" s="1" t="s">
        <v>2062</v>
      </c>
      <c r="G1337" s="1"/>
      <c r="H1337" s="1" t="s">
        <v>8409</v>
      </c>
      <c r="I1337" s="1"/>
      <c r="J1337" s="1" t="str">
        <f t="shared" si="20"/>
        <v>非编码基因</v>
      </c>
    </row>
    <row r="1338" spans="1:10" ht="14.25" customHeight="1" x14ac:dyDescent="0.2">
      <c r="A1338" s="1" t="s">
        <v>3898</v>
      </c>
      <c r="B1338" s="1" t="s">
        <v>113</v>
      </c>
      <c r="C1338" s="1">
        <v>83188578</v>
      </c>
      <c r="D1338" s="1" t="s">
        <v>3377</v>
      </c>
      <c r="E1338" s="1" t="s">
        <v>3929</v>
      </c>
      <c r="F1338" s="1" t="s">
        <v>2062</v>
      </c>
      <c r="G1338" s="1"/>
      <c r="H1338" s="1" t="s">
        <v>8413</v>
      </c>
      <c r="I1338" s="1"/>
      <c r="J1338" s="1" t="str">
        <f t="shared" si="20"/>
        <v>无此变体信息，新变体</v>
      </c>
    </row>
    <row r="1339" spans="1:10" ht="14.25" customHeight="1" x14ac:dyDescent="0.2">
      <c r="A1339" s="1"/>
      <c r="B1339" s="1"/>
      <c r="C1339" s="1"/>
      <c r="D1339" s="1"/>
      <c r="E1339" s="1"/>
      <c r="F1339" s="1"/>
      <c r="G1339" s="4"/>
      <c r="H1339" s="1"/>
      <c r="I1339" s="1"/>
    </row>
    <row r="1340" spans="1:10" ht="14.25" customHeight="1" x14ac:dyDescent="0.2">
      <c r="A1340" s="1"/>
      <c r="B1340" s="1"/>
      <c r="C1340" s="1"/>
      <c r="D1340" s="1"/>
      <c r="E1340" s="1"/>
      <c r="F1340" s="1"/>
      <c r="G1340" s="4"/>
      <c r="H1340" s="1"/>
      <c r="I1340" s="1"/>
    </row>
    <row r="1341" spans="1:10" ht="14.25" customHeight="1" x14ac:dyDescent="0.2">
      <c r="A1341" s="1"/>
      <c r="B1341" s="1"/>
      <c r="C1341" s="1"/>
      <c r="D1341" s="1"/>
      <c r="E1341" s="1"/>
      <c r="F1341" s="1"/>
      <c r="G1341" s="4"/>
      <c r="H1341" s="1"/>
      <c r="I1341" s="1"/>
    </row>
    <row r="1342" spans="1:10" ht="14.25" customHeight="1" x14ac:dyDescent="0.2">
      <c r="A1342" s="1"/>
      <c r="B1342" s="1"/>
      <c r="C1342" s="1"/>
      <c r="D1342" s="1"/>
      <c r="E1342" s="1"/>
      <c r="F1342" s="1"/>
      <c r="G1342" s="4"/>
      <c r="H1342" s="1"/>
      <c r="I1342" s="1"/>
    </row>
    <row r="1343" spans="1:10" ht="14.25" customHeight="1" x14ac:dyDescent="0.2">
      <c r="A1343" s="1"/>
      <c r="B1343" s="1"/>
      <c r="C1343" s="1"/>
      <c r="D1343" s="1"/>
      <c r="E1343" s="1"/>
      <c r="F1343" s="1"/>
      <c r="G1343" s="4"/>
      <c r="H1343" s="1"/>
      <c r="I1343" s="1"/>
    </row>
    <row r="1344" spans="1:10" ht="14.25" customHeight="1" x14ac:dyDescent="0.2">
      <c r="A1344" s="1"/>
      <c r="B1344" s="1"/>
      <c r="C1344" s="1"/>
      <c r="D1344" s="1"/>
      <c r="E1344" s="1"/>
      <c r="F1344" s="1"/>
      <c r="G1344" s="4"/>
      <c r="H1344" s="1"/>
      <c r="I1344" s="1"/>
    </row>
    <row r="1345" spans="1:9" ht="14.25" customHeight="1" x14ac:dyDescent="0.2">
      <c r="A1345" s="1"/>
      <c r="B1345" s="1"/>
      <c r="C1345" s="1"/>
      <c r="D1345" s="1"/>
      <c r="E1345" s="1"/>
      <c r="F1345" s="1"/>
      <c r="G1345" s="4"/>
      <c r="H1345" s="1"/>
      <c r="I1345" s="1"/>
    </row>
    <row r="1346" spans="1:9" ht="14.25" customHeight="1" x14ac:dyDescent="0.2">
      <c r="A1346" s="1"/>
      <c r="B1346" s="1"/>
      <c r="C1346" s="1"/>
      <c r="D1346" s="1"/>
      <c r="E1346" s="1"/>
      <c r="F1346" s="1"/>
      <c r="G1346" s="4"/>
      <c r="H1346" s="1"/>
      <c r="I1346" s="1"/>
    </row>
    <row r="1347" spans="1:9" ht="14.25" customHeight="1" x14ac:dyDescent="0.2">
      <c r="A1347" s="1"/>
      <c r="B1347" s="1"/>
      <c r="C1347" s="1"/>
      <c r="D1347" s="1"/>
      <c r="E1347" s="1"/>
      <c r="F1347" s="1"/>
      <c r="G1347" s="4"/>
      <c r="H1347" s="1"/>
      <c r="I1347" s="1"/>
    </row>
    <row r="1348" spans="1:9" ht="14.25" customHeight="1" x14ac:dyDescent="0.2">
      <c r="A1348" s="1"/>
      <c r="B1348" s="1"/>
      <c r="C1348" s="1"/>
      <c r="D1348" s="1"/>
      <c r="E1348" s="1"/>
      <c r="F1348" s="1"/>
      <c r="G1348" s="4"/>
      <c r="H1348" s="1"/>
      <c r="I1348" s="1"/>
    </row>
    <row r="1349" spans="1:9" ht="14.25" customHeight="1" x14ac:dyDescent="0.2">
      <c r="A1349" s="1"/>
      <c r="B1349" s="1"/>
      <c r="C1349" s="1"/>
      <c r="D1349" s="1"/>
      <c r="E1349" s="1"/>
      <c r="F1349" s="1"/>
      <c r="G1349" s="4"/>
      <c r="H1349" s="1"/>
      <c r="I1349" s="1"/>
    </row>
    <row r="1350" spans="1:9" ht="14.2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ht="14.2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ht="14.2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ht="14.2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ht="14.2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ht="14.2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ht="14.2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ht="14.2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ht="14.2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ht="14.2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ht="14.2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ht="14.2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ht="14.2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ht="14.2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ht="14.2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ht="14.2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ht="14.2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ht="14.2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ht="14.2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ht="14.2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ht="14.2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ht="14.2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ht="14.2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ht="14.2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ht="14.2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ht="14.2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ht="14.2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ht="14.2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ht="14.2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ht="14.2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ht="14.2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ht="14.2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ht="14.2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ht="14.2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ht="14.2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ht="14.2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ht="14.2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ht="14.2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ht="14.2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ht="14.2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ht="14.2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ht="14.2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ht="14.2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ht="14.2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ht="14.2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ht="14.2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ht="14.2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ht="14.2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ht="14.2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ht="14.2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ht="14.2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ht="14.2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ht="14.2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ht="14.2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ht="14.2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ht="14.2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ht="14.2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ht="14.2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ht="14.2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ht="14.2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ht="14.2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ht="14.2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ht="14.2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ht="14.2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ht="14.2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ht="14.2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ht="14.2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ht="14.2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ht="14.2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ht="14.2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ht="14.2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ht="14.2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ht="14.2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ht="14.2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ht="14.2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ht="14.2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ht="14.2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ht="14.2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ht="14.2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ht="14.2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ht="14.2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ht="14.2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ht="14.2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ht="14.2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ht="14.2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ht="14.2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ht="14.2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ht="14.2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ht="14.2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ht="14.2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ht="14.2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ht="14.2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ht="14.2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ht="14.2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ht="14.2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ht="14.2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ht="14.2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ht="14.2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ht="14.2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ht="14.2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ht="14.2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ht="14.2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ht="14.2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ht="14.2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ht="14.2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ht="14.2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ht="14.2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ht="14.2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ht="14.2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ht="14.2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ht="14.2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ht="14.2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ht="14.2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ht="14.2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ht="14.2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ht="14.2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ht="14.2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ht="14.2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ht="14.2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ht="14.2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ht="14.2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ht="14.2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ht="14.2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ht="14.2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ht="14.2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ht="14.2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ht="14.2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ht="14.2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ht="14.2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ht="14.2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ht="14.2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ht="14.2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ht="14.2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ht="14.2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ht="14.2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ht="14.2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ht="14.2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ht="14.2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ht="14.2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ht="14.2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ht="14.2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ht="14.2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ht="14.2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ht="14.2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ht="14.2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ht="14.2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ht="14.2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ht="14.2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ht="14.2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ht="14.2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ht="14.2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ht="14.2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ht="14.2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ht="14.2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ht="14.2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ht="14.2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ht="14.2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ht="14.2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ht="14.2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ht="14.2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ht="14.2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ht="14.2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ht="14.2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ht="14.2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ht="14.2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ht="14.2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ht="14.2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ht="14.2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ht="14.2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ht="14.2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ht="14.2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ht="14.2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ht="14.2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ht="14.2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ht="14.2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ht="14.2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ht="14.2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ht="14.2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ht="14.2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ht="14.2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ht="14.2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ht="14.2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ht="14.2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ht="14.2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ht="14.2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ht="14.2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ht="14.2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ht="14.25" customHeight="1" x14ac:dyDescent="0.2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ht="14.25" customHeight="1" x14ac:dyDescent="0.2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ht="14.25" customHeight="1" x14ac:dyDescent="0.2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ht="14.25" customHeight="1" x14ac:dyDescent="0.2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ht="14.25" customHeight="1" x14ac:dyDescent="0.2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ht="14.25" customHeight="1" x14ac:dyDescent="0.2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ht="14.2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ht="14.25" customHeight="1" x14ac:dyDescent="0.2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ht="14.2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ht="14.25" customHeight="1" x14ac:dyDescent="0.2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ht="14.2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ht="14.2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ht="14.2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ht="14.2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ht="14.2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ht="14.2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ht="14.2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ht="14.2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ht="14.2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ht="14.2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ht="14.2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ht="14.2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ht="14.25" customHeight="1" x14ac:dyDescent="0.2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ht="14.2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ht="14.2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ht="14.2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ht="14.2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ht="14.2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ht="14.2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ht="14.25" customHeight="1" x14ac:dyDescent="0.2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ht="14.2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ht="14.25" customHeight="1" x14ac:dyDescent="0.2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ht="14.25" customHeight="1" x14ac:dyDescent="0.2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ht="14.2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ht="14.25" customHeight="1" x14ac:dyDescent="0.2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ht="14.2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ht="14.25" customHeight="1" x14ac:dyDescent="0.2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ht="14.2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ht="14.2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ht="14.2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ht="14.2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ht="14.2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ht="14.2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ht="14.2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ht="14.2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ht="14.2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ht="14.2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ht="14.2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ht="14.2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ht="14.2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ht="14.2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ht="14.2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ht="14.2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ht="14.2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ht="14.2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ht="14.2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ht="13.5" customHeight="1" x14ac:dyDescent="0.15"/>
    <row r="1594" spans="1:9" ht="13.5" customHeight="1" x14ac:dyDescent="0.15"/>
  </sheetData>
  <autoFilter ref="A1:P1594"/>
  <sortState ref="A1:L1600">
    <sortCondition ref="A1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22"/>
  <sheetViews>
    <sheetView topLeftCell="A1177" workbookViewId="0">
      <selection activeCell="D1206" sqref="D1206"/>
    </sheetView>
  </sheetViews>
  <sheetFormatPr defaultColWidth="16" defaultRowHeight="12.75" x14ac:dyDescent="0.2"/>
  <cols>
    <col min="1" max="1" width="13.125" style="41" bestFit="1" customWidth="1"/>
    <col min="2" max="2" width="13.375" style="41" bestFit="1" customWidth="1"/>
    <col min="3" max="3" width="8.25" style="41" bestFit="1" customWidth="1"/>
    <col min="4" max="4" width="11.125" style="41" bestFit="1" customWidth="1"/>
    <col min="5" max="5" width="6.5" style="41" bestFit="1" customWidth="1"/>
    <col min="6" max="6" width="8.25" style="41" bestFit="1" customWidth="1"/>
    <col min="7" max="7" width="13.375" style="41" bestFit="1" customWidth="1"/>
    <col min="8" max="8" width="16.375" style="41" bestFit="1" customWidth="1"/>
    <col min="9" max="10" width="23.875" style="41" bestFit="1" customWidth="1"/>
    <col min="11" max="11" width="28" style="41" customWidth="1"/>
    <col min="12" max="12" width="16" style="41" customWidth="1"/>
    <col min="13" max="13" width="15.125" style="41" bestFit="1" customWidth="1"/>
    <col min="14" max="16384" width="16" style="41"/>
  </cols>
  <sheetData>
    <row r="1" spans="1:13" x14ac:dyDescent="0.2">
      <c r="A1" s="12" t="s">
        <v>3933</v>
      </c>
      <c r="B1" s="12" t="s">
        <v>5763</v>
      </c>
      <c r="C1" s="12" t="s">
        <v>3934</v>
      </c>
      <c r="D1" s="12" t="s">
        <v>3935</v>
      </c>
      <c r="E1" s="12" t="s">
        <v>3936</v>
      </c>
      <c r="F1" s="12" t="s">
        <v>3937</v>
      </c>
      <c r="G1" s="41" t="s">
        <v>5764</v>
      </c>
      <c r="H1" s="12" t="s">
        <v>5765</v>
      </c>
      <c r="I1" s="41" t="s">
        <v>8329</v>
      </c>
      <c r="J1" s="42" t="s">
        <v>8372</v>
      </c>
      <c r="K1" s="42" t="s">
        <v>8373</v>
      </c>
      <c r="L1" s="42" t="s">
        <v>8330</v>
      </c>
      <c r="M1" s="42" t="s">
        <v>8331</v>
      </c>
    </row>
    <row r="2" spans="1:13" x14ac:dyDescent="0.2">
      <c r="A2" s="12" t="s">
        <v>3938</v>
      </c>
      <c r="B2" s="12" t="s">
        <v>5759</v>
      </c>
      <c r="C2" s="12">
        <v>1314869</v>
      </c>
      <c r="D2" s="12">
        <v>1314883</v>
      </c>
      <c r="E2" s="12" t="s">
        <v>3940</v>
      </c>
      <c r="F2" s="12">
        <v>2</v>
      </c>
      <c r="G2" s="41" t="s">
        <v>73</v>
      </c>
      <c r="H2" s="12" t="s">
        <v>6628</v>
      </c>
      <c r="I2" s="41" t="s">
        <v>8328</v>
      </c>
      <c r="M2" s="41" t="e">
        <f>VLOOKUP(I2,错误mRNA总表!D:I,6,FALSE)</f>
        <v>#N/A</v>
      </c>
    </row>
    <row r="3" spans="1:13" x14ac:dyDescent="0.2">
      <c r="A3" s="12" t="s">
        <v>3938</v>
      </c>
      <c r="B3" s="12" t="s">
        <v>3939</v>
      </c>
      <c r="C3" s="12">
        <v>1314869</v>
      </c>
      <c r="D3" s="12">
        <v>1314893</v>
      </c>
      <c r="E3" s="12" t="s">
        <v>3940</v>
      </c>
      <c r="F3" s="12">
        <v>1</v>
      </c>
      <c r="G3" s="41" t="s">
        <v>73</v>
      </c>
      <c r="H3" s="12" t="s">
        <v>5766</v>
      </c>
      <c r="I3" s="41" t="s">
        <v>6629</v>
      </c>
      <c r="M3" s="41" t="e">
        <f>VLOOKUP(I3,错误mRNA总表!D:I,6,FALSE)</f>
        <v>#N/A</v>
      </c>
    </row>
    <row r="4" spans="1:13" x14ac:dyDescent="0.2">
      <c r="A4" s="12" t="s">
        <v>3941</v>
      </c>
      <c r="B4" s="12" t="s">
        <v>3942</v>
      </c>
      <c r="C4" s="12">
        <v>180682147</v>
      </c>
      <c r="D4" s="12">
        <v>180682608</v>
      </c>
      <c r="E4" s="12" t="s">
        <v>3943</v>
      </c>
      <c r="F4" s="12">
        <v>1</v>
      </c>
      <c r="G4" s="41" t="s">
        <v>186</v>
      </c>
      <c r="H4" s="12" t="s">
        <v>5767</v>
      </c>
      <c r="I4" s="41" t="s">
        <v>6630</v>
      </c>
      <c r="M4" s="41" t="e">
        <f>VLOOKUP(I4,错误mRNA总表!D:I,6,FALSE)</f>
        <v>#N/A</v>
      </c>
    </row>
    <row r="5" spans="1:13" x14ac:dyDescent="0.2">
      <c r="A5" s="12" t="s">
        <v>3944</v>
      </c>
      <c r="B5" s="12" t="s">
        <v>3942</v>
      </c>
      <c r="C5" s="12">
        <v>135468536</v>
      </c>
      <c r="D5" s="12">
        <v>135513085</v>
      </c>
      <c r="E5" s="12" t="s">
        <v>3940</v>
      </c>
      <c r="F5" s="12">
        <v>1</v>
      </c>
      <c r="G5" s="41" t="s">
        <v>186</v>
      </c>
      <c r="H5" s="12" t="s">
        <v>185</v>
      </c>
      <c r="I5" s="41" t="s">
        <v>2195</v>
      </c>
      <c r="J5" s="41" t="s">
        <v>8374</v>
      </c>
      <c r="K5" s="41" t="str">
        <f>VLOOKUP(J5,错误mRNA总表!D:J,7,FALSE)</f>
        <v>纠后正确</v>
      </c>
      <c r="L5" s="41" t="s">
        <v>3763</v>
      </c>
      <c r="M5" s="41">
        <f>VLOOKUP(I5,错误mRNA总表!D:I,6,FALSE)</f>
        <v>0</v>
      </c>
    </row>
    <row r="6" spans="1:13" x14ac:dyDescent="0.2">
      <c r="A6" s="12" t="s">
        <v>3945</v>
      </c>
      <c r="B6" s="12" t="s">
        <v>3946</v>
      </c>
      <c r="C6" s="12">
        <v>79609331</v>
      </c>
      <c r="D6" s="12">
        <v>79614937</v>
      </c>
      <c r="E6" s="12" t="s">
        <v>3943</v>
      </c>
      <c r="F6" s="12">
        <v>4</v>
      </c>
      <c r="G6" s="41" t="s">
        <v>47</v>
      </c>
      <c r="H6" s="12" t="s">
        <v>229</v>
      </c>
      <c r="I6" s="41" t="s">
        <v>6631</v>
      </c>
      <c r="J6" s="41" t="s">
        <v>2200</v>
      </c>
      <c r="K6" s="41" t="str">
        <f>VLOOKUP(J6,错误mRNA总表!D:J,7,FALSE)</f>
        <v>纠后正确</v>
      </c>
      <c r="M6" s="41" t="e">
        <f>VLOOKUP(I6,错误mRNA总表!D:I,6,FALSE)</f>
        <v>#N/A</v>
      </c>
    </row>
    <row r="7" spans="1:13" x14ac:dyDescent="0.2">
      <c r="A7" s="12" t="s">
        <v>3947</v>
      </c>
      <c r="B7" s="12" t="s">
        <v>3948</v>
      </c>
      <c r="C7" s="12">
        <v>150709297</v>
      </c>
      <c r="D7" s="12">
        <v>150713902</v>
      </c>
      <c r="E7" s="12" t="s">
        <v>3940</v>
      </c>
      <c r="F7" s="12">
        <v>1</v>
      </c>
      <c r="G7" s="41" t="s">
        <v>40</v>
      </c>
      <c r="H7" s="12" t="s">
        <v>770</v>
      </c>
      <c r="I7" s="41" t="s">
        <v>3352</v>
      </c>
      <c r="J7" s="41" t="s">
        <v>3352</v>
      </c>
      <c r="K7" s="41" t="str">
        <f>VLOOKUP(J7,错误mRNA总表!D:J,7,FALSE)</f>
        <v>纠后正确</v>
      </c>
      <c r="L7" s="41" t="s">
        <v>3763</v>
      </c>
      <c r="M7" s="41">
        <f>VLOOKUP(I7,错误mRNA总表!D:I,6,FALSE)</f>
        <v>0</v>
      </c>
    </row>
    <row r="8" spans="1:13" x14ac:dyDescent="0.2">
      <c r="A8" s="12" t="s">
        <v>3949</v>
      </c>
      <c r="B8" s="12" t="s">
        <v>3950</v>
      </c>
      <c r="C8" s="12">
        <v>288498</v>
      </c>
      <c r="D8" s="12">
        <v>288670</v>
      </c>
      <c r="E8" s="12" t="s">
        <v>3943</v>
      </c>
      <c r="F8" s="12">
        <v>2</v>
      </c>
      <c r="G8" s="12" t="s">
        <v>3950</v>
      </c>
      <c r="H8" s="12" t="s">
        <v>3659</v>
      </c>
      <c r="I8" s="41" t="s">
        <v>6632</v>
      </c>
      <c r="M8" s="41" t="e">
        <f>VLOOKUP(I8,错误mRNA总表!D:I,6,FALSE)</f>
        <v>#N/A</v>
      </c>
    </row>
    <row r="9" spans="1:13" x14ac:dyDescent="0.2">
      <c r="A9" s="12" t="s">
        <v>3951</v>
      </c>
      <c r="B9" s="12" t="s">
        <v>3952</v>
      </c>
      <c r="C9" s="12">
        <v>134946</v>
      </c>
      <c r="D9" s="12">
        <v>147897</v>
      </c>
      <c r="E9" s="12" t="s">
        <v>3943</v>
      </c>
      <c r="F9" s="12">
        <v>1</v>
      </c>
      <c r="G9" s="12" t="s">
        <v>3952</v>
      </c>
      <c r="H9" s="12" t="s">
        <v>3649</v>
      </c>
      <c r="I9" s="41" t="s">
        <v>6633</v>
      </c>
      <c r="M9" s="41" t="e">
        <f>VLOOKUP(I9,错误mRNA总表!D:I,6,FALSE)</f>
        <v>#N/A</v>
      </c>
    </row>
    <row r="10" spans="1:13" x14ac:dyDescent="0.2">
      <c r="A10" s="12" t="s">
        <v>3953</v>
      </c>
      <c r="B10" s="12" t="s">
        <v>3954</v>
      </c>
      <c r="C10" s="12">
        <v>76649706</v>
      </c>
      <c r="D10" s="12">
        <v>76650069</v>
      </c>
      <c r="E10" s="12" t="s">
        <v>3940</v>
      </c>
      <c r="F10" s="12">
        <v>23</v>
      </c>
      <c r="G10" s="41" t="s">
        <v>569</v>
      </c>
      <c r="H10" s="12" t="s">
        <v>5768</v>
      </c>
      <c r="I10" s="41" t="s">
        <v>6634</v>
      </c>
      <c r="M10" s="41" t="e">
        <f>VLOOKUP(I10,错误mRNA总表!D:I,6,FALSE)</f>
        <v>#N/A</v>
      </c>
    </row>
    <row r="11" spans="1:13" x14ac:dyDescent="0.2">
      <c r="A11" s="12" t="s">
        <v>3953</v>
      </c>
      <c r="B11" s="12" t="s">
        <v>3954</v>
      </c>
      <c r="C11" s="12">
        <v>76649706</v>
      </c>
      <c r="D11" s="12">
        <v>76657500</v>
      </c>
      <c r="E11" s="12" t="s">
        <v>3940</v>
      </c>
      <c r="F11" s="12">
        <v>96</v>
      </c>
      <c r="G11" s="41" t="s">
        <v>569</v>
      </c>
      <c r="H11" s="12" t="s">
        <v>5768</v>
      </c>
      <c r="I11" s="41" t="s">
        <v>6634</v>
      </c>
      <c r="M11" s="41" t="e">
        <f>VLOOKUP(I11,错误mRNA总表!D:I,6,FALSE)</f>
        <v>#N/A</v>
      </c>
    </row>
    <row r="12" spans="1:13" x14ac:dyDescent="0.2">
      <c r="A12" s="12" t="s">
        <v>3955</v>
      </c>
      <c r="B12" s="12" t="s">
        <v>3948</v>
      </c>
      <c r="C12" s="12">
        <v>66205643</v>
      </c>
      <c r="D12" s="12">
        <v>66274377</v>
      </c>
      <c r="E12" s="12" t="s">
        <v>3940</v>
      </c>
      <c r="F12" s="12">
        <v>2</v>
      </c>
      <c r="G12" s="41" t="s">
        <v>40</v>
      </c>
      <c r="H12" s="12" t="s">
        <v>5769</v>
      </c>
      <c r="I12" s="41" t="s">
        <v>6635</v>
      </c>
      <c r="M12" s="41" t="e">
        <f>VLOOKUP(I12,错误mRNA总表!D:I,6,FALSE)</f>
        <v>#N/A</v>
      </c>
    </row>
    <row r="13" spans="1:13" x14ac:dyDescent="0.2">
      <c r="A13" s="12" t="s">
        <v>3956</v>
      </c>
      <c r="B13" s="12" t="s">
        <v>3957</v>
      </c>
      <c r="C13" s="12">
        <v>27676440</v>
      </c>
      <c r="D13" s="12">
        <v>27676545</v>
      </c>
      <c r="E13" s="12" t="s">
        <v>3943</v>
      </c>
      <c r="F13" s="12">
        <v>1</v>
      </c>
      <c r="G13" s="41" t="s">
        <v>36</v>
      </c>
      <c r="H13" s="12" t="s">
        <v>5770</v>
      </c>
      <c r="I13" s="41" t="s">
        <v>6636</v>
      </c>
      <c r="M13" s="41" t="e">
        <f>VLOOKUP(I13,错误mRNA总表!D:I,6,FALSE)</f>
        <v>#N/A</v>
      </c>
    </row>
    <row r="14" spans="1:13" x14ac:dyDescent="0.2">
      <c r="A14" s="12" t="s">
        <v>3956</v>
      </c>
      <c r="B14" s="12" t="s">
        <v>3957</v>
      </c>
      <c r="C14" s="12">
        <v>27676440</v>
      </c>
      <c r="D14" s="12">
        <v>27679010</v>
      </c>
      <c r="E14" s="12" t="s">
        <v>3943</v>
      </c>
      <c r="F14" s="12">
        <v>1</v>
      </c>
      <c r="G14" s="41" t="s">
        <v>36</v>
      </c>
      <c r="H14" s="12" t="s">
        <v>5770</v>
      </c>
      <c r="I14" s="41" t="s">
        <v>6636</v>
      </c>
      <c r="M14" s="41" t="e">
        <f>VLOOKUP(I14,错误mRNA总表!D:I,6,FALSE)</f>
        <v>#N/A</v>
      </c>
    </row>
    <row r="15" spans="1:13" x14ac:dyDescent="0.2">
      <c r="A15" s="12" t="s">
        <v>3958</v>
      </c>
      <c r="B15" s="12" t="s">
        <v>3957</v>
      </c>
      <c r="C15" s="12">
        <v>111652919</v>
      </c>
      <c r="D15" s="12">
        <v>111742145</v>
      </c>
      <c r="E15" s="12" t="s">
        <v>3943</v>
      </c>
      <c r="F15" s="12">
        <v>1</v>
      </c>
      <c r="G15" s="41" t="s">
        <v>36</v>
      </c>
      <c r="H15" s="12" t="s">
        <v>35</v>
      </c>
      <c r="I15" s="41" t="s">
        <v>2074</v>
      </c>
      <c r="J15" s="41" t="s">
        <v>2074</v>
      </c>
      <c r="K15" s="41" t="str">
        <f>VLOOKUP(J15,错误mRNA总表!D:J,7,FALSE)</f>
        <v>纠后正确</v>
      </c>
      <c r="L15" s="41" t="s">
        <v>3763</v>
      </c>
      <c r="M15" s="41">
        <f>VLOOKUP(I15,错误mRNA总表!D:I,6,FALSE)</f>
        <v>0</v>
      </c>
    </row>
    <row r="16" spans="1:13" x14ac:dyDescent="0.2">
      <c r="A16" s="12" t="s">
        <v>3959</v>
      </c>
      <c r="B16" s="12" t="s">
        <v>3960</v>
      </c>
      <c r="C16" s="12">
        <v>165232</v>
      </c>
      <c r="D16" s="12">
        <v>169309</v>
      </c>
      <c r="E16" s="12" t="s">
        <v>3943</v>
      </c>
      <c r="F16" s="12">
        <v>3</v>
      </c>
      <c r="G16" s="12" t="s">
        <v>3960</v>
      </c>
      <c r="H16" s="12" t="s">
        <v>3650</v>
      </c>
      <c r="I16" s="41" t="s">
        <v>6637</v>
      </c>
      <c r="M16" s="41" t="e">
        <f>VLOOKUP(I16,错误mRNA总表!D:I,6,FALSE)</f>
        <v>#N/A</v>
      </c>
    </row>
    <row r="17" spans="1:13" x14ac:dyDescent="0.2">
      <c r="A17" s="12" t="s">
        <v>3961</v>
      </c>
      <c r="B17" s="12" t="s">
        <v>3962</v>
      </c>
      <c r="C17" s="12">
        <v>35757224</v>
      </c>
      <c r="D17" s="12">
        <v>35807790</v>
      </c>
      <c r="E17" s="12" t="s">
        <v>3940</v>
      </c>
      <c r="F17" s="12">
        <v>29</v>
      </c>
      <c r="G17" s="41" t="s">
        <v>53</v>
      </c>
      <c r="H17" s="12" t="s">
        <v>55</v>
      </c>
      <c r="I17" s="41" t="s">
        <v>2083</v>
      </c>
      <c r="J17" s="41" t="s">
        <v>2083</v>
      </c>
      <c r="K17" s="41" t="str">
        <f>VLOOKUP(J17,错误mRNA总表!D:J,7,FALSE)</f>
        <v>纠后正确</v>
      </c>
      <c r="L17" s="41" t="s">
        <v>3763</v>
      </c>
      <c r="M17" s="41">
        <f>VLOOKUP(I17,错误mRNA总表!D:I,6,FALSE)</f>
        <v>0</v>
      </c>
    </row>
    <row r="18" spans="1:13" x14ac:dyDescent="0.2">
      <c r="A18" s="12" t="s">
        <v>3963</v>
      </c>
      <c r="B18" s="12" t="s">
        <v>3964</v>
      </c>
      <c r="C18" s="12">
        <v>4760078</v>
      </c>
      <c r="D18" s="12">
        <v>4760131</v>
      </c>
      <c r="E18" s="12" t="s">
        <v>3940</v>
      </c>
      <c r="F18" s="12">
        <v>1</v>
      </c>
      <c r="G18" s="12" t="s">
        <v>3964</v>
      </c>
      <c r="H18" s="12" t="s">
        <v>3591</v>
      </c>
      <c r="I18" s="41" t="s">
        <v>6638</v>
      </c>
      <c r="M18" s="41" t="e">
        <f>VLOOKUP(I18,错误mRNA总表!D:I,6,FALSE)</f>
        <v>#N/A</v>
      </c>
    </row>
    <row r="19" spans="1:13" x14ac:dyDescent="0.2">
      <c r="A19" s="12" t="s">
        <v>3965</v>
      </c>
      <c r="B19" s="12" t="s">
        <v>3966</v>
      </c>
      <c r="C19" s="12">
        <v>20778874</v>
      </c>
      <c r="D19" s="12">
        <v>20779973</v>
      </c>
      <c r="E19" s="12" t="s">
        <v>3940</v>
      </c>
      <c r="F19" s="12">
        <v>1</v>
      </c>
      <c r="G19" s="41" t="s">
        <v>43</v>
      </c>
      <c r="H19" s="12" t="s">
        <v>6619</v>
      </c>
      <c r="I19" s="41" t="s">
        <v>6639</v>
      </c>
      <c r="M19" s="41" t="e">
        <f>VLOOKUP(I19,错误mRNA总表!D:I,6,FALSE)</f>
        <v>#N/A</v>
      </c>
    </row>
    <row r="20" spans="1:13" x14ac:dyDescent="0.2">
      <c r="A20" s="12" t="s">
        <v>3965</v>
      </c>
      <c r="B20" s="12" t="s">
        <v>3966</v>
      </c>
      <c r="C20" s="12">
        <v>20778874</v>
      </c>
      <c r="D20" s="12">
        <v>20780024</v>
      </c>
      <c r="E20" s="12" t="s">
        <v>3940</v>
      </c>
      <c r="F20" s="12">
        <v>1</v>
      </c>
      <c r="G20" s="41" t="s">
        <v>43</v>
      </c>
      <c r="H20" s="12" t="s">
        <v>6619</v>
      </c>
      <c r="I20" s="41" t="s">
        <v>6639</v>
      </c>
      <c r="M20" s="41" t="e">
        <f>VLOOKUP(I20,错误mRNA总表!D:I,6,FALSE)</f>
        <v>#N/A</v>
      </c>
    </row>
    <row r="21" spans="1:13" x14ac:dyDescent="0.2">
      <c r="A21" s="12" t="s">
        <v>3965</v>
      </c>
      <c r="B21" s="12" t="s">
        <v>3966</v>
      </c>
      <c r="C21" s="12">
        <v>20778874</v>
      </c>
      <c r="D21" s="12">
        <v>20780029</v>
      </c>
      <c r="E21" s="12" t="s">
        <v>3940</v>
      </c>
      <c r="F21" s="12">
        <v>1</v>
      </c>
      <c r="G21" s="41" t="s">
        <v>43</v>
      </c>
      <c r="H21" s="12" t="s">
        <v>6619</v>
      </c>
      <c r="I21" s="41" t="s">
        <v>6639</v>
      </c>
      <c r="M21" s="41" t="e">
        <f>VLOOKUP(I21,错误mRNA总表!D:I,6,FALSE)</f>
        <v>#N/A</v>
      </c>
    </row>
    <row r="22" spans="1:13" x14ac:dyDescent="0.2">
      <c r="A22" s="12" t="s">
        <v>3967</v>
      </c>
      <c r="B22" s="12" t="s">
        <v>3939</v>
      </c>
      <c r="C22" s="12">
        <v>148685375</v>
      </c>
      <c r="D22" s="12">
        <v>148713418</v>
      </c>
      <c r="E22" s="12" t="s">
        <v>3940</v>
      </c>
      <c r="F22" s="12">
        <v>27</v>
      </c>
      <c r="G22" s="41" t="s">
        <v>73</v>
      </c>
      <c r="H22" s="12" t="s">
        <v>5771</v>
      </c>
      <c r="I22" s="41" t="s">
        <v>6640</v>
      </c>
      <c r="M22" s="41" t="e">
        <f>VLOOKUP(I22,错误mRNA总表!D:I,6,FALSE)</f>
        <v>#N/A</v>
      </c>
    </row>
    <row r="23" spans="1:13" x14ac:dyDescent="0.2">
      <c r="A23" s="12" t="s">
        <v>3968</v>
      </c>
      <c r="B23" s="12" t="s">
        <v>3969</v>
      </c>
      <c r="C23" s="12">
        <v>2892376</v>
      </c>
      <c r="D23" s="12">
        <v>2905672</v>
      </c>
      <c r="E23" s="12" t="s">
        <v>3943</v>
      </c>
      <c r="F23" s="12">
        <v>4</v>
      </c>
      <c r="G23" s="12" t="s">
        <v>3969</v>
      </c>
      <c r="H23" s="12" t="s">
        <v>3563</v>
      </c>
      <c r="I23" s="41" t="s">
        <v>6641</v>
      </c>
      <c r="M23" s="41" t="e">
        <f>VLOOKUP(I23,错误mRNA总表!D:I,6,FALSE)</f>
        <v>#N/A</v>
      </c>
    </row>
    <row r="24" spans="1:13" x14ac:dyDescent="0.2">
      <c r="A24" s="12" t="s">
        <v>3970</v>
      </c>
      <c r="B24" s="12" t="s">
        <v>3957</v>
      </c>
      <c r="C24" s="12">
        <v>1151580</v>
      </c>
      <c r="D24" s="12">
        <v>1162361</v>
      </c>
      <c r="E24" s="12" t="s">
        <v>3940</v>
      </c>
      <c r="F24" s="12">
        <v>4028</v>
      </c>
      <c r="G24" s="41" t="s">
        <v>36</v>
      </c>
      <c r="H24" s="12" t="s">
        <v>5772</v>
      </c>
      <c r="I24" s="41" t="s">
        <v>6642</v>
      </c>
      <c r="M24" s="41" t="e">
        <f>VLOOKUP(I24,错误mRNA总表!D:I,6,FALSE)</f>
        <v>#N/A</v>
      </c>
    </row>
    <row r="25" spans="1:13" x14ac:dyDescent="0.2">
      <c r="A25" s="12" t="s">
        <v>3970</v>
      </c>
      <c r="B25" s="12" t="s">
        <v>3957</v>
      </c>
      <c r="C25" s="12">
        <v>1151580</v>
      </c>
      <c r="D25" s="12">
        <v>1162547</v>
      </c>
      <c r="E25" s="12" t="s">
        <v>3940</v>
      </c>
      <c r="F25" s="12">
        <v>7071</v>
      </c>
      <c r="G25" s="41" t="s">
        <v>36</v>
      </c>
      <c r="H25" s="12" t="s">
        <v>5772</v>
      </c>
      <c r="I25" s="41" t="s">
        <v>6642</v>
      </c>
      <c r="M25" s="41" t="e">
        <f>VLOOKUP(I25,错误mRNA总表!D:I,6,FALSE)</f>
        <v>#N/A</v>
      </c>
    </row>
    <row r="26" spans="1:13" x14ac:dyDescent="0.2">
      <c r="A26" s="12" t="s">
        <v>3970</v>
      </c>
      <c r="B26" s="12" t="s">
        <v>3957</v>
      </c>
      <c r="C26" s="12">
        <v>1151580</v>
      </c>
      <c r="D26" s="12">
        <v>1212784</v>
      </c>
      <c r="E26" s="12" t="s">
        <v>3940</v>
      </c>
      <c r="F26" s="12">
        <v>409</v>
      </c>
      <c r="G26" s="41" t="s">
        <v>36</v>
      </c>
      <c r="H26" s="12" t="s">
        <v>5772</v>
      </c>
      <c r="I26" s="41" t="s">
        <v>6642</v>
      </c>
      <c r="M26" s="41" t="e">
        <f>VLOOKUP(I26,错误mRNA总表!D:I,6,FALSE)</f>
        <v>#N/A</v>
      </c>
    </row>
    <row r="27" spans="1:13" x14ac:dyDescent="0.2">
      <c r="A27" s="12" t="s">
        <v>3970</v>
      </c>
      <c r="B27" s="12" t="s">
        <v>3957</v>
      </c>
      <c r="C27" s="12">
        <v>1151580</v>
      </c>
      <c r="D27" s="12">
        <v>1216317</v>
      </c>
      <c r="E27" s="12" t="s">
        <v>3940</v>
      </c>
      <c r="F27" s="12">
        <v>1</v>
      </c>
      <c r="G27" s="41" t="s">
        <v>36</v>
      </c>
      <c r="H27" s="12" t="s">
        <v>5772</v>
      </c>
      <c r="I27" s="41" t="s">
        <v>6642</v>
      </c>
      <c r="M27" s="41" t="e">
        <f>VLOOKUP(I27,错误mRNA总表!D:I,6,FALSE)</f>
        <v>#N/A</v>
      </c>
    </row>
    <row r="28" spans="1:13" x14ac:dyDescent="0.2">
      <c r="A28" s="12" t="s">
        <v>3970</v>
      </c>
      <c r="B28" s="12" t="s">
        <v>3957</v>
      </c>
      <c r="C28" s="12">
        <v>1151580</v>
      </c>
      <c r="D28" s="12">
        <v>1216337</v>
      </c>
      <c r="E28" s="12" t="s">
        <v>3943</v>
      </c>
      <c r="F28" s="12">
        <v>1</v>
      </c>
      <c r="G28" s="41" t="s">
        <v>36</v>
      </c>
      <c r="H28" s="12" t="s">
        <v>5772</v>
      </c>
      <c r="I28" s="41" t="s">
        <v>6642</v>
      </c>
      <c r="M28" s="41" t="e">
        <f>VLOOKUP(I28,错误mRNA总表!D:I,6,FALSE)</f>
        <v>#N/A</v>
      </c>
    </row>
    <row r="29" spans="1:13" x14ac:dyDescent="0.2">
      <c r="A29" s="12" t="s">
        <v>3971</v>
      </c>
      <c r="B29" s="12" t="s">
        <v>3957</v>
      </c>
      <c r="C29" s="12">
        <v>46638826</v>
      </c>
      <c r="D29" s="12">
        <v>46694313</v>
      </c>
      <c r="E29" s="12" t="s">
        <v>3943</v>
      </c>
      <c r="F29" s="12">
        <v>2</v>
      </c>
      <c r="G29" s="41" t="s">
        <v>36</v>
      </c>
      <c r="H29" s="12" t="s">
        <v>5773</v>
      </c>
      <c r="I29" s="41" t="s">
        <v>6643</v>
      </c>
      <c r="M29" s="41" t="e">
        <f>VLOOKUP(I29,错误mRNA总表!D:I,6,FALSE)</f>
        <v>#N/A</v>
      </c>
    </row>
    <row r="30" spans="1:13" x14ac:dyDescent="0.2">
      <c r="A30" s="12" t="s">
        <v>3972</v>
      </c>
      <c r="B30" s="12" t="s">
        <v>3973</v>
      </c>
      <c r="C30" s="12">
        <v>1570603</v>
      </c>
      <c r="D30" s="12">
        <v>1577365</v>
      </c>
      <c r="E30" s="12" t="s">
        <v>3940</v>
      </c>
      <c r="F30" s="12">
        <v>259</v>
      </c>
      <c r="G30" s="41" t="s">
        <v>139</v>
      </c>
      <c r="H30" s="12" t="s">
        <v>3760</v>
      </c>
      <c r="I30" s="41" t="s">
        <v>6644</v>
      </c>
      <c r="M30" s="41" t="e">
        <f>VLOOKUP(I30,错误mRNA总表!D:I,6,FALSE)</f>
        <v>#N/A</v>
      </c>
    </row>
    <row r="31" spans="1:13" x14ac:dyDescent="0.2">
      <c r="A31" s="12" t="s">
        <v>3972</v>
      </c>
      <c r="B31" s="12" t="s">
        <v>3973</v>
      </c>
      <c r="C31" s="12">
        <v>1570603</v>
      </c>
      <c r="D31" s="12">
        <v>1570917</v>
      </c>
      <c r="E31" s="12" t="s">
        <v>3940</v>
      </c>
      <c r="F31" s="12">
        <v>13</v>
      </c>
      <c r="G31" s="41" t="s">
        <v>139</v>
      </c>
      <c r="H31" s="12" t="s">
        <v>3760</v>
      </c>
      <c r="I31" s="41" t="s">
        <v>6644</v>
      </c>
      <c r="M31" s="41" t="e">
        <f>VLOOKUP(I31,错误mRNA总表!D:I,6,FALSE)</f>
        <v>#N/A</v>
      </c>
    </row>
    <row r="32" spans="1:13" x14ac:dyDescent="0.2">
      <c r="A32" s="12" t="s">
        <v>3972</v>
      </c>
      <c r="B32" s="12" t="s">
        <v>3973</v>
      </c>
      <c r="C32" s="12">
        <v>1570603</v>
      </c>
      <c r="D32" s="12">
        <v>1570922</v>
      </c>
      <c r="E32" s="12" t="s">
        <v>3940</v>
      </c>
      <c r="F32" s="12">
        <v>1</v>
      </c>
      <c r="G32" s="41" t="s">
        <v>139</v>
      </c>
      <c r="H32" s="12" t="s">
        <v>3760</v>
      </c>
      <c r="I32" s="41" t="s">
        <v>6644</v>
      </c>
      <c r="M32" s="41" t="e">
        <f>VLOOKUP(I32,错误mRNA总表!D:I,6,FALSE)</f>
        <v>#N/A</v>
      </c>
    </row>
    <row r="33" spans="1:13" x14ac:dyDescent="0.2">
      <c r="A33" s="12" t="s">
        <v>3974</v>
      </c>
      <c r="B33" s="12" t="s">
        <v>3969</v>
      </c>
      <c r="C33" s="12">
        <v>3991726</v>
      </c>
      <c r="D33" s="12">
        <v>3996751</v>
      </c>
      <c r="E33" s="12" t="s">
        <v>3940</v>
      </c>
      <c r="F33" s="12">
        <v>1</v>
      </c>
      <c r="G33" s="12" t="s">
        <v>3969</v>
      </c>
      <c r="H33" s="12" t="s">
        <v>3582</v>
      </c>
      <c r="I33" s="41" t="s">
        <v>6645</v>
      </c>
      <c r="M33" s="41" t="e">
        <f>VLOOKUP(I33,错误mRNA总表!D:I,6,FALSE)</f>
        <v>#N/A</v>
      </c>
    </row>
    <row r="34" spans="1:13" x14ac:dyDescent="0.2">
      <c r="A34" s="12" t="s">
        <v>3975</v>
      </c>
      <c r="B34" s="12" t="s">
        <v>3939</v>
      </c>
      <c r="C34" s="12">
        <v>50838682</v>
      </c>
      <c r="D34" s="12">
        <v>50851819</v>
      </c>
      <c r="E34" s="12" t="s">
        <v>3940</v>
      </c>
      <c r="F34" s="12">
        <v>9</v>
      </c>
      <c r="G34" s="41" t="s">
        <v>73</v>
      </c>
      <c r="H34" s="12" t="s">
        <v>5774</v>
      </c>
      <c r="I34" s="41" t="s">
        <v>6646</v>
      </c>
      <c r="M34" s="41" t="e">
        <f>VLOOKUP(I34,错误mRNA总表!D:I,6,FALSE)</f>
        <v>#N/A</v>
      </c>
    </row>
    <row r="35" spans="1:13" x14ac:dyDescent="0.2">
      <c r="A35" s="12" t="s">
        <v>3976</v>
      </c>
      <c r="B35" s="12" t="s">
        <v>3973</v>
      </c>
      <c r="C35" s="12">
        <v>109102971</v>
      </c>
      <c r="D35" s="12">
        <v>109181311</v>
      </c>
      <c r="E35" s="12" t="s">
        <v>3940</v>
      </c>
      <c r="F35" s="12">
        <v>2</v>
      </c>
      <c r="G35" s="41" t="s">
        <v>139</v>
      </c>
      <c r="H35" s="12" t="s">
        <v>6369</v>
      </c>
      <c r="I35" s="41" t="s">
        <v>6647</v>
      </c>
      <c r="M35" s="41" t="e">
        <f>VLOOKUP(I35,错误mRNA总表!D:I,6,FALSE)</f>
        <v>#N/A</v>
      </c>
    </row>
    <row r="36" spans="1:13" x14ac:dyDescent="0.2">
      <c r="A36" s="12" t="s">
        <v>3977</v>
      </c>
      <c r="B36" s="12" t="s">
        <v>3978</v>
      </c>
      <c r="C36" s="12">
        <v>50306427</v>
      </c>
      <c r="D36" s="12">
        <v>50306757</v>
      </c>
      <c r="E36" s="12" t="s">
        <v>3940</v>
      </c>
      <c r="F36" s="12">
        <v>1</v>
      </c>
      <c r="G36" s="41" t="s">
        <v>86</v>
      </c>
      <c r="H36" s="12" t="s">
        <v>5775</v>
      </c>
      <c r="I36" s="41" t="s">
        <v>6648</v>
      </c>
      <c r="M36" s="41" t="e">
        <f>VLOOKUP(I36,错误mRNA总表!D:I,6,FALSE)</f>
        <v>#N/A</v>
      </c>
    </row>
    <row r="37" spans="1:13" x14ac:dyDescent="0.2">
      <c r="A37" s="12" t="s">
        <v>3979</v>
      </c>
      <c r="B37" s="12" t="s">
        <v>3942</v>
      </c>
      <c r="C37" s="12">
        <v>180682147</v>
      </c>
      <c r="D37" s="12">
        <v>180682608</v>
      </c>
      <c r="E37" s="12" t="s">
        <v>3943</v>
      </c>
      <c r="F37" s="12">
        <v>1</v>
      </c>
      <c r="G37" s="41" t="s">
        <v>186</v>
      </c>
      <c r="H37" s="12" t="s">
        <v>6492</v>
      </c>
      <c r="I37" s="41" t="s">
        <v>6649</v>
      </c>
      <c r="M37" s="41" t="e">
        <f>VLOOKUP(I37,错误mRNA总表!D:I,6,FALSE)</f>
        <v>#N/A</v>
      </c>
    </row>
    <row r="38" spans="1:13" x14ac:dyDescent="0.2">
      <c r="A38" s="12" t="s">
        <v>3980</v>
      </c>
      <c r="B38" s="12" t="s">
        <v>3981</v>
      </c>
      <c r="C38" s="12">
        <v>32679</v>
      </c>
      <c r="D38" s="12">
        <v>57380</v>
      </c>
      <c r="E38" s="12" t="s">
        <v>3940</v>
      </c>
      <c r="F38" s="12">
        <v>273</v>
      </c>
      <c r="G38" s="12" t="s">
        <v>3981</v>
      </c>
      <c r="H38" s="12" t="s">
        <v>5776</v>
      </c>
      <c r="I38" s="41" t="s">
        <v>6650</v>
      </c>
      <c r="M38" s="41" t="e">
        <f>VLOOKUP(I38,错误mRNA总表!D:I,6,FALSE)</f>
        <v>#N/A</v>
      </c>
    </row>
    <row r="39" spans="1:13" x14ac:dyDescent="0.2">
      <c r="A39" s="12" t="s">
        <v>3980</v>
      </c>
      <c r="B39" s="12" t="s">
        <v>3981</v>
      </c>
      <c r="C39" s="12">
        <v>32679</v>
      </c>
      <c r="D39" s="12">
        <v>60328</v>
      </c>
      <c r="E39" s="12" t="s">
        <v>3940</v>
      </c>
      <c r="F39" s="12">
        <v>2</v>
      </c>
      <c r="G39" s="12" t="s">
        <v>3981</v>
      </c>
      <c r="H39" s="12" t="s">
        <v>5776</v>
      </c>
      <c r="I39" s="41" t="s">
        <v>6650</v>
      </c>
      <c r="M39" s="41" t="e">
        <f>VLOOKUP(I39,错误mRNA总表!D:I,6,FALSE)</f>
        <v>#N/A</v>
      </c>
    </row>
    <row r="40" spans="1:13" x14ac:dyDescent="0.2">
      <c r="A40" s="12" t="s">
        <v>3980</v>
      </c>
      <c r="B40" s="12" t="s">
        <v>3981</v>
      </c>
      <c r="C40" s="12">
        <v>32679</v>
      </c>
      <c r="D40" s="12">
        <v>60331</v>
      </c>
      <c r="E40" s="12" t="s">
        <v>3940</v>
      </c>
      <c r="F40" s="12">
        <v>1</v>
      </c>
      <c r="G40" s="12" t="s">
        <v>3981</v>
      </c>
      <c r="H40" s="12" t="s">
        <v>5776</v>
      </c>
      <c r="I40" s="41" t="s">
        <v>6650</v>
      </c>
      <c r="M40" s="41" t="e">
        <f>VLOOKUP(I40,错误mRNA总表!D:I,6,FALSE)</f>
        <v>#N/A</v>
      </c>
    </row>
    <row r="41" spans="1:13" x14ac:dyDescent="0.2">
      <c r="A41" s="12" t="s">
        <v>3980</v>
      </c>
      <c r="B41" s="12" t="s">
        <v>3981</v>
      </c>
      <c r="C41" s="12">
        <v>32679</v>
      </c>
      <c r="D41" s="12">
        <v>51291</v>
      </c>
      <c r="E41" s="12" t="s">
        <v>3940</v>
      </c>
      <c r="F41" s="12">
        <v>548</v>
      </c>
      <c r="G41" s="12" t="s">
        <v>3981</v>
      </c>
      <c r="H41" s="12" t="s">
        <v>5776</v>
      </c>
      <c r="I41" s="41" t="s">
        <v>6650</v>
      </c>
      <c r="M41" s="41" t="e">
        <f>VLOOKUP(I41,错误mRNA总表!D:I,6,FALSE)</f>
        <v>#N/A</v>
      </c>
    </row>
    <row r="42" spans="1:13" x14ac:dyDescent="0.2">
      <c r="A42" s="12" t="s">
        <v>3980</v>
      </c>
      <c r="B42" s="12" t="s">
        <v>3981</v>
      </c>
      <c r="C42" s="12">
        <v>32679</v>
      </c>
      <c r="D42" s="12">
        <v>57373</v>
      </c>
      <c r="E42" s="12" t="s">
        <v>3940</v>
      </c>
      <c r="F42" s="12">
        <v>2</v>
      </c>
      <c r="G42" s="12" t="s">
        <v>3981</v>
      </c>
      <c r="H42" s="12" t="s">
        <v>5776</v>
      </c>
      <c r="I42" s="41" t="s">
        <v>6650</v>
      </c>
      <c r="M42" s="41" t="e">
        <f>VLOOKUP(I42,错误mRNA总表!D:I,6,FALSE)</f>
        <v>#N/A</v>
      </c>
    </row>
    <row r="43" spans="1:13" x14ac:dyDescent="0.2">
      <c r="A43" s="12" t="s">
        <v>3980</v>
      </c>
      <c r="B43" s="12" t="s">
        <v>3981</v>
      </c>
      <c r="C43" s="12">
        <v>32679</v>
      </c>
      <c r="D43" s="12">
        <v>43597</v>
      </c>
      <c r="E43" s="12" t="s">
        <v>3940</v>
      </c>
      <c r="F43" s="12">
        <v>577</v>
      </c>
      <c r="G43" s="12" t="s">
        <v>3981</v>
      </c>
      <c r="H43" s="12" t="s">
        <v>5776</v>
      </c>
      <c r="I43" s="41" t="s">
        <v>6650</v>
      </c>
      <c r="M43" s="41" t="e">
        <f>VLOOKUP(I43,错误mRNA总表!D:I,6,FALSE)</f>
        <v>#N/A</v>
      </c>
    </row>
    <row r="44" spans="1:13" x14ac:dyDescent="0.2">
      <c r="A44" s="12" t="s">
        <v>3980</v>
      </c>
      <c r="B44" s="12" t="s">
        <v>3981</v>
      </c>
      <c r="C44" s="12">
        <v>32679</v>
      </c>
      <c r="D44" s="12">
        <v>37416</v>
      </c>
      <c r="E44" s="12" t="s">
        <v>3940</v>
      </c>
      <c r="F44" s="12">
        <v>447</v>
      </c>
      <c r="G44" s="12" t="s">
        <v>3981</v>
      </c>
      <c r="H44" s="12" t="s">
        <v>5776</v>
      </c>
      <c r="I44" s="41" t="s">
        <v>6650</v>
      </c>
      <c r="M44" s="41" t="e">
        <f>VLOOKUP(I44,错误mRNA总表!D:I,6,FALSE)</f>
        <v>#N/A</v>
      </c>
    </row>
    <row r="45" spans="1:13" x14ac:dyDescent="0.2">
      <c r="A45" s="12" t="s">
        <v>3980</v>
      </c>
      <c r="B45" s="12" t="s">
        <v>3981</v>
      </c>
      <c r="C45" s="12">
        <v>32679</v>
      </c>
      <c r="D45" s="12">
        <v>37408</v>
      </c>
      <c r="E45" s="12" t="s">
        <v>3943</v>
      </c>
      <c r="F45" s="12">
        <v>3</v>
      </c>
      <c r="G45" s="12" t="s">
        <v>3981</v>
      </c>
      <c r="H45" s="12" t="s">
        <v>5776</v>
      </c>
      <c r="I45" s="41" t="s">
        <v>6650</v>
      </c>
      <c r="M45" s="41" t="e">
        <f>VLOOKUP(I45,错误mRNA总表!D:I,6,FALSE)</f>
        <v>#N/A</v>
      </c>
    </row>
    <row r="46" spans="1:13" x14ac:dyDescent="0.2">
      <c r="A46" s="12" t="s">
        <v>3982</v>
      </c>
      <c r="B46" s="12" t="s">
        <v>3948</v>
      </c>
      <c r="C46" s="12">
        <v>139246316</v>
      </c>
      <c r="D46" s="12">
        <v>139316493</v>
      </c>
      <c r="E46" s="12" t="s">
        <v>3940</v>
      </c>
      <c r="F46" s="12">
        <v>962</v>
      </c>
      <c r="G46" s="41" t="s">
        <v>40</v>
      </c>
      <c r="H46" s="12" t="s">
        <v>248</v>
      </c>
      <c r="I46" s="41" t="s">
        <v>2250</v>
      </c>
      <c r="J46" s="41" t="s">
        <v>2250</v>
      </c>
      <c r="K46" s="41" t="str">
        <f>VLOOKUP(J46,错误mRNA总表!D:J,7,FALSE)</f>
        <v>多321个氨基酸，但rs号是多350个chr7:139257673-139316492</v>
      </c>
      <c r="L46" s="41" t="s">
        <v>8332</v>
      </c>
      <c r="M46" s="41">
        <f>VLOOKUP(I46,错误mRNA总表!D:I,6,FALSE)</f>
        <v>0</v>
      </c>
    </row>
    <row r="47" spans="1:13" x14ac:dyDescent="0.2">
      <c r="A47" s="12" t="s">
        <v>3982</v>
      </c>
      <c r="B47" s="12" t="s">
        <v>3948</v>
      </c>
      <c r="C47" s="12">
        <v>139246316</v>
      </c>
      <c r="D47" s="12">
        <v>139316474</v>
      </c>
      <c r="E47" s="12" t="s">
        <v>3940</v>
      </c>
      <c r="F47" s="12">
        <v>1</v>
      </c>
      <c r="G47" s="41" t="s">
        <v>40</v>
      </c>
      <c r="H47" s="12" t="s">
        <v>248</v>
      </c>
      <c r="I47" s="41" t="s">
        <v>2250</v>
      </c>
      <c r="J47" s="41" t="s">
        <v>2250</v>
      </c>
      <c r="K47" s="41" t="str">
        <f>VLOOKUP(J47,错误mRNA总表!D:J,7,FALSE)</f>
        <v>多321个氨基酸，但rs号是多350个chr7:139257673-139316492</v>
      </c>
      <c r="L47" s="41" t="s">
        <v>8332</v>
      </c>
      <c r="M47" s="41">
        <f>VLOOKUP(I47,错误mRNA总表!D:I,6,FALSE)</f>
        <v>0</v>
      </c>
    </row>
    <row r="48" spans="1:13" x14ac:dyDescent="0.2">
      <c r="A48" s="12" t="s">
        <v>3983</v>
      </c>
      <c r="B48" s="12" t="s">
        <v>3984</v>
      </c>
      <c r="C48" s="12">
        <v>3381593</v>
      </c>
      <c r="D48" s="12">
        <v>3381690</v>
      </c>
      <c r="E48" s="12" t="s">
        <v>3940</v>
      </c>
      <c r="F48" s="12">
        <v>1</v>
      </c>
      <c r="G48" s="12" t="s">
        <v>3984</v>
      </c>
      <c r="H48" s="12" t="s">
        <v>5777</v>
      </c>
      <c r="I48" s="41" t="s">
        <v>6651</v>
      </c>
      <c r="M48" s="41" t="e">
        <f>VLOOKUP(I48,错误mRNA总表!D:I,6,FALSE)</f>
        <v>#N/A</v>
      </c>
    </row>
    <row r="49" spans="1:13" x14ac:dyDescent="0.2">
      <c r="A49" s="12" t="s">
        <v>3985</v>
      </c>
      <c r="B49" s="12" t="s">
        <v>3986</v>
      </c>
      <c r="C49" s="12">
        <v>41099072</v>
      </c>
      <c r="D49" s="12">
        <v>41123095</v>
      </c>
      <c r="E49" s="12" t="s">
        <v>3940</v>
      </c>
      <c r="F49" s="12">
        <v>1</v>
      </c>
      <c r="G49" s="41" t="s">
        <v>50</v>
      </c>
      <c r="H49" s="12" t="s">
        <v>100</v>
      </c>
      <c r="I49" s="41" t="s">
        <v>2107</v>
      </c>
      <c r="J49" s="41" t="s">
        <v>2107</v>
      </c>
      <c r="K49" s="41" t="str">
        <f>VLOOKUP(J49,错误mRNA总表!D:J,7,FALSE)</f>
        <v>纠后正确</v>
      </c>
      <c r="L49" s="41" t="s">
        <v>3763</v>
      </c>
      <c r="M49" s="41">
        <f>VLOOKUP(I49,错误mRNA总表!D:I,6,FALSE)</f>
        <v>0</v>
      </c>
    </row>
    <row r="50" spans="1:13" x14ac:dyDescent="0.2">
      <c r="A50" s="12" t="s">
        <v>3987</v>
      </c>
      <c r="B50" s="12" t="s">
        <v>3962</v>
      </c>
      <c r="C50" s="12">
        <v>62329995</v>
      </c>
      <c r="D50" s="12">
        <v>62331335</v>
      </c>
      <c r="E50" s="12" t="s">
        <v>3940</v>
      </c>
      <c r="F50" s="12">
        <v>1</v>
      </c>
      <c r="G50" s="41" t="s">
        <v>53</v>
      </c>
      <c r="H50" s="12" t="s">
        <v>6370</v>
      </c>
      <c r="I50" s="41" t="s">
        <v>6652</v>
      </c>
      <c r="M50" s="41" t="e">
        <f>VLOOKUP(I50,错误mRNA总表!D:I,6,FALSE)</f>
        <v>#N/A</v>
      </c>
    </row>
    <row r="51" spans="1:13" x14ac:dyDescent="0.2">
      <c r="A51" s="12" t="s">
        <v>3988</v>
      </c>
      <c r="B51" s="12" t="s">
        <v>3989</v>
      </c>
      <c r="C51" s="12">
        <v>2467051</v>
      </c>
      <c r="D51" s="12">
        <v>2468516</v>
      </c>
      <c r="E51" s="12" t="s">
        <v>3943</v>
      </c>
      <c r="F51" s="12">
        <v>6</v>
      </c>
      <c r="G51" s="12" t="s">
        <v>3989</v>
      </c>
      <c r="H51" s="12" t="s">
        <v>5778</v>
      </c>
      <c r="I51" s="41" t="s">
        <v>6653</v>
      </c>
      <c r="M51" s="41" t="e">
        <f>VLOOKUP(I51,错误mRNA总表!D:I,6,FALSE)</f>
        <v>#N/A</v>
      </c>
    </row>
    <row r="52" spans="1:13" x14ac:dyDescent="0.2">
      <c r="A52" s="12" t="s">
        <v>3988</v>
      </c>
      <c r="B52" s="12" t="s">
        <v>3989</v>
      </c>
      <c r="C52" s="12">
        <v>2467051</v>
      </c>
      <c r="D52" s="12">
        <v>2468565</v>
      </c>
      <c r="E52" s="12" t="s">
        <v>3943</v>
      </c>
      <c r="F52" s="12">
        <v>2</v>
      </c>
      <c r="G52" s="12" t="s">
        <v>3989</v>
      </c>
      <c r="H52" s="12" t="s">
        <v>5778</v>
      </c>
      <c r="I52" s="41" t="s">
        <v>6653</v>
      </c>
      <c r="M52" s="41" t="e">
        <f>VLOOKUP(I52,错误mRNA总表!D:I,6,FALSE)</f>
        <v>#N/A</v>
      </c>
    </row>
    <row r="53" spans="1:13" x14ac:dyDescent="0.2">
      <c r="A53" s="12" t="s">
        <v>3988</v>
      </c>
      <c r="B53" s="12" t="s">
        <v>3989</v>
      </c>
      <c r="C53" s="12">
        <v>2467051</v>
      </c>
      <c r="D53" s="12">
        <v>2469065</v>
      </c>
      <c r="E53" s="12" t="s">
        <v>3943</v>
      </c>
      <c r="F53" s="12">
        <v>3</v>
      </c>
      <c r="G53" s="12" t="s">
        <v>3989</v>
      </c>
      <c r="H53" s="12" t="s">
        <v>5778</v>
      </c>
      <c r="I53" s="41" t="s">
        <v>6653</v>
      </c>
      <c r="M53" s="41" t="e">
        <f>VLOOKUP(I53,错误mRNA总表!D:I,6,FALSE)</f>
        <v>#N/A</v>
      </c>
    </row>
    <row r="54" spans="1:13" x14ac:dyDescent="0.2">
      <c r="A54" s="12" t="s">
        <v>3988</v>
      </c>
      <c r="B54" s="12" t="s">
        <v>3989</v>
      </c>
      <c r="C54" s="12">
        <v>2467051</v>
      </c>
      <c r="D54" s="12">
        <v>2469389</v>
      </c>
      <c r="E54" s="12" t="s">
        <v>3940</v>
      </c>
      <c r="F54" s="12">
        <v>1</v>
      </c>
      <c r="G54" s="12" t="s">
        <v>3989</v>
      </c>
      <c r="H54" s="12" t="s">
        <v>5778</v>
      </c>
      <c r="I54" s="41" t="s">
        <v>6653</v>
      </c>
      <c r="M54" s="41" t="e">
        <f>VLOOKUP(I54,错误mRNA总表!D:I,6,FALSE)</f>
        <v>#N/A</v>
      </c>
    </row>
    <row r="55" spans="1:13" x14ac:dyDescent="0.2">
      <c r="A55" s="12" t="s">
        <v>3988</v>
      </c>
      <c r="B55" s="12" t="s">
        <v>3989</v>
      </c>
      <c r="C55" s="12">
        <v>2467051</v>
      </c>
      <c r="D55" s="12">
        <v>2469670</v>
      </c>
      <c r="E55" s="12" t="s">
        <v>3943</v>
      </c>
      <c r="F55" s="12">
        <v>3</v>
      </c>
      <c r="G55" s="12" t="s">
        <v>3989</v>
      </c>
      <c r="H55" s="12" t="s">
        <v>5778</v>
      </c>
      <c r="I55" s="41" t="s">
        <v>6653</v>
      </c>
      <c r="M55" s="41" t="e">
        <f>VLOOKUP(I55,错误mRNA总表!D:I,6,FALSE)</f>
        <v>#N/A</v>
      </c>
    </row>
    <row r="56" spans="1:13" x14ac:dyDescent="0.2">
      <c r="A56" s="12" t="s">
        <v>3990</v>
      </c>
      <c r="B56" s="12" t="s">
        <v>3991</v>
      </c>
      <c r="C56" s="12">
        <v>99841</v>
      </c>
      <c r="D56" s="12">
        <v>100441</v>
      </c>
      <c r="E56" s="12" t="s">
        <v>3943</v>
      </c>
      <c r="F56" s="12">
        <v>1</v>
      </c>
      <c r="G56" s="12" t="s">
        <v>3991</v>
      </c>
      <c r="H56" s="12" t="s">
        <v>6118</v>
      </c>
      <c r="I56" s="41" t="s">
        <v>6654</v>
      </c>
      <c r="M56" s="41" t="e">
        <f>VLOOKUP(I56,错误mRNA总表!D:I,6,FALSE)</f>
        <v>#N/A</v>
      </c>
    </row>
    <row r="57" spans="1:13" x14ac:dyDescent="0.2">
      <c r="A57" s="12" t="s">
        <v>3992</v>
      </c>
      <c r="B57" s="12" t="s">
        <v>3984</v>
      </c>
      <c r="C57" s="12">
        <v>1322018</v>
      </c>
      <c r="D57" s="12">
        <v>1322175</v>
      </c>
      <c r="E57" s="12" t="s">
        <v>3943</v>
      </c>
      <c r="F57" s="12">
        <v>1</v>
      </c>
      <c r="G57" s="12" t="s">
        <v>3984</v>
      </c>
      <c r="H57" s="12" t="s">
        <v>3533</v>
      </c>
      <c r="I57" s="41" t="s">
        <v>6655</v>
      </c>
      <c r="M57" s="41" t="e">
        <f>VLOOKUP(I57,错误mRNA总表!D:I,6,FALSE)</f>
        <v>#N/A</v>
      </c>
    </row>
    <row r="58" spans="1:13" x14ac:dyDescent="0.2">
      <c r="A58" s="12" t="s">
        <v>3993</v>
      </c>
      <c r="B58" s="12" t="s">
        <v>3994</v>
      </c>
      <c r="C58" s="12">
        <v>3505441</v>
      </c>
      <c r="D58" s="12">
        <v>3534506</v>
      </c>
      <c r="E58" s="12" t="s">
        <v>3940</v>
      </c>
      <c r="F58" s="12">
        <v>3</v>
      </c>
      <c r="G58" s="12" t="s">
        <v>3994</v>
      </c>
      <c r="H58" s="12" t="s">
        <v>3579</v>
      </c>
      <c r="I58" s="41" t="s">
        <v>6656</v>
      </c>
      <c r="M58" s="41" t="e">
        <f>VLOOKUP(I58,错误mRNA总表!D:I,6,FALSE)</f>
        <v>#N/A</v>
      </c>
    </row>
    <row r="59" spans="1:13" x14ac:dyDescent="0.2">
      <c r="A59" s="12" t="s">
        <v>3995</v>
      </c>
      <c r="B59" s="12" t="s">
        <v>3973</v>
      </c>
      <c r="C59" s="12">
        <v>27730730</v>
      </c>
      <c r="D59" s="12">
        <v>27732103</v>
      </c>
      <c r="E59" s="12" t="s">
        <v>3940</v>
      </c>
      <c r="F59" s="12">
        <v>10</v>
      </c>
      <c r="G59" s="41" t="s">
        <v>139</v>
      </c>
      <c r="H59" s="12" t="s">
        <v>6371</v>
      </c>
      <c r="I59" s="41" t="s">
        <v>6657</v>
      </c>
      <c r="M59" s="41" t="e">
        <f>VLOOKUP(I59,错误mRNA总表!D:I,6,FALSE)</f>
        <v>#N/A</v>
      </c>
    </row>
    <row r="60" spans="1:13" x14ac:dyDescent="0.2">
      <c r="A60" s="12" t="s">
        <v>3993</v>
      </c>
      <c r="B60" s="12" t="s">
        <v>3996</v>
      </c>
      <c r="C60" s="12">
        <v>3633298</v>
      </c>
      <c r="D60" s="12">
        <v>3662328</v>
      </c>
      <c r="E60" s="12" t="s">
        <v>3943</v>
      </c>
      <c r="F60" s="12">
        <v>6</v>
      </c>
      <c r="G60" s="12" t="s">
        <v>3996</v>
      </c>
      <c r="H60" s="12" t="s">
        <v>3579</v>
      </c>
      <c r="I60" s="41" t="s">
        <v>6658</v>
      </c>
      <c r="M60" s="41" t="e">
        <f>VLOOKUP(I60,错误mRNA总表!D:I,6,FALSE)</f>
        <v>#N/A</v>
      </c>
    </row>
    <row r="61" spans="1:13" x14ac:dyDescent="0.2">
      <c r="A61" s="12" t="s">
        <v>3997</v>
      </c>
      <c r="B61" s="12" t="s">
        <v>3989</v>
      </c>
      <c r="C61" s="12">
        <v>2467051</v>
      </c>
      <c r="D61" s="12">
        <v>2469065</v>
      </c>
      <c r="E61" s="12" t="s">
        <v>3943</v>
      </c>
      <c r="F61" s="12">
        <v>3</v>
      </c>
      <c r="G61" s="12" t="s">
        <v>3989</v>
      </c>
      <c r="H61" s="12" t="s">
        <v>671</v>
      </c>
      <c r="I61" s="41" t="s">
        <v>6659</v>
      </c>
      <c r="J61" s="41" t="s">
        <v>2608</v>
      </c>
      <c r="K61" s="41" t="str">
        <f>VLOOKUP(J61,错误mRNA总表!D:J,7,FALSE)</f>
        <v/>
      </c>
      <c r="M61" s="41" t="e">
        <f>VLOOKUP(I61,错误mRNA总表!D:I,6,FALSE)</f>
        <v>#N/A</v>
      </c>
    </row>
    <row r="62" spans="1:13" x14ac:dyDescent="0.2">
      <c r="A62" s="12" t="s">
        <v>3997</v>
      </c>
      <c r="B62" s="12" t="s">
        <v>3989</v>
      </c>
      <c r="C62" s="12">
        <v>2467051</v>
      </c>
      <c r="D62" s="12">
        <v>2469389</v>
      </c>
      <c r="E62" s="12" t="s">
        <v>3940</v>
      </c>
      <c r="F62" s="12">
        <v>1</v>
      </c>
      <c r="G62" s="12" t="s">
        <v>3989</v>
      </c>
      <c r="H62" s="12" t="s">
        <v>671</v>
      </c>
      <c r="I62" s="41" t="s">
        <v>6659</v>
      </c>
      <c r="J62" s="41" t="s">
        <v>2608</v>
      </c>
      <c r="K62" s="41" t="str">
        <f>VLOOKUP(J62,错误mRNA总表!D:J,7,FALSE)</f>
        <v/>
      </c>
      <c r="M62" s="41" t="e">
        <f>VLOOKUP(I62,错误mRNA总表!D:I,6,FALSE)</f>
        <v>#N/A</v>
      </c>
    </row>
    <row r="63" spans="1:13" x14ac:dyDescent="0.2">
      <c r="A63" s="12" t="s">
        <v>3998</v>
      </c>
      <c r="B63" s="12" t="s">
        <v>3999</v>
      </c>
      <c r="C63" s="12">
        <v>489200</v>
      </c>
      <c r="D63" s="12">
        <v>498976</v>
      </c>
      <c r="E63" s="12" t="s">
        <v>3940</v>
      </c>
      <c r="F63" s="12">
        <v>22</v>
      </c>
      <c r="G63" s="12" t="s">
        <v>3999</v>
      </c>
      <c r="H63" s="12" t="s">
        <v>5779</v>
      </c>
      <c r="I63" s="41" t="s">
        <v>6660</v>
      </c>
      <c r="M63" s="41" t="e">
        <f>VLOOKUP(I63,错误mRNA总表!D:I,6,FALSE)</f>
        <v>#N/A</v>
      </c>
    </row>
    <row r="64" spans="1:13" x14ac:dyDescent="0.2">
      <c r="A64" s="12" t="s">
        <v>3998</v>
      </c>
      <c r="B64" s="12" t="s">
        <v>3999</v>
      </c>
      <c r="C64" s="12">
        <v>489200</v>
      </c>
      <c r="D64" s="12">
        <v>498988</v>
      </c>
      <c r="E64" s="12" t="s">
        <v>3940</v>
      </c>
      <c r="F64" s="12">
        <v>17</v>
      </c>
      <c r="G64" s="12" t="s">
        <v>3999</v>
      </c>
      <c r="H64" s="12" t="s">
        <v>5779</v>
      </c>
      <c r="I64" s="41" t="s">
        <v>6660</v>
      </c>
      <c r="M64" s="41" t="e">
        <f>VLOOKUP(I64,错误mRNA总表!D:I,6,FALSE)</f>
        <v>#N/A</v>
      </c>
    </row>
    <row r="65" spans="1:13" x14ac:dyDescent="0.2">
      <c r="A65" s="12" t="s">
        <v>3998</v>
      </c>
      <c r="B65" s="12" t="s">
        <v>3999</v>
      </c>
      <c r="C65" s="12">
        <v>489200</v>
      </c>
      <c r="D65" s="12">
        <v>499165</v>
      </c>
      <c r="E65" s="12" t="s">
        <v>3940</v>
      </c>
      <c r="F65" s="12">
        <v>148</v>
      </c>
      <c r="G65" s="12" t="s">
        <v>3999</v>
      </c>
      <c r="H65" s="12" t="s">
        <v>5779</v>
      </c>
      <c r="I65" s="41" t="s">
        <v>6660</v>
      </c>
      <c r="M65" s="41" t="e">
        <f>VLOOKUP(I65,错误mRNA总表!D:I,6,FALSE)</f>
        <v>#N/A</v>
      </c>
    </row>
    <row r="66" spans="1:13" x14ac:dyDescent="0.2">
      <c r="A66" s="12" t="s">
        <v>3998</v>
      </c>
      <c r="B66" s="12" t="s">
        <v>3999</v>
      </c>
      <c r="C66" s="12">
        <v>489200</v>
      </c>
      <c r="D66" s="12">
        <v>499153</v>
      </c>
      <c r="E66" s="12" t="s">
        <v>3943</v>
      </c>
      <c r="F66" s="12">
        <v>2</v>
      </c>
      <c r="G66" s="12" t="s">
        <v>3999</v>
      </c>
      <c r="H66" s="12" t="s">
        <v>5779</v>
      </c>
      <c r="I66" s="41" t="s">
        <v>6660</v>
      </c>
      <c r="M66" s="41" t="e">
        <f>VLOOKUP(I66,错误mRNA总表!D:I,6,FALSE)</f>
        <v>#N/A</v>
      </c>
    </row>
    <row r="67" spans="1:13" x14ac:dyDescent="0.2">
      <c r="A67" s="12" t="s">
        <v>3998</v>
      </c>
      <c r="B67" s="12" t="s">
        <v>3999</v>
      </c>
      <c r="C67" s="12">
        <v>489200</v>
      </c>
      <c r="D67" s="12">
        <v>499352</v>
      </c>
      <c r="E67" s="12" t="s">
        <v>3940</v>
      </c>
      <c r="F67" s="12">
        <v>1</v>
      </c>
      <c r="G67" s="12" t="s">
        <v>3999</v>
      </c>
      <c r="H67" s="12" t="s">
        <v>5779</v>
      </c>
      <c r="I67" s="41" t="s">
        <v>6660</v>
      </c>
      <c r="M67" s="41" t="e">
        <f>VLOOKUP(I67,错误mRNA总表!D:I,6,FALSE)</f>
        <v>#N/A</v>
      </c>
    </row>
    <row r="68" spans="1:13" x14ac:dyDescent="0.2">
      <c r="A68" s="12" t="s">
        <v>3998</v>
      </c>
      <c r="B68" s="12" t="s">
        <v>3999</v>
      </c>
      <c r="C68" s="12">
        <v>489200</v>
      </c>
      <c r="D68" s="12">
        <v>499365</v>
      </c>
      <c r="E68" s="12" t="s">
        <v>3940</v>
      </c>
      <c r="F68" s="12">
        <v>1</v>
      </c>
      <c r="G68" s="12" t="s">
        <v>3999</v>
      </c>
      <c r="H68" s="12" t="s">
        <v>5779</v>
      </c>
      <c r="I68" s="41" t="s">
        <v>6660</v>
      </c>
      <c r="M68" s="41" t="e">
        <f>VLOOKUP(I68,错误mRNA总表!D:I,6,FALSE)</f>
        <v>#N/A</v>
      </c>
    </row>
    <row r="69" spans="1:13" x14ac:dyDescent="0.2">
      <c r="A69" s="12" t="s">
        <v>4000</v>
      </c>
      <c r="B69" s="12" t="s">
        <v>4001</v>
      </c>
      <c r="C69" s="12">
        <v>2263131</v>
      </c>
      <c r="D69" s="12">
        <v>2265989</v>
      </c>
      <c r="E69" s="12" t="s">
        <v>3940</v>
      </c>
      <c r="F69" s="12">
        <v>90</v>
      </c>
      <c r="G69" s="12" t="s">
        <v>4001</v>
      </c>
      <c r="H69" s="12" t="s">
        <v>5780</v>
      </c>
      <c r="I69" s="41" t="s">
        <v>6661</v>
      </c>
      <c r="M69" s="41" t="e">
        <f>VLOOKUP(I69,错误mRNA总表!D:I,6,FALSE)</f>
        <v>#N/A</v>
      </c>
    </row>
    <row r="70" spans="1:13" x14ac:dyDescent="0.2">
      <c r="A70" s="12" t="s">
        <v>4000</v>
      </c>
      <c r="B70" s="12" t="s">
        <v>4001</v>
      </c>
      <c r="C70" s="12">
        <v>2263131</v>
      </c>
      <c r="D70" s="12">
        <v>2266822</v>
      </c>
      <c r="E70" s="12" t="s">
        <v>3940</v>
      </c>
      <c r="F70" s="12">
        <v>90</v>
      </c>
      <c r="G70" s="12" t="s">
        <v>4001</v>
      </c>
      <c r="H70" s="12" t="s">
        <v>5780</v>
      </c>
      <c r="I70" s="41" t="s">
        <v>6661</v>
      </c>
      <c r="M70" s="41" t="e">
        <f>VLOOKUP(I70,错误mRNA总表!D:I,6,FALSE)</f>
        <v>#N/A</v>
      </c>
    </row>
    <row r="71" spans="1:13" x14ac:dyDescent="0.2">
      <c r="A71" s="12" t="s">
        <v>4002</v>
      </c>
      <c r="B71" s="12" t="s">
        <v>3989</v>
      </c>
      <c r="C71" s="12">
        <v>1056331</v>
      </c>
      <c r="D71" s="12">
        <v>1056498</v>
      </c>
      <c r="E71" s="12" t="s">
        <v>3943</v>
      </c>
      <c r="F71" s="12">
        <v>1</v>
      </c>
      <c r="G71" s="12" t="s">
        <v>3989</v>
      </c>
      <c r="H71" s="12" t="s">
        <v>5781</v>
      </c>
      <c r="I71" s="41" t="s">
        <v>6662</v>
      </c>
      <c r="M71" s="41" t="e">
        <f>VLOOKUP(I71,错误mRNA总表!D:I,6,FALSE)</f>
        <v>#N/A</v>
      </c>
    </row>
    <row r="72" spans="1:13" x14ac:dyDescent="0.2">
      <c r="A72" s="12" t="s">
        <v>4003</v>
      </c>
      <c r="B72" s="12" t="s">
        <v>4004</v>
      </c>
      <c r="C72" s="12">
        <v>38758753</v>
      </c>
      <c r="D72" s="12">
        <v>38827186</v>
      </c>
      <c r="E72" s="12" t="s">
        <v>3943</v>
      </c>
      <c r="F72" s="12">
        <v>1</v>
      </c>
      <c r="G72" s="41" t="s">
        <v>103</v>
      </c>
      <c r="H72" s="12" t="s">
        <v>125</v>
      </c>
      <c r="I72" s="41" t="s">
        <v>2121</v>
      </c>
      <c r="J72" s="41" t="s">
        <v>2121</v>
      </c>
      <c r="K72" s="41" t="str">
        <f>VLOOKUP(J72,错误mRNA总表!D:J,7,FALSE)</f>
        <v>纠后正确</v>
      </c>
      <c r="L72" s="41" t="s">
        <v>3763</v>
      </c>
      <c r="M72" s="41">
        <f>VLOOKUP(I72,错误mRNA总表!D:I,6,FALSE)</f>
        <v>0</v>
      </c>
    </row>
    <row r="73" spans="1:13" x14ac:dyDescent="0.2">
      <c r="A73" s="12" t="s">
        <v>4005</v>
      </c>
      <c r="B73" s="12" t="s">
        <v>3946</v>
      </c>
      <c r="C73" s="12">
        <v>29718642</v>
      </c>
      <c r="D73" s="12">
        <v>29863658</v>
      </c>
      <c r="E73" s="12" t="s">
        <v>3943</v>
      </c>
      <c r="F73" s="12">
        <v>1</v>
      </c>
      <c r="G73" s="41" t="s">
        <v>47</v>
      </c>
      <c r="H73" s="12" t="s">
        <v>6587</v>
      </c>
      <c r="I73" s="41" t="s">
        <v>6663</v>
      </c>
      <c r="M73" s="41" t="e">
        <f>VLOOKUP(I73,错误mRNA总表!D:I,6,FALSE)</f>
        <v>#N/A</v>
      </c>
    </row>
    <row r="74" spans="1:13" x14ac:dyDescent="0.2">
      <c r="A74" s="12" t="s">
        <v>4006</v>
      </c>
      <c r="B74" s="12" t="s">
        <v>3939</v>
      </c>
      <c r="C74" s="12">
        <v>153639854</v>
      </c>
      <c r="D74" s="12">
        <v>153640060</v>
      </c>
      <c r="E74" s="12" t="s">
        <v>3943</v>
      </c>
      <c r="F74" s="12">
        <v>1</v>
      </c>
      <c r="G74" s="41" t="s">
        <v>73</v>
      </c>
      <c r="H74" s="12" t="s">
        <v>5782</v>
      </c>
      <c r="I74" s="41" t="s">
        <v>6664</v>
      </c>
      <c r="M74" s="41" t="e">
        <f>VLOOKUP(I74,错误mRNA总表!D:I,6,FALSE)</f>
        <v>#N/A</v>
      </c>
    </row>
    <row r="75" spans="1:13" x14ac:dyDescent="0.2">
      <c r="A75" s="12" t="s">
        <v>4007</v>
      </c>
      <c r="B75" s="12" t="s">
        <v>3964</v>
      </c>
      <c r="C75" s="12">
        <v>2845591</v>
      </c>
      <c r="D75" s="12">
        <v>2845595</v>
      </c>
      <c r="E75" s="12" t="s">
        <v>3940</v>
      </c>
      <c r="F75" s="12">
        <v>2</v>
      </c>
      <c r="G75" s="12" t="s">
        <v>3964</v>
      </c>
      <c r="H75" s="12" t="s">
        <v>3426</v>
      </c>
      <c r="I75" s="41" t="s">
        <v>6665</v>
      </c>
      <c r="M75" s="41" t="e">
        <f>VLOOKUP(I75,错误mRNA总表!D:I,6,FALSE)</f>
        <v>#N/A</v>
      </c>
    </row>
    <row r="76" spans="1:13" x14ac:dyDescent="0.2">
      <c r="A76" s="12" t="s">
        <v>4007</v>
      </c>
      <c r="B76" s="12" t="s">
        <v>3964</v>
      </c>
      <c r="C76" s="12">
        <v>2845591</v>
      </c>
      <c r="D76" s="12">
        <v>2857527</v>
      </c>
      <c r="E76" s="12" t="s">
        <v>3940</v>
      </c>
      <c r="F76" s="12">
        <v>2</v>
      </c>
      <c r="G76" s="12" t="s">
        <v>3964</v>
      </c>
      <c r="H76" s="12" t="s">
        <v>3426</v>
      </c>
      <c r="I76" s="41" t="s">
        <v>6665</v>
      </c>
      <c r="M76" s="41" t="e">
        <f>VLOOKUP(I76,错误mRNA总表!D:I,6,FALSE)</f>
        <v>#N/A</v>
      </c>
    </row>
    <row r="77" spans="1:13" x14ac:dyDescent="0.2">
      <c r="A77" s="12" t="s">
        <v>4008</v>
      </c>
      <c r="B77" s="12" t="s">
        <v>3984</v>
      </c>
      <c r="C77" s="12">
        <v>1980909</v>
      </c>
      <c r="D77" s="12">
        <v>1985232</v>
      </c>
      <c r="E77" s="12" t="s">
        <v>3943</v>
      </c>
      <c r="F77" s="12">
        <v>1</v>
      </c>
      <c r="G77" s="12" t="s">
        <v>3984</v>
      </c>
      <c r="H77" s="12" t="s">
        <v>5783</v>
      </c>
      <c r="I77" s="41" t="s">
        <v>6666</v>
      </c>
      <c r="M77" s="41" t="e">
        <f>VLOOKUP(I77,错误mRNA总表!D:I,6,FALSE)</f>
        <v>#N/A</v>
      </c>
    </row>
    <row r="78" spans="1:13" x14ac:dyDescent="0.2">
      <c r="A78" s="12" t="s">
        <v>4009</v>
      </c>
      <c r="B78" s="12" t="s">
        <v>4001</v>
      </c>
      <c r="C78" s="12">
        <v>3625554</v>
      </c>
      <c r="D78" s="12">
        <v>3625578</v>
      </c>
      <c r="E78" s="12" t="s">
        <v>3940</v>
      </c>
      <c r="F78" s="12">
        <v>13</v>
      </c>
      <c r="G78" s="12" t="s">
        <v>4001</v>
      </c>
      <c r="H78" s="12" t="s">
        <v>5784</v>
      </c>
      <c r="I78" s="41" t="s">
        <v>6667</v>
      </c>
      <c r="M78" s="41" t="e">
        <f>VLOOKUP(I78,错误mRNA总表!D:I,6,FALSE)</f>
        <v>#N/A</v>
      </c>
    </row>
    <row r="79" spans="1:13" x14ac:dyDescent="0.2">
      <c r="A79" s="12" t="s">
        <v>4009</v>
      </c>
      <c r="B79" s="12" t="s">
        <v>4001</v>
      </c>
      <c r="C79" s="12">
        <v>3625554</v>
      </c>
      <c r="D79" s="12">
        <v>3625569</v>
      </c>
      <c r="E79" s="12" t="s">
        <v>3940</v>
      </c>
      <c r="F79" s="12">
        <v>4</v>
      </c>
      <c r="G79" s="12" t="s">
        <v>4001</v>
      </c>
      <c r="H79" s="12" t="s">
        <v>5784</v>
      </c>
      <c r="I79" s="41" t="s">
        <v>6667</v>
      </c>
      <c r="M79" s="41" t="e">
        <f>VLOOKUP(I79,错误mRNA总表!D:I,6,FALSE)</f>
        <v>#N/A</v>
      </c>
    </row>
    <row r="80" spans="1:13" x14ac:dyDescent="0.2">
      <c r="A80" s="12" t="s">
        <v>4009</v>
      </c>
      <c r="B80" s="12" t="s">
        <v>4001</v>
      </c>
      <c r="C80" s="12">
        <v>3625554</v>
      </c>
      <c r="D80" s="12">
        <v>3627288</v>
      </c>
      <c r="E80" s="12" t="s">
        <v>3940</v>
      </c>
      <c r="F80" s="12">
        <v>168</v>
      </c>
      <c r="G80" s="12" t="s">
        <v>4001</v>
      </c>
      <c r="H80" s="12" t="s">
        <v>5784</v>
      </c>
      <c r="I80" s="41" t="s">
        <v>6667</v>
      </c>
      <c r="M80" s="41" t="e">
        <f>VLOOKUP(I80,错误mRNA总表!D:I,6,FALSE)</f>
        <v>#N/A</v>
      </c>
    </row>
    <row r="81" spans="1:13" x14ac:dyDescent="0.2">
      <c r="A81" s="12" t="s">
        <v>4009</v>
      </c>
      <c r="B81" s="12" t="s">
        <v>4001</v>
      </c>
      <c r="C81" s="12">
        <v>3625554</v>
      </c>
      <c r="D81" s="12">
        <v>3627282</v>
      </c>
      <c r="E81" s="12" t="s">
        <v>3943</v>
      </c>
      <c r="F81" s="12">
        <v>2</v>
      </c>
      <c r="G81" s="12" t="s">
        <v>4001</v>
      </c>
      <c r="H81" s="12" t="s">
        <v>5784</v>
      </c>
      <c r="I81" s="41" t="s">
        <v>6667</v>
      </c>
      <c r="M81" s="41" t="e">
        <f>VLOOKUP(I81,错误mRNA总表!D:I,6,FALSE)</f>
        <v>#N/A</v>
      </c>
    </row>
    <row r="82" spans="1:13" x14ac:dyDescent="0.2">
      <c r="A82" s="12" t="s">
        <v>4010</v>
      </c>
      <c r="B82" s="12" t="s">
        <v>3966</v>
      </c>
      <c r="C82" s="12">
        <v>51039114</v>
      </c>
      <c r="D82" s="12">
        <v>51042513</v>
      </c>
      <c r="E82" s="12" t="s">
        <v>3940</v>
      </c>
      <c r="F82" s="12">
        <v>1</v>
      </c>
      <c r="G82" s="41" t="s">
        <v>43</v>
      </c>
      <c r="H82" s="12" t="s">
        <v>215</v>
      </c>
      <c r="I82" s="41" t="s">
        <v>6668</v>
      </c>
      <c r="J82" s="41" t="s">
        <v>2175</v>
      </c>
      <c r="K82" s="41" t="str">
        <f>VLOOKUP(J82,错误mRNA总表!D:J,7,FALSE)</f>
        <v>纠后正确</v>
      </c>
      <c r="M82" s="41" t="e">
        <f>VLOOKUP(I82,错误mRNA总表!D:I,6,FALSE)</f>
        <v>#N/A</v>
      </c>
    </row>
    <row r="83" spans="1:13" x14ac:dyDescent="0.2">
      <c r="A83" s="12" t="s">
        <v>4011</v>
      </c>
      <c r="B83" s="12" t="s">
        <v>4012</v>
      </c>
      <c r="C83" s="12">
        <v>81134484</v>
      </c>
      <c r="D83" s="12">
        <v>81161483</v>
      </c>
      <c r="E83" s="12" t="s">
        <v>3940</v>
      </c>
      <c r="F83" s="12">
        <v>1</v>
      </c>
      <c r="G83" s="41" t="s">
        <v>121</v>
      </c>
      <c r="H83" s="12" t="s">
        <v>3466</v>
      </c>
      <c r="I83" s="41" t="s">
        <v>6669</v>
      </c>
      <c r="M83" s="41" t="e">
        <f>VLOOKUP(I83,错误mRNA总表!D:I,6,FALSE)</f>
        <v>#N/A</v>
      </c>
    </row>
    <row r="84" spans="1:13" x14ac:dyDescent="0.2">
      <c r="A84" s="12" t="s">
        <v>4013</v>
      </c>
      <c r="B84" s="12" t="s">
        <v>3996</v>
      </c>
      <c r="C84" s="12">
        <v>3116416</v>
      </c>
      <c r="D84" s="12">
        <v>3116512</v>
      </c>
      <c r="E84" s="12" t="s">
        <v>3943</v>
      </c>
      <c r="F84" s="12">
        <v>4</v>
      </c>
      <c r="G84" s="12" t="s">
        <v>3996</v>
      </c>
      <c r="H84" s="12" t="s">
        <v>3560</v>
      </c>
      <c r="I84" s="41" t="s">
        <v>6670</v>
      </c>
      <c r="M84" s="41" t="e">
        <f>VLOOKUP(I84,错误mRNA总表!D:I,6,FALSE)</f>
        <v>#N/A</v>
      </c>
    </row>
    <row r="85" spans="1:13" x14ac:dyDescent="0.2">
      <c r="A85" s="12" t="s">
        <v>4014</v>
      </c>
      <c r="B85" s="12" t="s">
        <v>3973</v>
      </c>
      <c r="C85" s="12">
        <v>148250249</v>
      </c>
      <c r="D85" s="12">
        <v>148327500</v>
      </c>
      <c r="E85" s="12" t="s">
        <v>3940</v>
      </c>
      <c r="F85" s="12">
        <v>717</v>
      </c>
      <c r="G85" s="41" t="s">
        <v>139</v>
      </c>
      <c r="H85" s="12" t="s">
        <v>3488</v>
      </c>
      <c r="I85" s="41" t="s">
        <v>6671</v>
      </c>
      <c r="M85" s="41" t="e">
        <f>VLOOKUP(I85,错误mRNA总表!D:I,6,FALSE)</f>
        <v>#N/A</v>
      </c>
    </row>
    <row r="86" spans="1:13" x14ac:dyDescent="0.2">
      <c r="A86" s="12" t="s">
        <v>4014</v>
      </c>
      <c r="B86" s="12" t="s">
        <v>3973</v>
      </c>
      <c r="C86" s="12">
        <v>148250249</v>
      </c>
      <c r="D86" s="12">
        <v>148328215</v>
      </c>
      <c r="E86" s="12" t="s">
        <v>3940</v>
      </c>
      <c r="F86" s="12">
        <v>3</v>
      </c>
      <c r="G86" s="41" t="s">
        <v>139</v>
      </c>
      <c r="H86" s="12" t="s">
        <v>3488</v>
      </c>
      <c r="I86" s="41" t="s">
        <v>6671</v>
      </c>
      <c r="M86" s="41" t="e">
        <f>VLOOKUP(I86,错误mRNA总表!D:I,6,FALSE)</f>
        <v>#N/A</v>
      </c>
    </row>
    <row r="87" spans="1:13" x14ac:dyDescent="0.2">
      <c r="A87" s="12" t="s">
        <v>4014</v>
      </c>
      <c r="B87" s="12" t="s">
        <v>3973</v>
      </c>
      <c r="C87" s="12">
        <v>148250249</v>
      </c>
      <c r="D87" s="12">
        <v>148328218</v>
      </c>
      <c r="E87" s="12" t="s">
        <v>3940</v>
      </c>
      <c r="F87" s="12">
        <v>3</v>
      </c>
      <c r="G87" s="41" t="s">
        <v>139</v>
      </c>
      <c r="H87" s="12" t="s">
        <v>3488</v>
      </c>
      <c r="I87" s="41" t="s">
        <v>6671</v>
      </c>
      <c r="M87" s="41" t="e">
        <f>VLOOKUP(I87,错误mRNA总表!D:I,6,FALSE)</f>
        <v>#N/A</v>
      </c>
    </row>
    <row r="88" spans="1:13" x14ac:dyDescent="0.2">
      <c r="A88" s="12" t="s">
        <v>4014</v>
      </c>
      <c r="B88" s="12" t="s">
        <v>3973</v>
      </c>
      <c r="C88" s="12">
        <v>148250249</v>
      </c>
      <c r="D88" s="12">
        <v>148297380</v>
      </c>
      <c r="E88" s="12" t="s">
        <v>3940</v>
      </c>
      <c r="F88" s="12">
        <v>731</v>
      </c>
      <c r="G88" s="41" t="s">
        <v>139</v>
      </c>
      <c r="H88" s="12" t="s">
        <v>3488</v>
      </c>
      <c r="I88" s="41" t="s">
        <v>6671</v>
      </c>
      <c r="M88" s="41" t="e">
        <f>VLOOKUP(I88,错误mRNA总表!D:I,6,FALSE)</f>
        <v>#N/A</v>
      </c>
    </row>
    <row r="89" spans="1:13" x14ac:dyDescent="0.2">
      <c r="A89" s="12" t="s">
        <v>4014</v>
      </c>
      <c r="B89" s="12" t="s">
        <v>3973</v>
      </c>
      <c r="C89" s="12">
        <v>148250249</v>
      </c>
      <c r="D89" s="12">
        <v>148285533</v>
      </c>
      <c r="E89" s="12" t="s">
        <v>3940</v>
      </c>
      <c r="F89" s="12">
        <v>220</v>
      </c>
      <c r="G89" s="41" t="s">
        <v>139</v>
      </c>
      <c r="H89" s="12" t="s">
        <v>3488</v>
      </c>
      <c r="I89" s="41" t="s">
        <v>6671</v>
      </c>
      <c r="M89" s="41" t="e">
        <f>VLOOKUP(I89,错误mRNA总表!D:I,6,FALSE)</f>
        <v>#N/A</v>
      </c>
    </row>
    <row r="90" spans="1:13" x14ac:dyDescent="0.2">
      <c r="A90" s="12" t="s">
        <v>4014</v>
      </c>
      <c r="B90" s="12" t="s">
        <v>3973</v>
      </c>
      <c r="C90" s="12">
        <v>148250249</v>
      </c>
      <c r="D90" s="12">
        <v>148282340</v>
      </c>
      <c r="E90" s="12" t="s">
        <v>3940</v>
      </c>
      <c r="F90" s="12">
        <v>220</v>
      </c>
      <c r="G90" s="41" t="s">
        <v>139</v>
      </c>
      <c r="H90" s="12" t="s">
        <v>3488</v>
      </c>
      <c r="I90" s="41" t="s">
        <v>6671</v>
      </c>
      <c r="M90" s="41" t="e">
        <f>VLOOKUP(I90,错误mRNA总表!D:I,6,FALSE)</f>
        <v>#N/A</v>
      </c>
    </row>
    <row r="91" spans="1:13" x14ac:dyDescent="0.2">
      <c r="A91" s="12" t="s">
        <v>4014</v>
      </c>
      <c r="B91" s="12" t="s">
        <v>3973</v>
      </c>
      <c r="C91" s="12">
        <v>148250249</v>
      </c>
      <c r="D91" s="12">
        <v>148279147</v>
      </c>
      <c r="E91" s="12" t="s">
        <v>3940</v>
      </c>
      <c r="F91" s="12">
        <v>220</v>
      </c>
      <c r="G91" s="41" t="s">
        <v>139</v>
      </c>
      <c r="H91" s="12" t="s">
        <v>3488</v>
      </c>
      <c r="I91" s="41" t="s">
        <v>6671</v>
      </c>
      <c r="M91" s="41" t="e">
        <f>VLOOKUP(I91,错误mRNA总表!D:I,6,FALSE)</f>
        <v>#N/A</v>
      </c>
    </row>
    <row r="92" spans="1:13" x14ac:dyDescent="0.2">
      <c r="A92" s="12" t="s">
        <v>4014</v>
      </c>
      <c r="B92" s="12" t="s">
        <v>3973</v>
      </c>
      <c r="C92" s="12">
        <v>148250249</v>
      </c>
      <c r="D92" s="12">
        <v>148259195</v>
      </c>
      <c r="E92" s="12" t="s">
        <v>3940</v>
      </c>
      <c r="F92" s="12">
        <v>506</v>
      </c>
      <c r="G92" s="41" t="s">
        <v>139</v>
      </c>
      <c r="H92" s="12" t="s">
        <v>3488</v>
      </c>
      <c r="I92" s="41" t="s">
        <v>6671</v>
      </c>
      <c r="M92" s="41" t="e">
        <f>VLOOKUP(I92,错误mRNA总表!D:I,6,FALSE)</f>
        <v>#N/A</v>
      </c>
    </row>
    <row r="93" spans="1:13" x14ac:dyDescent="0.2">
      <c r="A93" s="12" t="s">
        <v>4014</v>
      </c>
      <c r="B93" s="12" t="s">
        <v>3973</v>
      </c>
      <c r="C93" s="12">
        <v>148250249</v>
      </c>
      <c r="D93" s="12">
        <v>148257604</v>
      </c>
      <c r="E93" s="12" t="s">
        <v>3940</v>
      </c>
      <c r="F93" s="12">
        <v>955</v>
      </c>
      <c r="G93" s="41" t="s">
        <v>139</v>
      </c>
      <c r="H93" s="12" t="s">
        <v>3488</v>
      </c>
      <c r="I93" s="41" t="s">
        <v>6671</v>
      </c>
      <c r="M93" s="41" t="e">
        <f>VLOOKUP(I93,错误mRNA总表!D:I,6,FALSE)</f>
        <v>#N/A</v>
      </c>
    </row>
    <row r="94" spans="1:13" x14ac:dyDescent="0.2">
      <c r="A94" s="12" t="s">
        <v>4015</v>
      </c>
      <c r="B94" s="12" t="s">
        <v>3994</v>
      </c>
      <c r="C94" s="12">
        <v>2968964</v>
      </c>
      <c r="D94" s="12">
        <v>2969434</v>
      </c>
      <c r="E94" s="12" t="s">
        <v>3943</v>
      </c>
      <c r="F94" s="12">
        <v>1</v>
      </c>
      <c r="G94" s="12" t="s">
        <v>3994</v>
      </c>
      <c r="H94" s="12" t="s">
        <v>3564</v>
      </c>
      <c r="I94" s="41" t="s">
        <v>6672</v>
      </c>
      <c r="M94" s="41" t="e">
        <f>VLOOKUP(I94,错误mRNA总表!D:I,6,FALSE)</f>
        <v>#N/A</v>
      </c>
    </row>
    <row r="95" spans="1:13" x14ac:dyDescent="0.2">
      <c r="A95" s="12" t="s">
        <v>4016</v>
      </c>
      <c r="B95" s="12" t="s">
        <v>3962</v>
      </c>
      <c r="C95" s="12">
        <v>35202957</v>
      </c>
      <c r="D95" s="12">
        <v>35221684</v>
      </c>
      <c r="E95" s="12" t="s">
        <v>3943</v>
      </c>
      <c r="F95" s="12">
        <v>4</v>
      </c>
      <c r="G95" s="41" t="s">
        <v>53</v>
      </c>
      <c r="H95" s="12" t="s">
        <v>5785</v>
      </c>
      <c r="I95" s="41" t="s">
        <v>6673</v>
      </c>
      <c r="M95" s="41" t="e">
        <f>VLOOKUP(I95,错误mRNA总表!D:I,6,FALSE)</f>
        <v>#N/A</v>
      </c>
    </row>
    <row r="96" spans="1:13" x14ac:dyDescent="0.2">
      <c r="A96" s="12" t="s">
        <v>4017</v>
      </c>
      <c r="B96" s="12" t="s">
        <v>4018</v>
      </c>
      <c r="C96" s="12">
        <v>34915344</v>
      </c>
      <c r="D96" s="12">
        <v>34949497</v>
      </c>
      <c r="E96" s="12" t="s">
        <v>3940</v>
      </c>
      <c r="F96" s="12">
        <v>1</v>
      </c>
      <c r="G96" s="41" t="s">
        <v>241</v>
      </c>
      <c r="H96" s="12" t="s">
        <v>5786</v>
      </c>
      <c r="I96" s="41" t="s">
        <v>6674</v>
      </c>
      <c r="M96" s="41" t="e">
        <f>VLOOKUP(I96,错误mRNA总表!D:I,6,FALSE)</f>
        <v>#N/A</v>
      </c>
    </row>
    <row r="97" spans="1:13" x14ac:dyDescent="0.2">
      <c r="A97" s="12" t="s">
        <v>4019</v>
      </c>
      <c r="B97" s="12" t="s">
        <v>3996</v>
      </c>
      <c r="C97" s="12">
        <v>2646867</v>
      </c>
      <c r="D97" s="12">
        <v>2649205</v>
      </c>
      <c r="E97" s="12" t="s">
        <v>3940</v>
      </c>
      <c r="F97" s="12">
        <v>1</v>
      </c>
      <c r="G97" s="12" t="s">
        <v>3996</v>
      </c>
      <c r="H97" s="12" t="s">
        <v>670</v>
      </c>
      <c r="I97" s="41" t="s">
        <v>6675</v>
      </c>
      <c r="J97" s="41" t="s">
        <v>2607</v>
      </c>
      <c r="K97" s="41" t="str">
        <f>VLOOKUP(J97,错误mRNA总表!D:J,7,FALSE)</f>
        <v/>
      </c>
      <c r="M97" s="41" t="e">
        <f>VLOOKUP(I97,错误mRNA总表!D:I,6,FALSE)</f>
        <v>#N/A</v>
      </c>
    </row>
    <row r="98" spans="1:13" x14ac:dyDescent="0.2">
      <c r="A98" s="12" t="s">
        <v>4019</v>
      </c>
      <c r="B98" s="12" t="s">
        <v>3996</v>
      </c>
      <c r="C98" s="12">
        <v>2646867</v>
      </c>
      <c r="D98" s="12">
        <v>2649486</v>
      </c>
      <c r="E98" s="12" t="s">
        <v>3943</v>
      </c>
      <c r="F98" s="12">
        <v>3</v>
      </c>
      <c r="G98" s="12" t="s">
        <v>3996</v>
      </c>
      <c r="H98" s="12" t="s">
        <v>670</v>
      </c>
      <c r="I98" s="41" t="s">
        <v>6675</v>
      </c>
      <c r="J98" s="41" t="s">
        <v>2607</v>
      </c>
      <c r="K98" s="41" t="str">
        <f>VLOOKUP(J98,错误mRNA总表!D:J,7,FALSE)</f>
        <v/>
      </c>
      <c r="M98" s="41" t="e">
        <f>VLOOKUP(I98,错误mRNA总表!D:I,6,FALSE)</f>
        <v>#N/A</v>
      </c>
    </row>
    <row r="99" spans="1:13" x14ac:dyDescent="0.2">
      <c r="A99" s="12" t="s">
        <v>4020</v>
      </c>
      <c r="B99" s="12" t="s">
        <v>3962</v>
      </c>
      <c r="C99" s="12">
        <v>60074477</v>
      </c>
      <c r="D99" s="12">
        <v>60512340</v>
      </c>
      <c r="E99" s="12" t="s">
        <v>3940</v>
      </c>
      <c r="F99" s="12">
        <v>2</v>
      </c>
      <c r="G99" s="41" t="s">
        <v>53</v>
      </c>
      <c r="H99" s="12" t="s">
        <v>6372</v>
      </c>
      <c r="I99" s="41" t="s">
        <v>6676</v>
      </c>
      <c r="M99" s="41" t="e">
        <f>VLOOKUP(I99,错误mRNA总表!D:I,6,FALSE)</f>
        <v>#N/A</v>
      </c>
    </row>
    <row r="100" spans="1:13" x14ac:dyDescent="0.2">
      <c r="A100" s="12" t="s">
        <v>4021</v>
      </c>
      <c r="B100" s="12" t="s">
        <v>3989</v>
      </c>
      <c r="C100" s="12">
        <v>3338804</v>
      </c>
      <c r="D100" s="12">
        <v>3338938</v>
      </c>
      <c r="E100" s="12" t="s">
        <v>3940</v>
      </c>
      <c r="F100" s="12">
        <v>3</v>
      </c>
      <c r="G100" s="12" t="s">
        <v>3989</v>
      </c>
      <c r="H100" s="12" t="s">
        <v>3575</v>
      </c>
      <c r="I100" s="41" t="s">
        <v>6677</v>
      </c>
      <c r="M100" s="41" t="e">
        <f>VLOOKUP(I100,错误mRNA总表!D:I,6,FALSE)</f>
        <v>#N/A</v>
      </c>
    </row>
    <row r="101" spans="1:13" x14ac:dyDescent="0.2">
      <c r="A101" s="12" t="s">
        <v>4022</v>
      </c>
      <c r="B101" s="12" t="s">
        <v>4023</v>
      </c>
      <c r="C101" s="12">
        <v>1151952</v>
      </c>
      <c r="D101" s="12">
        <v>1153090</v>
      </c>
      <c r="E101" s="12" t="s">
        <v>3943</v>
      </c>
      <c r="F101" s="12">
        <v>1</v>
      </c>
      <c r="G101" s="12" t="s">
        <v>4023</v>
      </c>
      <c r="H101" s="12" t="s">
        <v>6373</v>
      </c>
      <c r="I101" s="41" t="s">
        <v>6678</v>
      </c>
      <c r="M101" s="41" t="e">
        <f>VLOOKUP(I101,错误mRNA总表!D:I,6,FALSE)</f>
        <v>#N/A</v>
      </c>
    </row>
    <row r="102" spans="1:13" x14ac:dyDescent="0.2">
      <c r="A102" s="12" t="s">
        <v>4024</v>
      </c>
      <c r="B102" s="12" t="s">
        <v>3939</v>
      </c>
      <c r="C102" s="12">
        <v>142967173</v>
      </c>
      <c r="D102" s="12">
        <v>142968015</v>
      </c>
      <c r="E102" s="12" t="s">
        <v>3943</v>
      </c>
      <c r="F102" s="12">
        <v>5</v>
      </c>
      <c r="G102" s="41" t="s">
        <v>73</v>
      </c>
      <c r="H102" s="12" t="s">
        <v>3678</v>
      </c>
      <c r="I102" s="41" t="s">
        <v>6679</v>
      </c>
      <c r="M102" s="41" t="e">
        <f>VLOOKUP(I102,错误mRNA总表!D:I,6,FALSE)</f>
        <v>#N/A</v>
      </c>
    </row>
    <row r="103" spans="1:13" x14ac:dyDescent="0.2">
      <c r="A103" s="12" t="s">
        <v>4025</v>
      </c>
      <c r="B103" s="12" t="s">
        <v>4026</v>
      </c>
      <c r="C103" s="12">
        <v>11978</v>
      </c>
      <c r="D103" s="12">
        <v>120933</v>
      </c>
      <c r="E103" s="12" t="s">
        <v>3940</v>
      </c>
      <c r="F103" s="12">
        <v>1</v>
      </c>
      <c r="G103" s="12" t="s">
        <v>4026</v>
      </c>
      <c r="H103" s="12" t="s">
        <v>868</v>
      </c>
      <c r="I103" s="41" t="s">
        <v>6680</v>
      </c>
      <c r="J103" s="41" t="s">
        <v>2261</v>
      </c>
      <c r="K103" s="41" t="str">
        <f>VLOOKUP(J103,错误mRNA总表!D:J,7,FALSE)</f>
        <v/>
      </c>
      <c r="M103" s="41" t="e">
        <f>VLOOKUP(I103,错误mRNA总表!D:I,6,FALSE)</f>
        <v>#N/A</v>
      </c>
    </row>
    <row r="104" spans="1:13" x14ac:dyDescent="0.2">
      <c r="A104" s="12" t="s">
        <v>4025</v>
      </c>
      <c r="B104" s="12" t="s">
        <v>4026</v>
      </c>
      <c r="C104" s="12">
        <v>11978</v>
      </c>
      <c r="D104" s="12">
        <v>120951</v>
      </c>
      <c r="E104" s="12" t="s">
        <v>3940</v>
      </c>
      <c r="F104" s="12">
        <v>1</v>
      </c>
      <c r="G104" s="12" t="s">
        <v>4026</v>
      </c>
      <c r="H104" s="12" t="s">
        <v>868</v>
      </c>
      <c r="I104" s="41" t="s">
        <v>6680</v>
      </c>
      <c r="J104" s="41" t="s">
        <v>2261</v>
      </c>
      <c r="K104" s="41" t="str">
        <f>VLOOKUP(J104,错误mRNA总表!D:J,7,FALSE)</f>
        <v/>
      </c>
      <c r="M104" s="41" t="e">
        <f>VLOOKUP(I104,错误mRNA总表!D:I,6,FALSE)</f>
        <v>#N/A</v>
      </c>
    </row>
    <row r="105" spans="1:13" x14ac:dyDescent="0.2">
      <c r="A105" s="12" t="s">
        <v>4025</v>
      </c>
      <c r="B105" s="12" t="s">
        <v>4026</v>
      </c>
      <c r="C105" s="12">
        <v>11978</v>
      </c>
      <c r="D105" s="12">
        <v>120959</v>
      </c>
      <c r="E105" s="12" t="s">
        <v>3943</v>
      </c>
      <c r="F105" s="12">
        <v>1</v>
      </c>
      <c r="G105" s="12" t="s">
        <v>4026</v>
      </c>
      <c r="H105" s="12" t="s">
        <v>868</v>
      </c>
      <c r="I105" s="41" t="s">
        <v>6680</v>
      </c>
      <c r="J105" s="41" t="s">
        <v>2261</v>
      </c>
      <c r="K105" s="41" t="str">
        <f>VLOOKUP(J105,错误mRNA总表!D:J,7,FALSE)</f>
        <v/>
      </c>
      <c r="M105" s="41" t="e">
        <f>VLOOKUP(I105,错误mRNA总表!D:I,6,FALSE)</f>
        <v>#N/A</v>
      </c>
    </row>
    <row r="106" spans="1:13" x14ac:dyDescent="0.2">
      <c r="A106" s="12" t="s">
        <v>4027</v>
      </c>
      <c r="B106" s="12" t="s">
        <v>3950</v>
      </c>
      <c r="C106" s="12">
        <v>248562</v>
      </c>
      <c r="D106" s="12">
        <v>248597</v>
      </c>
      <c r="E106" s="12" t="s">
        <v>3940</v>
      </c>
      <c r="F106" s="12">
        <v>2</v>
      </c>
      <c r="G106" s="12" t="s">
        <v>3950</v>
      </c>
      <c r="H106" s="12" t="s">
        <v>3654</v>
      </c>
      <c r="I106" s="41" t="s">
        <v>6681</v>
      </c>
      <c r="M106" s="41" t="e">
        <f>VLOOKUP(I106,错误mRNA总表!D:I,6,FALSE)</f>
        <v>#N/A</v>
      </c>
    </row>
    <row r="107" spans="1:13" x14ac:dyDescent="0.2">
      <c r="A107" s="12" t="s">
        <v>4028</v>
      </c>
      <c r="B107" s="12" t="s">
        <v>3960</v>
      </c>
      <c r="C107" s="12">
        <v>134946</v>
      </c>
      <c r="D107" s="12">
        <v>147927</v>
      </c>
      <c r="E107" s="12" t="s">
        <v>3940</v>
      </c>
      <c r="F107" s="12">
        <v>1</v>
      </c>
      <c r="G107" s="12" t="s">
        <v>3960</v>
      </c>
      <c r="H107" s="12" t="s">
        <v>3649</v>
      </c>
      <c r="I107" s="41" t="s">
        <v>6633</v>
      </c>
      <c r="M107" s="41" t="e">
        <f>VLOOKUP(I107,错误mRNA总表!D:I,6,FALSE)</f>
        <v>#N/A</v>
      </c>
    </row>
    <row r="108" spans="1:13" x14ac:dyDescent="0.2">
      <c r="A108" s="12" t="s">
        <v>4028</v>
      </c>
      <c r="B108" s="12" t="s">
        <v>3960</v>
      </c>
      <c r="C108" s="12">
        <v>134946</v>
      </c>
      <c r="D108" s="12">
        <v>135009</v>
      </c>
      <c r="E108" s="12" t="s">
        <v>3940</v>
      </c>
      <c r="F108" s="12">
        <v>1</v>
      </c>
      <c r="G108" s="12" t="s">
        <v>3960</v>
      </c>
      <c r="H108" s="12" t="s">
        <v>3649</v>
      </c>
      <c r="I108" s="41" t="s">
        <v>6633</v>
      </c>
      <c r="M108" s="41" t="e">
        <f>VLOOKUP(I108,错误mRNA总表!D:I,6,FALSE)</f>
        <v>#N/A</v>
      </c>
    </row>
    <row r="109" spans="1:13" x14ac:dyDescent="0.2">
      <c r="A109" s="12" t="s">
        <v>4029</v>
      </c>
      <c r="B109" s="12" t="s">
        <v>4030</v>
      </c>
      <c r="C109" s="12">
        <v>106744269</v>
      </c>
      <c r="D109" s="12">
        <v>106744835</v>
      </c>
      <c r="E109" s="12" t="s">
        <v>3940</v>
      </c>
      <c r="F109" s="12">
        <v>1</v>
      </c>
      <c r="G109" s="41" t="s">
        <v>81</v>
      </c>
      <c r="H109" s="12" t="s">
        <v>6310</v>
      </c>
      <c r="I109" s="41" t="s">
        <v>6682</v>
      </c>
      <c r="M109" s="41" t="e">
        <f>VLOOKUP(I109,错误mRNA总表!D:I,6,FALSE)</f>
        <v>#N/A</v>
      </c>
    </row>
    <row r="110" spans="1:13" x14ac:dyDescent="0.2">
      <c r="A110" s="12" t="s">
        <v>4031</v>
      </c>
      <c r="B110" s="12" t="s">
        <v>3957</v>
      </c>
      <c r="C110" s="12">
        <v>46638826</v>
      </c>
      <c r="D110" s="12">
        <v>46694313</v>
      </c>
      <c r="E110" s="12" t="s">
        <v>3943</v>
      </c>
      <c r="F110" s="12">
        <v>2</v>
      </c>
      <c r="G110" s="41" t="s">
        <v>36</v>
      </c>
      <c r="H110" s="12" t="s">
        <v>5787</v>
      </c>
      <c r="I110" s="41" t="s">
        <v>6683</v>
      </c>
      <c r="M110" s="41" t="e">
        <f>VLOOKUP(I110,错误mRNA总表!D:I,6,FALSE)</f>
        <v>#N/A</v>
      </c>
    </row>
    <row r="111" spans="1:13" x14ac:dyDescent="0.2">
      <c r="A111" s="12" t="s">
        <v>4032</v>
      </c>
      <c r="B111" s="12" t="s">
        <v>3986</v>
      </c>
      <c r="C111" s="12">
        <v>55043909</v>
      </c>
      <c r="D111" s="12">
        <v>55056506</v>
      </c>
      <c r="E111" s="12" t="s">
        <v>3943</v>
      </c>
      <c r="F111" s="12">
        <v>3</v>
      </c>
      <c r="G111" s="41" t="s">
        <v>50</v>
      </c>
      <c r="H111" s="12" t="s">
        <v>5788</v>
      </c>
      <c r="I111" s="41" t="s">
        <v>6684</v>
      </c>
      <c r="M111" s="41" t="e">
        <f>VLOOKUP(I111,错误mRNA总表!D:I,6,FALSE)</f>
        <v>#N/A</v>
      </c>
    </row>
    <row r="112" spans="1:13" x14ac:dyDescent="0.2">
      <c r="A112" s="12" t="s">
        <v>4032</v>
      </c>
      <c r="B112" s="12" t="s">
        <v>3986</v>
      </c>
      <c r="C112" s="12">
        <v>55043909</v>
      </c>
      <c r="D112" s="12">
        <v>55056646</v>
      </c>
      <c r="E112" s="12" t="s">
        <v>3943</v>
      </c>
      <c r="F112" s="12">
        <v>6</v>
      </c>
      <c r="G112" s="41" t="s">
        <v>50</v>
      </c>
      <c r="H112" s="12" t="s">
        <v>5788</v>
      </c>
      <c r="I112" s="41" t="s">
        <v>6684</v>
      </c>
      <c r="M112" s="41" t="e">
        <f>VLOOKUP(I112,错误mRNA总表!D:I,6,FALSE)</f>
        <v>#N/A</v>
      </c>
    </row>
    <row r="113" spans="1:13" x14ac:dyDescent="0.2">
      <c r="A113" s="12" t="s">
        <v>4033</v>
      </c>
      <c r="B113" s="12" t="s">
        <v>3984</v>
      </c>
      <c r="C113" s="12">
        <v>2922643</v>
      </c>
      <c r="D113" s="12">
        <v>2922659</v>
      </c>
      <c r="E113" s="12" t="s">
        <v>3943</v>
      </c>
      <c r="F113" s="12">
        <v>5</v>
      </c>
      <c r="G113" s="12" t="s">
        <v>3984</v>
      </c>
      <c r="H113" s="12" t="s">
        <v>3566</v>
      </c>
      <c r="I113" s="41" t="s">
        <v>6685</v>
      </c>
      <c r="M113" s="41" t="e">
        <f>VLOOKUP(I113,错误mRNA总表!D:I,6,FALSE)</f>
        <v>#N/A</v>
      </c>
    </row>
    <row r="114" spans="1:13" x14ac:dyDescent="0.2">
      <c r="A114" s="12" t="s">
        <v>4033</v>
      </c>
      <c r="B114" s="12" t="s">
        <v>3984</v>
      </c>
      <c r="C114" s="12">
        <v>2922643</v>
      </c>
      <c r="D114" s="12">
        <v>2923119</v>
      </c>
      <c r="E114" s="12" t="s">
        <v>3943</v>
      </c>
      <c r="F114" s="12">
        <v>1</v>
      </c>
      <c r="G114" s="12" t="s">
        <v>3984</v>
      </c>
      <c r="H114" s="12" t="s">
        <v>3566</v>
      </c>
      <c r="I114" s="41" t="s">
        <v>6685</v>
      </c>
      <c r="M114" s="41" t="e">
        <f>VLOOKUP(I114,错误mRNA总表!D:I,6,FALSE)</f>
        <v>#N/A</v>
      </c>
    </row>
    <row r="115" spans="1:13" x14ac:dyDescent="0.2">
      <c r="A115" s="12" t="s">
        <v>4033</v>
      </c>
      <c r="B115" s="12" t="s">
        <v>3984</v>
      </c>
      <c r="C115" s="12">
        <v>2922643</v>
      </c>
      <c r="D115" s="12">
        <v>2923239</v>
      </c>
      <c r="E115" s="12" t="s">
        <v>3940</v>
      </c>
      <c r="F115" s="12">
        <v>1</v>
      </c>
      <c r="G115" s="12" t="s">
        <v>3984</v>
      </c>
      <c r="H115" s="12" t="s">
        <v>3566</v>
      </c>
      <c r="I115" s="41" t="s">
        <v>6685</v>
      </c>
      <c r="M115" s="41" t="e">
        <f>VLOOKUP(I115,错误mRNA总表!D:I,6,FALSE)</f>
        <v>#N/A</v>
      </c>
    </row>
    <row r="116" spans="1:13" x14ac:dyDescent="0.2">
      <c r="A116" s="12" t="s">
        <v>4034</v>
      </c>
      <c r="B116" s="12" t="s">
        <v>4035</v>
      </c>
      <c r="C116" s="12">
        <v>72012098</v>
      </c>
      <c r="D116" s="12">
        <v>72440658</v>
      </c>
      <c r="E116" s="12" t="s">
        <v>3943</v>
      </c>
      <c r="F116" s="12">
        <v>6</v>
      </c>
      <c r="G116" s="41" t="s">
        <v>106</v>
      </c>
      <c r="H116" s="12" t="s">
        <v>6620</v>
      </c>
      <c r="I116" s="41" t="s">
        <v>6686</v>
      </c>
      <c r="M116" s="41" t="e">
        <f>VLOOKUP(I116,错误mRNA总表!D:I,6,FALSE)</f>
        <v>#N/A</v>
      </c>
    </row>
    <row r="117" spans="1:13" x14ac:dyDescent="0.2">
      <c r="A117" s="12" t="s">
        <v>4036</v>
      </c>
      <c r="B117" s="12" t="s">
        <v>3996</v>
      </c>
      <c r="C117" s="12">
        <v>2485649</v>
      </c>
      <c r="D117" s="12">
        <v>2509610</v>
      </c>
      <c r="E117" s="12" t="s">
        <v>3940</v>
      </c>
      <c r="F117" s="12">
        <v>30</v>
      </c>
      <c r="G117" s="12" t="s">
        <v>3996</v>
      </c>
      <c r="H117" s="12" t="s">
        <v>5789</v>
      </c>
      <c r="I117" s="41" t="s">
        <v>6687</v>
      </c>
      <c r="M117" s="41" t="e">
        <f>VLOOKUP(I117,错误mRNA总表!D:I,6,FALSE)</f>
        <v>#N/A</v>
      </c>
    </row>
    <row r="118" spans="1:13" x14ac:dyDescent="0.2">
      <c r="A118" s="12" t="s">
        <v>4037</v>
      </c>
      <c r="B118" s="12" t="s">
        <v>4038</v>
      </c>
      <c r="C118" s="12">
        <v>62578</v>
      </c>
      <c r="D118" s="12">
        <v>63652</v>
      </c>
      <c r="E118" s="12" t="s">
        <v>3943</v>
      </c>
      <c r="F118" s="12">
        <v>2</v>
      </c>
      <c r="G118" s="12" t="s">
        <v>4038</v>
      </c>
      <c r="H118" s="12" t="s">
        <v>800</v>
      </c>
      <c r="I118" s="41" t="s">
        <v>6688</v>
      </c>
      <c r="J118" s="41" t="s">
        <v>2714</v>
      </c>
      <c r="K118" s="41" t="str">
        <f>VLOOKUP(J118,错误mRNA总表!D:J,7,FALSE)</f>
        <v/>
      </c>
      <c r="M118" s="41" t="e">
        <f>VLOOKUP(I118,错误mRNA总表!D:I,6,FALSE)</f>
        <v>#N/A</v>
      </c>
    </row>
    <row r="119" spans="1:13" x14ac:dyDescent="0.2">
      <c r="A119" s="12" t="s">
        <v>4037</v>
      </c>
      <c r="B119" s="12" t="s">
        <v>4038</v>
      </c>
      <c r="C119" s="12">
        <v>62578</v>
      </c>
      <c r="D119" s="12">
        <v>63801</v>
      </c>
      <c r="E119" s="12" t="s">
        <v>3943</v>
      </c>
      <c r="F119" s="12">
        <v>8</v>
      </c>
      <c r="G119" s="12" t="s">
        <v>4038</v>
      </c>
      <c r="H119" s="12" t="s">
        <v>800</v>
      </c>
      <c r="I119" s="41" t="s">
        <v>6688</v>
      </c>
      <c r="J119" s="41" t="s">
        <v>2714</v>
      </c>
      <c r="K119" s="41" t="str">
        <f>VLOOKUP(J119,错误mRNA总表!D:J,7,FALSE)</f>
        <v/>
      </c>
      <c r="M119" s="41" t="e">
        <f>VLOOKUP(I119,错误mRNA总表!D:I,6,FALSE)</f>
        <v>#N/A</v>
      </c>
    </row>
    <row r="120" spans="1:13" x14ac:dyDescent="0.2">
      <c r="A120" s="12" t="s">
        <v>4039</v>
      </c>
      <c r="B120" s="12" t="s">
        <v>3969</v>
      </c>
      <c r="C120" s="12">
        <v>1832805</v>
      </c>
      <c r="D120" s="12">
        <v>1852112</v>
      </c>
      <c r="E120" s="12" t="s">
        <v>3943</v>
      </c>
      <c r="F120" s="12">
        <v>1</v>
      </c>
      <c r="G120" s="12" t="s">
        <v>3969</v>
      </c>
      <c r="H120" s="12" t="s">
        <v>3543</v>
      </c>
      <c r="I120" s="41" t="s">
        <v>6689</v>
      </c>
      <c r="M120" s="41" t="e">
        <f>VLOOKUP(I120,错误mRNA总表!D:I,6,FALSE)</f>
        <v>#N/A</v>
      </c>
    </row>
    <row r="121" spans="1:13" x14ac:dyDescent="0.2">
      <c r="A121" s="12" t="s">
        <v>4040</v>
      </c>
      <c r="B121" s="12" t="s">
        <v>4023</v>
      </c>
      <c r="C121" s="12">
        <v>762280</v>
      </c>
      <c r="D121" s="12">
        <v>895550</v>
      </c>
      <c r="E121" s="12" t="s">
        <v>3940</v>
      </c>
      <c r="F121" s="12">
        <v>1</v>
      </c>
      <c r="G121" s="12" t="s">
        <v>4023</v>
      </c>
      <c r="H121" s="12" t="s">
        <v>3637</v>
      </c>
      <c r="I121" s="41" t="s">
        <v>6690</v>
      </c>
      <c r="M121" s="41" t="e">
        <f>VLOOKUP(I121,错误mRNA总表!D:I,6,FALSE)</f>
        <v>#N/A</v>
      </c>
    </row>
    <row r="122" spans="1:13" x14ac:dyDescent="0.2">
      <c r="A122" s="12" t="s">
        <v>4040</v>
      </c>
      <c r="B122" s="12" t="s">
        <v>4023</v>
      </c>
      <c r="C122" s="12">
        <v>762280</v>
      </c>
      <c r="D122" s="12">
        <v>763397</v>
      </c>
      <c r="E122" s="12" t="s">
        <v>3940</v>
      </c>
      <c r="F122" s="12">
        <v>3</v>
      </c>
      <c r="G122" s="12" t="s">
        <v>4023</v>
      </c>
      <c r="H122" s="12" t="s">
        <v>3637</v>
      </c>
      <c r="I122" s="41" t="s">
        <v>6690</v>
      </c>
      <c r="M122" s="41" t="e">
        <f>VLOOKUP(I122,错误mRNA总表!D:I,6,FALSE)</f>
        <v>#N/A</v>
      </c>
    </row>
    <row r="123" spans="1:13" x14ac:dyDescent="0.2">
      <c r="A123" s="12" t="s">
        <v>4040</v>
      </c>
      <c r="B123" s="12" t="s">
        <v>4023</v>
      </c>
      <c r="C123" s="12">
        <v>762280</v>
      </c>
      <c r="D123" s="12">
        <v>763561</v>
      </c>
      <c r="E123" s="12" t="s">
        <v>3940</v>
      </c>
      <c r="F123" s="12">
        <v>3</v>
      </c>
      <c r="G123" s="12" t="s">
        <v>4023</v>
      </c>
      <c r="H123" s="12" t="s">
        <v>3637</v>
      </c>
      <c r="I123" s="41" t="s">
        <v>6690</v>
      </c>
      <c r="M123" s="41" t="e">
        <f>VLOOKUP(I123,错误mRNA总表!D:I,6,FALSE)</f>
        <v>#N/A</v>
      </c>
    </row>
    <row r="124" spans="1:13" x14ac:dyDescent="0.2">
      <c r="A124" s="12" t="s">
        <v>4040</v>
      </c>
      <c r="B124" s="12" t="s">
        <v>4023</v>
      </c>
      <c r="C124" s="12">
        <v>762280</v>
      </c>
      <c r="D124" s="12">
        <v>763693</v>
      </c>
      <c r="E124" s="12" t="s">
        <v>3940</v>
      </c>
      <c r="F124" s="12">
        <v>1</v>
      </c>
      <c r="G124" s="12" t="s">
        <v>4023</v>
      </c>
      <c r="H124" s="12" t="s">
        <v>3637</v>
      </c>
      <c r="I124" s="41" t="s">
        <v>6690</v>
      </c>
      <c r="M124" s="41" t="e">
        <f>VLOOKUP(I124,错误mRNA总表!D:I,6,FALSE)</f>
        <v>#N/A</v>
      </c>
    </row>
    <row r="125" spans="1:13" x14ac:dyDescent="0.2">
      <c r="A125" s="12" t="s">
        <v>4040</v>
      </c>
      <c r="B125" s="12" t="s">
        <v>4023</v>
      </c>
      <c r="C125" s="12">
        <v>762280</v>
      </c>
      <c r="D125" s="12">
        <v>764045</v>
      </c>
      <c r="E125" s="12" t="s">
        <v>3943</v>
      </c>
      <c r="F125" s="12">
        <v>1</v>
      </c>
      <c r="G125" s="12" t="s">
        <v>4023</v>
      </c>
      <c r="H125" s="12" t="s">
        <v>3637</v>
      </c>
      <c r="I125" s="41" t="s">
        <v>6690</v>
      </c>
      <c r="M125" s="41" t="e">
        <f>VLOOKUP(I125,错误mRNA总表!D:I,6,FALSE)</f>
        <v>#N/A</v>
      </c>
    </row>
    <row r="126" spans="1:13" x14ac:dyDescent="0.2">
      <c r="A126" s="12" t="s">
        <v>4040</v>
      </c>
      <c r="B126" s="12" t="s">
        <v>4023</v>
      </c>
      <c r="C126" s="12">
        <v>762280</v>
      </c>
      <c r="D126" s="12">
        <v>764501</v>
      </c>
      <c r="E126" s="12" t="s">
        <v>3943</v>
      </c>
      <c r="F126" s="12">
        <v>1</v>
      </c>
      <c r="G126" s="12" t="s">
        <v>4023</v>
      </c>
      <c r="H126" s="12" t="s">
        <v>3637</v>
      </c>
      <c r="I126" s="41" t="s">
        <v>6690</v>
      </c>
      <c r="M126" s="41" t="e">
        <f>VLOOKUP(I126,错误mRNA总表!D:I,6,FALSE)</f>
        <v>#N/A</v>
      </c>
    </row>
    <row r="127" spans="1:13" x14ac:dyDescent="0.2">
      <c r="A127" s="12" t="s">
        <v>4040</v>
      </c>
      <c r="B127" s="12" t="s">
        <v>4023</v>
      </c>
      <c r="C127" s="12">
        <v>762280</v>
      </c>
      <c r="D127" s="12">
        <v>765228</v>
      </c>
      <c r="E127" s="12" t="s">
        <v>3940</v>
      </c>
      <c r="F127" s="12">
        <v>2</v>
      </c>
      <c r="G127" s="12" t="s">
        <v>4023</v>
      </c>
      <c r="H127" s="12" t="s">
        <v>3637</v>
      </c>
      <c r="I127" s="41" t="s">
        <v>6690</v>
      </c>
      <c r="M127" s="41" t="e">
        <f>VLOOKUP(I127,错误mRNA总表!D:I,6,FALSE)</f>
        <v>#N/A</v>
      </c>
    </row>
    <row r="128" spans="1:13" x14ac:dyDescent="0.2">
      <c r="A128" s="12" t="s">
        <v>4040</v>
      </c>
      <c r="B128" s="12" t="s">
        <v>4023</v>
      </c>
      <c r="C128" s="12">
        <v>762280</v>
      </c>
      <c r="D128" s="12">
        <v>765290</v>
      </c>
      <c r="E128" s="12" t="s">
        <v>3943</v>
      </c>
      <c r="F128" s="12">
        <v>1</v>
      </c>
      <c r="G128" s="12" t="s">
        <v>4023</v>
      </c>
      <c r="H128" s="12" t="s">
        <v>3637</v>
      </c>
      <c r="I128" s="41" t="s">
        <v>6690</v>
      </c>
      <c r="M128" s="41" t="e">
        <f>VLOOKUP(I128,错误mRNA总表!D:I,6,FALSE)</f>
        <v>#N/A</v>
      </c>
    </row>
    <row r="129" spans="1:13" x14ac:dyDescent="0.2">
      <c r="A129" s="12" t="s">
        <v>4040</v>
      </c>
      <c r="B129" s="12" t="s">
        <v>4023</v>
      </c>
      <c r="C129" s="12">
        <v>762280</v>
      </c>
      <c r="D129" s="12">
        <v>765526</v>
      </c>
      <c r="E129" s="12" t="s">
        <v>3943</v>
      </c>
      <c r="F129" s="12">
        <v>2</v>
      </c>
      <c r="G129" s="12" t="s">
        <v>4023</v>
      </c>
      <c r="H129" s="12" t="s">
        <v>3637</v>
      </c>
      <c r="I129" s="41" t="s">
        <v>6690</v>
      </c>
      <c r="M129" s="41" t="e">
        <f>VLOOKUP(I129,错误mRNA总表!D:I,6,FALSE)</f>
        <v>#N/A</v>
      </c>
    </row>
    <row r="130" spans="1:13" x14ac:dyDescent="0.2">
      <c r="A130" s="12" t="s">
        <v>4040</v>
      </c>
      <c r="B130" s="12" t="s">
        <v>4023</v>
      </c>
      <c r="C130" s="12">
        <v>762280</v>
      </c>
      <c r="D130" s="12">
        <v>766121</v>
      </c>
      <c r="E130" s="12" t="s">
        <v>3943</v>
      </c>
      <c r="F130" s="12">
        <v>1</v>
      </c>
      <c r="G130" s="12" t="s">
        <v>4023</v>
      </c>
      <c r="H130" s="12" t="s">
        <v>3637</v>
      </c>
      <c r="I130" s="41" t="s">
        <v>6690</v>
      </c>
      <c r="M130" s="41" t="e">
        <f>VLOOKUP(I130,错误mRNA总表!D:I,6,FALSE)</f>
        <v>#N/A</v>
      </c>
    </row>
    <row r="131" spans="1:13" x14ac:dyDescent="0.2">
      <c r="A131" s="12" t="s">
        <v>4040</v>
      </c>
      <c r="B131" s="12" t="s">
        <v>4023</v>
      </c>
      <c r="C131" s="12">
        <v>762280</v>
      </c>
      <c r="D131" s="12">
        <v>766198</v>
      </c>
      <c r="E131" s="12" t="s">
        <v>3943</v>
      </c>
      <c r="F131" s="12">
        <v>1</v>
      </c>
      <c r="G131" s="12" t="s">
        <v>4023</v>
      </c>
      <c r="H131" s="12" t="s">
        <v>3637</v>
      </c>
      <c r="I131" s="41" t="s">
        <v>6690</v>
      </c>
      <c r="M131" s="41" t="e">
        <f>VLOOKUP(I131,错误mRNA总表!D:I,6,FALSE)</f>
        <v>#N/A</v>
      </c>
    </row>
    <row r="132" spans="1:13" x14ac:dyDescent="0.2">
      <c r="A132" s="12" t="s">
        <v>4041</v>
      </c>
      <c r="B132" s="12" t="s">
        <v>4042</v>
      </c>
      <c r="C132" s="12">
        <v>72102888</v>
      </c>
      <c r="D132" s="12">
        <v>72105932</v>
      </c>
      <c r="E132" s="12" t="s">
        <v>3943</v>
      </c>
      <c r="F132" s="12">
        <v>1</v>
      </c>
      <c r="G132" s="41" t="s">
        <v>113</v>
      </c>
      <c r="H132" s="12" t="s">
        <v>217</v>
      </c>
      <c r="I132" s="41" t="s">
        <v>6691</v>
      </c>
      <c r="J132" s="41" t="s">
        <v>2184</v>
      </c>
      <c r="K132" s="41" t="str">
        <f>VLOOKUP(J132,错误mRNA总表!D:J,7,FALSE)</f>
        <v>纠后正确，utr略有变化，版本不一致</v>
      </c>
      <c r="M132" s="41" t="e">
        <f>VLOOKUP(I132,错误mRNA总表!D:I,6,FALSE)</f>
        <v>#N/A</v>
      </c>
    </row>
    <row r="133" spans="1:13" x14ac:dyDescent="0.2">
      <c r="A133" s="12" t="s">
        <v>4043</v>
      </c>
      <c r="B133" s="12" t="s">
        <v>3984</v>
      </c>
      <c r="C133" s="12">
        <v>1187016</v>
      </c>
      <c r="D133" s="12">
        <v>1187094</v>
      </c>
      <c r="E133" s="12" t="s">
        <v>3943</v>
      </c>
      <c r="F133" s="12">
        <v>1</v>
      </c>
      <c r="G133" s="12" t="s">
        <v>3984</v>
      </c>
      <c r="H133" s="12" t="s">
        <v>6374</v>
      </c>
      <c r="I133" s="41" t="s">
        <v>6692</v>
      </c>
      <c r="M133" s="41" t="e">
        <f>VLOOKUP(I133,错误mRNA总表!D:I,6,FALSE)</f>
        <v>#N/A</v>
      </c>
    </row>
    <row r="134" spans="1:13" x14ac:dyDescent="0.2">
      <c r="A134" s="12" t="s">
        <v>4043</v>
      </c>
      <c r="B134" s="12" t="s">
        <v>3984</v>
      </c>
      <c r="C134" s="12">
        <v>1187016</v>
      </c>
      <c r="D134" s="12">
        <v>1187218</v>
      </c>
      <c r="E134" s="12" t="s">
        <v>3940</v>
      </c>
      <c r="F134" s="12">
        <v>4</v>
      </c>
      <c r="G134" s="12" t="s">
        <v>3984</v>
      </c>
      <c r="H134" s="12" t="s">
        <v>6374</v>
      </c>
      <c r="I134" s="41" t="s">
        <v>6692</v>
      </c>
      <c r="M134" s="41" t="e">
        <f>VLOOKUP(I134,错误mRNA总表!D:I,6,FALSE)</f>
        <v>#N/A</v>
      </c>
    </row>
    <row r="135" spans="1:13" x14ac:dyDescent="0.2">
      <c r="A135" s="12" t="s">
        <v>4043</v>
      </c>
      <c r="B135" s="12" t="s">
        <v>3984</v>
      </c>
      <c r="C135" s="12">
        <v>1187016</v>
      </c>
      <c r="D135" s="12">
        <v>1187659</v>
      </c>
      <c r="E135" s="12" t="s">
        <v>3940</v>
      </c>
      <c r="F135" s="12">
        <v>1</v>
      </c>
      <c r="G135" s="12" t="s">
        <v>3984</v>
      </c>
      <c r="H135" s="12" t="s">
        <v>6374</v>
      </c>
      <c r="I135" s="41" t="s">
        <v>6692</v>
      </c>
      <c r="M135" s="41" t="e">
        <f>VLOOKUP(I135,错误mRNA总表!D:I,6,FALSE)</f>
        <v>#N/A</v>
      </c>
    </row>
    <row r="136" spans="1:13" x14ac:dyDescent="0.2">
      <c r="A136" s="12" t="s">
        <v>4043</v>
      </c>
      <c r="B136" s="12" t="s">
        <v>3984</v>
      </c>
      <c r="C136" s="12">
        <v>1187016</v>
      </c>
      <c r="D136" s="12">
        <v>1188195</v>
      </c>
      <c r="E136" s="12" t="s">
        <v>3943</v>
      </c>
      <c r="F136" s="12">
        <v>4</v>
      </c>
      <c r="G136" s="12" t="s">
        <v>3984</v>
      </c>
      <c r="H136" s="12" t="s">
        <v>6374</v>
      </c>
      <c r="I136" s="41" t="s">
        <v>6692</v>
      </c>
      <c r="M136" s="41" t="e">
        <f>VLOOKUP(I136,错误mRNA总表!D:I,6,FALSE)</f>
        <v>#N/A</v>
      </c>
    </row>
    <row r="137" spans="1:13" x14ac:dyDescent="0.2">
      <c r="A137" s="12" t="s">
        <v>4044</v>
      </c>
      <c r="B137" s="12" t="s">
        <v>4045</v>
      </c>
      <c r="C137" s="12">
        <v>134946</v>
      </c>
      <c r="D137" s="12">
        <v>135009</v>
      </c>
      <c r="E137" s="12" t="s">
        <v>3940</v>
      </c>
      <c r="F137" s="12">
        <v>1</v>
      </c>
      <c r="H137" s="12" t="s">
        <v>3648</v>
      </c>
      <c r="I137" s="41" t="s">
        <v>6693</v>
      </c>
      <c r="M137" s="41" t="e">
        <f>VLOOKUP(I137,错误mRNA总表!D:I,6,FALSE)</f>
        <v>#N/A</v>
      </c>
    </row>
    <row r="138" spans="1:13" x14ac:dyDescent="0.2">
      <c r="A138" s="12" t="s">
        <v>4046</v>
      </c>
      <c r="B138" s="12" t="s">
        <v>4047</v>
      </c>
      <c r="C138" s="12">
        <v>1264869</v>
      </c>
      <c r="D138" s="12">
        <v>1264883</v>
      </c>
      <c r="E138" s="12" t="s">
        <v>3940</v>
      </c>
      <c r="F138" s="12">
        <v>2</v>
      </c>
      <c r="G138" s="41" t="s">
        <v>1409</v>
      </c>
      <c r="H138" s="12" t="s">
        <v>1361</v>
      </c>
      <c r="I138" s="41" t="s">
        <v>3301</v>
      </c>
      <c r="J138" s="41" t="s">
        <v>3300</v>
      </c>
      <c r="K138" s="41" t="str">
        <f>VLOOKUP(J138,错误mRNA总表!D:J,7,FALSE)</f>
        <v>无rs号验证，氨基酸加1个chrX:1314875-1314998</v>
      </c>
      <c r="L138" s="41" t="s">
        <v>8333</v>
      </c>
      <c r="M138" s="41">
        <f>VLOOKUP(I138,错误mRNA总表!D:I,6,FALSE)</f>
        <v>0</v>
      </c>
    </row>
    <row r="139" spans="1:13" x14ac:dyDescent="0.2">
      <c r="A139" s="12" t="s">
        <v>4046</v>
      </c>
      <c r="B139" s="12" t="s">
        <v>4047</v>
      </c>
      <c r="C139" s="12">
        <v>1264869</v>
      </c>
      <c r="D139" s="12">
        <v>1264893</v>
      </c>
      <c r="E139" s="12" t="s">
        <v>3940</v>
      </c>
      <c r="F139" s="12">
        <v>1</v>
      </c>
      <c r="G139" s="41" t="s">
        <v>1409</v>
      </c>
      <c r="H139" s="12" t="s">
        <v>1361</v>
      </c>
      <c r="I139" s="41" t="s">
        <v>3301</v>
      </c>
      <c r="J139" s="41" t="s">
        <v>3300</v>
      </c>
      <c r="K139" s="41" t="str">
        <f>VLOOKUP(J139,错误mRNA总表!D:J,7,FALSE)</f>
        <v>无rs号验证，氨基酸加1个chrX:1314875-1314998</v>
      </c>
      <c r="L139" s="41" t="s">
        <v>8333</v>
      </c>
      <c r="M139" s="41">
        <f>VLOOKUP(I139,错误mRNA总表!D:I,6,FALSE)</f>
        <v>0</v>
      </c>
    </row>
    <row r="140" spans="1:13" x14ac:dyDescent="0.2">
      <c r="A140" s="12" t="s">
        <v>4048</v>
      </c>
      <c r="B140" s="12" t="s">
        <v>4049</v>
      </c>
      <c r="C140" s="12">
        <v>559883</v>
      </c>
      <c r="D140" s="12">
        <v>559890</v>
      </c>
      <c r="E140" s="12" t="s">
        <v>3940</v>
      </c>
      <c r="F140" s="12">
        <v>2</v>
      </c>
      <c r="G140" s="12" t="s">
        <v>4049</v>
      </c>
      <c r="H140" s="12" t="s">
        <v>6375</v>
      </c>
      <c r="I140" s="41" t="s">
        <v>6694</v>
      </c>
      <c r="M140" s="41" t="e">
        <f>VLOOKUP(I140,错误mRNA总表!D:I,6,FALSE)</f>
        <v>#N/A</v>
      </c>
    </row>
    <row r="141" spans="1:13" x14ac:dyDescent="0.2">
      <c r="A141" s="12" t="s">
        <v>4050</v>
      </c>
      <c r="B141" s="12" t="s">
        <v>3994</v>
      </c>
      <c r="C141" s="12">
        <v>3701122</v>
      </c>
      <c r="D141" s="12">
        <v>3701253</v>
      </c>
      <c r="E141" s="12" t="s">
        <v>3943</v>
      </c>
      <c r="F141" s="12">
        <v>1</v>
      </c>
      <c r="G141" s="12" t="s">
        <v>3994</v>
      </c>
      <c r="H141" s="12" t="s">
        <v>5790</v>
      </c>
      <c r="I141" s="41" t="s">
        <v>6695</v>
      </c>
      <c r="M141" s="41" t="e">
        <f>VLOOKUP(I141,错误mRNA总表!D:I,6,FALSE)</f>
        <v>#N/A</v>
      </c>
    </row>
    <row r="142" spans="1:13" x14ac:dyDescent="0.2">
      <c r="A142" s="12" t="s">
        <v>4051</v>
      </c>
      <c r="B142" s="12" t="s">
        <v>4052</v>
      </c>
      <c r="C142" s="12">
        <v>64571756</v>
      </c>
      <c r="D142" s="12">
        <v>64572037</v>
      </c>
      <c r="E142" s="12" t="s">
        <v>3943</v>
      </c>
      <c r="F142" s="12">
        <v>1</v>
      </c>
      <c r="G142" s="41" t="s">
        <v>93</v>
      </c>
      <c r="H142" s="12" t="s">
        <v>5879</v>
      </c>
      <c r="I142" s="41" t="s">
        <v>6696</v>
      </c>
      <c r="M142" s="41" t="e">
        <f>VLOOKUP(I142,错误mRNA总表!D:I,6,FALSE)</f>
        <v>#N/A</v>
      </c>
    </row>
    <row r="143" spans="1:13" x14ac:dyDescent="0.2">
      <c r="A143" s="12" t="s">
        <v>4053</v>
      </c>
      <c r="B143" s="12" t="s">
        <v>3996</v>
      </c>
      <c r="C143" s="12">
        <v>1310647</v>
      </c>
      <c r="D143" s="12">
        <v>1314472</v>
      </c>
      <c r="E143" s="12" t="s">
        <v>3943</v>
      </c>
      <c r="F143" s="12">
        <v>14</v>
      </c>
      <c r="G143" s="12" t="s">
        <v>3996</v>
      </c>
      <c r="H143" s="12" t="s">
        <v>3531</v>
      </c>
      <c r="I143" s="41" t="s">
        <v>6697</v>
      </c>
      <c r="M143" s="41" t="e">
        <f>VLOOKUP(I143,错误mRNA总表!D:I,6,FALSE)</f>
        <v>#N/A</v>
      </c>
    </row>
    <row r="144" spans="1:13" x14ac:dyDescent="0.2">
      <c r="A144" s="12" t="s">
        <v>4054</v>
      </c>
      <c r="B144" s="12" t="s">
        <v>4055</v>
      </c>
      <c r="C144" s="12">
        <v>7079944</v>
      </c>
      <c r="D144" s="12">
        <v>7080212</v>
      </c>
      <c r="E144" s="12" t="s">
        <v>3940</v>
      </c>
      <c r="F144" s="12">
        <v>1</v>
      </c>
      <c r="G144" s="41" t="s">
        <v>212</v>
      </c>
      <c r="H144" s="12" t="s">
        <v>5791</v>
      </c>
      <c r="I144" s="41" t="s">
        <v>6698</v>
      </c>
      <c r="M144" s="41" t="e">
        <f>VLOOKUP(I144,错误mRNA总表!D:I,6,FALSE)</f>
        <v>#N/A</v>
      </c>
    </row>
    <row r="145" spans="1:13" x14ac:dyDescent="0.2">
      <c r="A145" s="12" t="s">
        <v>4056</v>
      </c>
      <c r="B145" s="12" t="s">
        <v>3957</v>
      </c>
      <c r="C145" s="12">
        <v>45743858</v>
      </c>
      <c r="D145" s="12">
        <v>45746058</v>
      </c>
      <c r="E145" s="12" t="s">
        <v>3943</v>
      </c>
      <c r="F145" s="12">
        <v>1</v>
      </c>
      <c r="G145" s="41" t="s">
        <v>36</v>
      </c>
      <c r="H145" s="12" t="s">
        <v>6493</v>
      </c>
      <c r="I145" s="41" t="s">
        <v>6699</v>
      </c>
      <c r="M145" s="41" t="e">
        <f>VLOOKUP(I145,错误mRNA总表!D:I,6,FALSE)</f>
        <v>#N/A</v>
      </c>
    </row>
    <row r="146" spans="1:13" x14ac:dyDescent="0.2">
      <c r="A146" s="12" t="s">
        <v>4057</v>
      </c>
      <c r="B146" s="12" t="s">
        <v>3946</v>
      </c>
      <c r="C146" s="12">
        <v>8706041</v>
      </c>
      <c r="D146" s="12">
        <v>8725214</v>
      </c>
      <c r="E146" s="12" t="s">
        <v>3940</v>
      </c>
      <c r="F146" s="12">
        <v>1</v>
      </c>
      <c r="G146" s="41" t="s">
        <v>47</v>
      </c>
      <c r="H146" s="12" t="s">
        <v>5792</v>
      </c>
      <c r="I146" s="41" t="s">
        <v>6700</v>
      </c>
      <c r="M146" s="41" t="e">
        <f>VLOOKUP(I146,错误mRNA总表!D:I,6,FALSE)</f>
        <v>#N/A</v>
      </c>
    </row>
    <row r="147" spans="1:13" x14ac:dyDescent="0.2">
      <c r="A147" s="12" t="s">
        <v>4058</v>
      </c>
      <c r="B147" s="12" t="s">
        <v>4059</v>
      </c>
      <c r="C147" s="12">
        <v>961241</v>
      </c>
      <c r="D147" s="12">
        <v>961273</v>
      </c>
      <c r="E147" s="12" t="s">
        <v>3943</v>
      </c>
      <c r="F147" s="12">
        <v>1</v>
      </c>
      <c r="G147" s="41" t="s">
        <v>175</v>
      </c>
      <c r="H147" s="12" t="s">
        <v>6494</v>
      </c>
      <c r="I147" s="41" t="s">
        <v>6701</v>
      </c>
      <c r="M147" s="41" t="e">
        <f>VLOOKUP(I147,错误mRNA总表!D:I,6,FALSE)</f>
        <v>#N/A</v>
      </c>
    </row>
    <row r="148" spans="1:13" x14ac:dyDescent="0.2">
      <c r="A148" s="12" t="s">
        <v>4060</v>
      </c>
      <c r="B148" s="12" t="s">
        <v>4061</v>
      </c>
      <c r="C148" s="12">
        <v>807087</v>
      </c>
      <c r="D148" s="12">
        <v>813878</v>
      </c>
      <c r="E148" s="12" t="s">
        <v>3940</v>
      </c>
      <c r="F148" s="12">
        <v>22</v>
      </c>
      <c r="G148" s="12" t="s">
        <v>4061</v>
      </c>
      <c r="H148" s="12" t="s">
        <v>214</v>
      </c>
      <c r="I148" s="41" t="s">
        <v>6702</v>
      </c>
      <c r="J148" s="41" t="s">
        <v>2170</v>
      </c>
      <c r="K148" s="41" t="str">
        <f>VLOOKUP(J148,错误mRNA总表!D:J,7,FALSE)</f>
        <v>Browser与原结果匹配，纠后与rs匹配(rs746499983)chr19:55350966-55359398</v>
      </c>
      <c r="M148" s="41" t="e">
        <f>VLOOKUP(I148,错误mRNA总表!D:I,6,FALSE)</f>
        <v>#N/A</v>
      </c>
    </row>
    <row r="149" spans="1:13" x14ac:dyDescent="0.2">
      <c r="A149" s="12" t="s">
        <v>4062</v>
      </c>
      <c r="B149" s="12" t="s">
        <v>3994</v>
      </c>
      <c r="C149" s="12">
        <v>2816315</v>
      </c>
      <c r="D149" s="12">
        <v>2820691</v>
      </c>
      <c r="E149" s="12" t="s">
        <v>3940</v>
      </c>
      <c r="F149" s="12">
        <v>2</v>
      </c>
      <c r="G149" s="12" t="s">
        <v>3994</v>
      </c>
      <c r="H149" s="12" t="s">
        <v>3426</v>
      </c>
      <c r="I149" s="41" t="s">
        <v>6703</v>
      </c>
      <c r="M149" s="41" t="e">
        <f>VLOOKUP(I149,错误mRNA总表!D:I,6,FALSE)</f>
        <v>#N/A</v>
      </c>
    </row>
    <row r="150" spans="1:13" x14ac:dyDescent="0.2">
      <c r="A150" s="12" t="s">
        <v>4063</v>
      </c>
      <c r="B150" s="12" t="s">
        <v>3994</v>
      </c>
      <c r="C150" s="12">
        <v>1603265</v>
      </c>
      <c r="D150" s="12">
        <v>1603906</v>
      </c>
      <c r="E150" s="12" t="s">
        <v>3940</v>
      </c>
      <c r="F150" s="12">
        <v>4</v>
      </c>
      <c r="G150" s="12" t="s">
        <v>3994</v>
      </c>
      <c r="H150" s="12" t="s">
        <v>6376</v>
      </c>
      <c r="I150" s="41" t="s">
        <v>6704</v>
      </c>
      <c r="M150" s="41" t="e">
        <f>VLOOKUP(I150,错误mRNA总表!D:I,6,FALSE)</f>
        <v>#N/A</v>
      </c>
    </row>
    <row r="151" spans="1:13" x14ac:dyDescent="0.2">
      <c r="A151" s="12" t="s">
        <v>4063</v>
      </c>
      <c r="B151" s="12" t="s">
        <v>3994</v>
      </c>
      <c r="C151" s="12">
        <v>1603265</v>
      </c>
      <c r="D151" s="12">
        <v>1607391</v>
      </c>
      <c r="E151" s="12" t="s">
        <v>3943</v>
      </c>
      <c r="F151" s="12">
        <v>4</v>
      </c>
      <c r="G151" s="12" t="s">
        <v>3994</v>
      </c>
      <c r="H151" s="12" t="s">
        <v>6376</v>
      </c>
      <c r="I151" s="41" t="s">
        <v>6704</v>
      </c>
      <c r="M151" s="41" t="e">
        <f>VLOOKUP(I151,错误mRNA总表!D:I,6,FALSE)</f>
        <v>#N/A</v>
      </c>
    </row>
    <row r="152" spans="1:13" x14ac:dyDescent="0.2">
      <c r="A152" s="12" t="s">
        <v>4063</v>
      </c>
      <c r="B152" s="12" t="s">
        <v>3994</v>
      </c>
      <c r="C152" s="12">
        <v>1603265</v>
      </c>
      <c r="D152" s="12">
        <v>1608185</v>
      </c>
      <c r="E152" s="12" t="s">
        <v>3940</v>
      </c>
      <c r="F152" s="12">
        <v>1</v>
      </c>
      <c r="G152" s="12" t="s">
        <v>3994</v>
      </c>
      <c r="H152" s="12" t="s">
        <v>6376</v>
      </c>
      <c r="I152" s="41" t="s">
        <v>6704</v>
      </c>
      <c r="M152" s="41" t="e">
        <f>VLOOKUP(I152,错误mRNA总表!D:I,6,FALSE)</f>
        <v>#N/A</v>
      </c>
    </row>
    <row r="153" spans="1:13" x14ac:dyDescent="0.2">
      <c r="A153" s="12" t="s">
        <v>4064</v>
      </c>
      <c r="B153" s="12" t="s">
        <v>4030</v>
      </c>
      <c r="C153" s="12">
        <v>106938445</v>
      </c>
      <c r="D153" s="12">
        <v>106938486</v>
      </c>
      <c r="E153" s="12" t="s">
        <v>3943</v>
      </c>
      <c r="F153" s="12">
        <v>1</v>
      </c>
      <c r="G153" s="41" t="s">
        <v>81</v>
      </c>
      <c r="H153" s="12" t="s">
        <v>6132</v>
      </c>
      <c r="I153" s="41" t="s">
        <v>6705</v>
      </c>
      <c r="M153" s="41" t="e">
        <f>VLOOKUP(I153,错误mRNA总表!D:I,6,FALSE)</f>
        <v>#N/A</v>
      </c>
    </row>
    <row r="154" spans="1:13" x14ac:dyDescent="0.2">
      <c r="A154" s="12" t="s">
        <v>4065</v>
      </c>
      <c r="B154" s="12" t="s">
        <v>4066</v>
      </c>
      <c r="C154" s="12">
        <v>7179524</v>
      </c>
      <c r="D154" s="12">
        <v>7280142</v>
      </c>
      <c r="E154" s="12" t="s">
        <v>3943</v>
      </c>
      <c r="F154" s="12">
        <v>2</v>
      </c>
      <c r="G154" s="12" t="s">
        <v>4066</v>
      </c>
      <c r="H154" s="12" t="s">
        <v>3506</v>
      </c>
      <c r="I154" s="41" t="s">
        <v>6706</v>
      </c>
      <c r="M154" s="41" t="e">
        <f>VLOOKUP(I154,错误mRNA总表!D:I,6,FALSE)</f>
        <v>#N/A</v>
      </c>
    </row>
    <row r="155" spans="1:13" x14ac:dyDescent="0.2">
      <c r="A155" s="12" t="s">
        <v>4067</v>
      </c>
      <c r="B155" s="12" t="s">
        <v>4018</v>
      </c>
      <c r="C155" s="12">
        <v>38595721</v>
      </c>
      <c r="D155" s="12">
        <v>38639763</v>
      </c>
      <c r="E155" s="12" t="s">
        <v>3940</v>
      </c>
      <c r="F155" s="12">
        <v>1</v>
      </c>
      <c r="G155" s="41" t="s">
        <v>241</v>
      </c>
      <c r="H155" s="12" t="s">
        <v>5793</v>
      </c>
      <c r="I155" s="41" t="s">
        <v>6707</v>
      </c>
      <c r="M155" s="41" t="e">
        <f>VLOOKUP(I155,错误mRNA总表!D:I,6,FALSE)</f>
        <v>#N/A</v>
      </c>
    </row>
    <row r="156" spans="1:13" x14ac:dyDescent="0.2">
      <c r="A156" s="12" t="s">
        <v>4068</v>
      </c>
      <c r="B156" s="12" t="s">
        <v>4069</v>
      </c>
      <c r="C156" s="12">
        <v>39783802</v>
      </c>
      <c r="D156" s="12">
        <v>39783813</v>
      </c>
      <c r="E156" s="12" t="s">
        <v>3943</v>
      </c>
      <c r="F156" s="12">
        <v>2</v>
      </c>
      <c r="G156" s="41" t="s">
        <v>179</v>
      </c>
      <c r="H156" s="12" t="s">
        <v>5794</v>
      </c>
      <c r="I156" s="41" t="s">
        <v>6708</v>
      </c>
      <c r="M156" s="41" t="e">
        <f>VLOOKUP(I156,错误mRNA总表!D:I,6,FALSE)</f>
        <v>#N/A</v>
      </c>
    </row>
    <row r="157" spans="1:13" x14ac:dyDescent="0.2">
      <c r="A157" s="12" t="s">
        <v>4068</v>
      </c>
      <c r="B157" s="12" t="s">
        <v>4069</v>
      </c>
      <c r="C157" s="12">
        <v>39783802</v>
      </c>
      <c r="D157" s="12">
        <v>39783827</v>
      </c>
      <c r="E157" s="12" t="s">
        <v>3940</v>
      </c>
      <c r="F157" s="12">
        <v>2</v>
      </c>
      <c r="G157" s="41" t="s">
        <v>179</v>
      </c>
      <c r="H157" s="12" t="s">
        <v>5794</v>
      </c>
      <c r="I157" s="41" t="s">
        <v>6708</v>
      </c>
      <c r="M157" s="41" t="e">
        <f>VLOOKUP(I157,错误mRNA总表!D:I,6,FALSE)</f>
        <v>#N/A</v>
      </c>
    </row>
    <row r="158" spans="1:13" x14ac:dyDescent="0.2">
      <c r="A158" s="12" t="s">
        <v>4068</v>
      </c>
      <c r="B158" s="12" t="s">
        <v>4069</v>
      </c>
      <c r="C158" s="12">
        <v>39783802</v>
      </c>
      <c r="D158" s="12">
        <v>39783838</v>
      </c>
      <c r="E158" s="12" t="s">
        <v>3940</v>
      </c>
      <c r="F158" s="12">
        <v>2</v>
      </c>
      <c r="G158" s="41" t="s">
        <v>179</v>
      </c>
      <c r="H158" s="12" t="s">
        <v>5794</v>
      </c>
      <c r="I158" s="41" t="s">
        <v>6708</v>
      </c>
      <c r="M158" s="41" t="e">
        <f>VLOOKUP(I158,错误mRNA总表!D:I,6,FALSE)</f>
        <v>#N/A</v>
      </c>
    </row>
    <row r="159" spans="1:13" x14ac:dyDescent="0.2">
      <c r="A159" s="12" t="s">
        <v>4068</v>
      </c>
      <c r="B159" s="12" t="s">
        <v>4069</v>
      </c>
      <c r="C159" s="12">
        <v>39783802</v>
      </c>
      <c r="D159" s="12">
        <v>39783859</v>
      </c>
      <c r="E159" s="12" t="s">
        <v>3943</v>
      </c>
      <c r="F159" s="12">
        <v>1</v>
      </c>
      <c r="G159" s="41" t="s">
        <v>179</v>
      </c>
      <c r="H159" s="12" t="s">
        <v>5794</v>
      </c>
      <c r="I159" s="41" t="s">
        <v>6708</v>
      </c>
      <c r="M159" s="41" t="e">
        <f>VLOOKUP(I159,错误mRNA总表!D:I,6,FALSE)</f>
        <v>#N/A</v>
      </c>
    </row>
    <row r="160" spans="1:13" x14ac:dyDescent="0.2">
      <c r="A160" s="12" t="s">
        <v>4070</v>
      </c>
      <c r="B160" s="12" t="s">
        <v>3948</v>
      </c>
      <c r="C160" s="12">
        <v>72039492</v>
      </c>
      <c r="D160" s="12">
        <v>72209527</v>
      </c>
      <c r="E160" s="12" t="s">
        <v>3943</v>
      </c>
      <c r="F160" s="12">
        <v>1</v>
      </c>
      <c r="G160" s="41" t="s">
        <v>40</v>
      </c>
      <c r="H160" s="12" t="s">
        <v>172</v>
      </c>
      <c r="I160" s="41" t="s">
        <v>2151</v>
      </c>
      <c r="J160" s="41" t="s">
        <v>2151</v>
      </c>
      <c r="K160" s="41" t="str">
        <f>VLOOKUP(J160,错误mRNA总表!D:J,7,FALSE)</f>
        <v>纠后正确</v>
      </c>
      <c r="L160" s="41" t="s">
        <v>3763</v>
      </c>
      <c r="M160" s="41">
        <f>VLOOKUP(I160,错误mRNA总表!D:I,6,FALSE)</f>
        <v>0</v>
      </c>
    </row>
    <row r="161" spans="1:13" x14ac:dyDescent="0.2">
      <c r="A161" s="12" t="s">
        <v>4071</v>
      </c>
      <c r="B161" s="12" t="s">
        <v>3939</v>
      </c>
      <c r="C161" s="12">
        <v>148958633</v>
      </c>
      <c r="D161" s="12">
        <v>148958715</v>
      </c>
      <c r="E161" s="12" t="s">
        <v>3940</v>
      </c>
      <c r="F161" s="12">
        <v>15</v>
      </c>
      <c r="G161" s="41" t="s">
        <v>73</v>
      </c>
      <c r="H161" s="12" t="s">
        <v>5795</v>
      </c>
      <c r="I161" s="41" t="s">
        <v>6709</v>
      </c>
      <c r="M161" s="41" t="e">
        <f>VLOOKUP(I161,错误mRNA总表!D:I,6,FALSE)</f>
        <v>#N/A</v>
      </c>
    </row>
    <row r="162" spans="1:13" x14ac:dyDescent="0.2">
      <c r="A162" s="12" t="s">
        <v>4072</v>
      </c>
      <c r="B162" s="12" t="s">
        <v>4012</v>
      </c>
      <c r="C162" s="12">
        <v>76311115</v>
      </c>
      <c r="D162" s="12">
        <v>76311603</v>
      </c>
      <c r="E162" s="12" t="s">
        <v>3940</v>
      </c>
      <c r="F162" s="12">
        <v>1</v>
      </c>
      <c r="G162" s="41" t="s">
        <v>121</v>
      </c>
      <c r="H162" s="12" t="s">
        <v>5796</v>
      </c>
      <c r="I162" s="41" t="s">
        <v>6710</v>
      </c>
      <c r="M162" s="41" t="e">
        <f>VLOOKUP(I162,错误mRNA总表!D:I,6,FALSE)</f>
        <v>#N/A</v>
      </c>
    </row>
    <row r="163" spans="1:13" x14ac:dyDescent="0.2">
      <c r="A163" s="12" t="s">
        <v>4073</v>
      </c>
      <c r="B163" s="12" t="s">
        <v>4074</v>
      </c>
      <c r="C163" s="12">
        <v>727</v>
      </c>
      <c r="D163" s="12">
        <v>733</v>
      </c>
      <c r="E163" s="12" t="s">
        <v>3940</v>
      </c>
      <c r="F163" s="12">
        <v>1</v>
      </c>
      <c r="G163" s="12" t="s">
        <v>4074</v>
      </c>
      <c r="H163" s="12" t="s">
        <v>3482</v>
      </c>
      <c r="I163" s="41" t="s">
        <v>6711</v>
      </c>
      <c r="M163" s="41" t="e">
        <f>VLOOKUP(I163,错误mRNA总表!D:I,6,FALSE)</f>
        <v>#N/A</v>
      </c>
    </row>
    <row r="164" spans="1:13" x14ac:dyDescent="0.2">
      <c r="A164" s="12" t="s">
        <v>4075</v>
      </c>
      <c r="B164" s="12" t="s">
        <v>3939</v>
      </c>
      <c r="C164" s="12">
        <v>103031781</v>
      </c>
      <c r="D164" s="12">
        <v>103046530</v>
      </c>
      <c r="E164" s="12" t="s">
        <v>3943</v>
      </c>
      <c r="F164" s="12">
        <v>1</v>
      </c>
      <c r="G164" s="41" t="s">
        <v>73</v>
      </c>
      <c r="H164" s="12" t="s">
        <v>5797</v>
      </c>
      <c r="I164" s="41" t="s">
        <v>6712</v>
      </c>
      <c r="M164" s="41" t="e">
        <f>VLOOKUP(I164,错误mRNA总表!D:I,6,FALSE)</f>
        <v>#N/A</v>
      </c>
    </row>
    <row r="165" spans="1:13" x14ac:dyDescent="0.2">
      <c r="A165" s="12" t="s">
        <v>4076</v>
      </c>
      <c r="B165" s="12" t="s">
        <v>3973</v>
      </c>
      <c r="C165" s="12">
        <v>156338980</v>
      </c>
      <c r="D165" s="12">
        <v>156354354</v>
      </c>
      <c r="E165" s="12" t="s">
        <v>3943</v>
      </c>
      <c r="F165" s="12">
        <v>1</v>
      </c>
      <c r="G165" s="41" t="s">
        <v>139</v>
      </c>
      <c r="H165" s="12" t="s">
        <v>140</v>
      </c>
      <c r="I165" s="41" t="s">
        <v>2130</v>
      </c>
      <c r="J165" s="41" t="s">
        <v>2130</v>
      </c>
      <c r="K165" s="41" t="str">
        <f>VLOOKUP(J165,错误mRNA总表!D:J,7,FALSE)</f>
        <v>纠后正确</v>
      </c>
      <c r="L165" s="41" t="s">
        <v>3763</v>
      </c>
      <c r="M165" s="41">
        <f>VLOOKUP(I165,错误mRNA总表!D:I,6,FALSE)</f>
        <v>0</v>
      </c>
    </row>
    <row r="166" spans="1:13" x14ac:dyDescent="0.2">
      <c r="A166" s="12" t="s">
        <v>4077</v>
      </c>
      <c r="B166" s="12" t="s">
        <v>4042</v>
      </c>
      <c r="C166" s="12">
        <v>99645286</v>
      </c>
      <c r="D166" s="12">
        <v>99646107</v>
      </c>
      <c r="E166" s="12" t="s">
        <v>3940</v>
      </c>
      <c r="F166" s="12">
        <v>1</v>
      </c>
      <c r="G166" s="41" t="s">
        <v>113</v>
      </c>
      <c r="H166" s="12" t="s">
        <v>163</v>
      </c>
      <c r="I166" s="41" t="s">
        <v>2146</v>
      </c>
      <c r="J166" s="41" t="s">
        <v>2146</v>
      </c>
      <c r="K166" s="41" t="str">
        <f>VLOOKUP(J166,错误mRNA总表!D:J,7,FALSE)</f>
        <v>纠后正确</v>
      </c>
      <c r="L166" s="41" t="s">
        <v>3763</v>
      </c>
      <c r="M166" s="41">
        <f>VLOOKUP(I166,错误mRNA总表!D:I,6,FALSE)</f>
        <v>0</v>
      </c>
    </row>
    <row r="167" spans="1:13" x14ac:dyDescent="0.2">
      <c r="A167" s="12" t="s">
        <v>4078</v>
      </c>
      <c r="B167" s="12" t="s">
        <v>3978</v>
      </c>
      <c r="C167" s="12">
        <v>14444076</v>
      </c>
      <c r="D167" s="12">
        <v>14444243</v>
      </c>
      <c r="E167" s="12" t="s">
        <v>3943</v>
      </c>
      <c r="F167" s="12">
        <v>1</v>
      </c>
      <c r="G167" s="41" t="s">
        <v>86</v>
      </c>
      <c r="H167" s="12" t="s">
        <v>6215</v>
      </c>
      <c r="I167" s="41" t="s">
        <v>6713</v>
      </c>
      <c r="M167" s="41" t="e">
        <f>VLOOKUP(I167,错误mRNA总表!D:I,6,FALSE)</f>
        <v>#N/A</v>
      </c>
    </row>
    <row r="168" spans="1:13" x14ac:dyDescent="0.2">
      <c r="A168" s="12" t="s">
        <v>4078</v>
      </c>
      <c r="B168" s="12" t="s">
        <v>3978</v>
      </c>
      <c r="C168" s="12">
        <v>14444076</v>
      </c>
      <c r="D168" s="12">
        <v>14444249</v>
      </c>
      <c r="E168" s="12" t="s">
        <v>3943</v>
      </c>
      <c r="F168" s="12">
        <v>1</v>
      </c>
      <c r="G168" s="41" t="s">
        <v>86</v>
      </c>
      <c r="H168" s="12" t="s">
        <v>6215</v>
      </c>
      <c r="I168" s="41" t="s">
        <v>6713</v>
      </c>
      <c r="M168" s="41" t="e">
        <f>VLOOKUP(I168,错误mRNA总表!D:I,6,FALSE)</f>
        <v>#N/A</v>
      </c>
    </row>
    <row r="169" spans="1:13" x14ac:dyDescent="0.2">
      <c r="A169" s="12" t="s">
        <v>4078</v>
      </c>
      <c r="B169" s="12" t="s">
        <v>3978</v>
      </c>
      <c r="C169" s="12">
        <v>14444076</v>
      </c>
      <c r="D169" s="12">
        <v>14444277</v>
      </c>
      <c r="E169" s="12" t="s">
        <v>3943</v>
      </c>
      <c r="F169" s="12">
        <v>1</v>
      </c>
      <c r="G169" s="41" t="s">
        <v>86</v>
      </c>
      <c r="H169" s="12" t="s">
        <v>6215</v>
      </c>
      <c r="I169" s="41" t="s">
        <v>6713</v>
      </c>
      <c r="M169" s="41" t="e">
        <f>VLOOKUP(I169,错误mRNA总表!D:I,6,FALSE)</f>
        <v>#N/A</v>
      </c>
    </row>
    <row r="170" spans="1:13" x14ac:dyDescent="0.2">
      <c r="A170" s="12" t="s">
        <v>4078</v>
      </c>
      <c r="B170" s="12" t="s">
        <v>3978</v>
      </c>
      <c r="C170" s="12">
        <v>14444076</v>
      </c>
      <c r="D170" s="12">
        <v>14444286</v>
      </c>
      <c r="E170" s="12" t="s">
        <v>3943</v>
      </c>
      <c r="F170" s="12">
        <v>1</v>
      </c>
      <c r="G170" s="41" t="s">
        <v>86</v>
      </c>
      <c r="H170" s="12" t="s">
        <v>6215</v>
      </c>
      <c r="I170" s="41" t="s">
        <v>6713</v>
      </c>
      <c r="M170" s="41" t="e">
        <f>VLOOKUP(I170,错误mRNA总表!D:I,6,FALSE)</f>
        <v>#N/A</v>
      </c>
    </row>
    <row r="171" spans="1:13" x14ac:dyDescent="0.2">
      <c r="A171" s="12" t="s">
        <v>4078</v>
      </c>
      <c r="B171" s="12" t="s">
        <v>3978</v>
      </c>
      <c r="C171" s="12">
        <v>14444076</v>
      </c>
      <c r="D171" s="12">
        <v>14444308</v>
      </c>
      <c r="E171" s="12" t="s">
        <v>3943</v>
      </c>
      <c r="F171" s="12">
        <v>1</v>
      </c>
      <c r="G171" s="41" t="s">
        <v>86</v>
      </c>
      <c r="H171" s="12" t="s">
        <v>6215</v>
      </c>
      <c r="I171" s="41" t="s">
        <v>6713</v>
      </c>
      <c r="M171" s="41" t="e">
        <f>VLOOKUP(I171,错误mRNA总表!D:I,6,FALSE)</f>
        <v>#N/A</v>
      </c>
    </row>
    <row r="172" spans="1:13" x14ac:dyDescent="0.2">
      <c r="A172" s="12" t="s">
        <v>4078</v>
      </c>
      <c r="B172" s="12" t="s">
        <v>3978</v>
      </c>
      <c r="C172" s="12">
        <v>14444076</v>
      </c>
      <c r="D172" s="12">
        <v>14444318</v>
      </c>
      <c r="E172" s="12" t="s">
        <v>3943</v>
      </c>
      <c r="F172" s="12">
        <v>1</v>
      </c>
      <c r="G172" s="41" t="s">
        <v>86</v>
      </c>
      <c r="H172" s="12" t="s">
        <v>6215</v>
      </c>
      <c r="I172" s="41" t="s">
        <v>6713</v>
      </c>
      <c r="M172" s="41" t="e">
        <f>VLOOKUP(I172,错误mRNA总表!D:I,6,FALSE)</f>
        <v>#N/A</v>
      </c>
    </row>
    <row r="173" spans="1:13" x14ac:dyDescent="0.2">
      <c r="A173" s="12" t="s">
        <v>4078</v>
      </c>
      <c r="B173" s="12" t="s">
        <v>3978</v>
      </c>
      <c r="C173" s="12">
        <v>14444076</v>
      </c>
      <c r="D173" s="12">
        <v>14444326</v>
      </c>
      <c r="E173" s="12" t="s">
        <v>3943</v>
      </c>
      <c r="F173" s="12">
        <v>1</v>
      </c>
      <c r="G173" s="41" t="s">
        <v>86</v>
      </c>
      <c r="H173" s="12" t="s">
        <v>6215</v>
      </c>
      <c r="I173" s="41" t="s">
        <v>6713</v>
      </c>
      <c r="M173" s="41" t="e">
        <f>VLOOKUP(I173,错误mRNA总表!D:I,6,FALSE)</f>
        <v>#N/A</v>
      </c>
    </row>
    <row r="174" spans="1:13" x14ac:dyDescent="0.2">
      <c r="A174" s="12" t="s">
        <v>4078</v>
      </c>
      <c r="B174" s="12" t="s">
        <v>3978</v>
      </c>
      <c r="C174" s="12">
        <v>14444076</v>
      </c>
      <c r="D174" s="12">
        <v>14444329</v>
      </c>
      <c r="E174" s="12" t="s">
        <v>3943</v>
      </c>
      <c r="F174" s="12">
        <v>1</v>
      </c>
      <c r="G174" s="41" t="s">
        <v>86</v>
      </c>
      <c r="H174" s="12" t="s">
        <v>6215</v>
      </c>
      <c r="I174" s="41" t="s">
        <v>6713</v>
      </c>
      <c r="M174" s="41" t="e">
        <f>VLOOKUP(I174,错误mRNA总表!D:I,6,FALSE)</f>
        <v>#N/A</v>
      </c>
    </row>
    <row r="175" spans="1:13" x14ac:dyDescent="0.2">
      <c r="A175" s="12" t="s">
        <v>4079</v>
      </c>
      <c r="B175" s="12" t="s">
        <v>3986</v>
      </c>
      <c r="C175" s="12">
        <v>51461887</v>
      </c>
      <c r="D175" s="12">
        <v>51471814</v>
      </c>
      <c r="E175" s="12" t="s">
        <v>3940</v>
      </c>
      <c r="F175" s="12">
        <v>1</v>
      </c>
      <c r="G175" s="41" t="s">
        <v>50</v>
      </c>
      <c r="H175" s="12" t="s">
        <v>5798</v>
      </c>
      <c r="I175" s="41" t="s">
        <v>6714</v>
      </c>
      <c r="M175" s="41" t="e">
        <f>VLOOKUP(I175,错误mRNA总表!D:I,6,FALSE)</f>
        <v>#N/A</v>
      </c>
    </row>
    <row r="176" spans="1:13" x14ac:dyDescent="0.2">
      <c r="A176" s="12" t="s">
        <v>4080</v>
      </c>
      <c r="B176" s="12" t="s">
        <v>4081</v>
      </c>
      <c r="C176" s="12">
        <v>28501</v>
      </c>
      <c r="D176" s="12">
        <v>39232</v>
      </c>
      <c r="E176" s="12" t="s">
        <v>3940</v>
      </c>
      <c r="F176" s="12">
        <v>1</v>
      </c>
      <c r="G176" s="12" t="s">
        <v>4081</v>
      </c>
      <c r="H176" s="12" t="s">
        <v>220</v>
      </c>
      <c r="I176" s="41" t="s">
        <v>6715</v>
      </c>
      <c r="J176" s="41" t="s">
        <v>2189</v>
      </c>
      <c r="K176" s="41" t="str">
        <f>VLOOKUP(J176,错误mRNA总表!D:J,7,FALSE)</f>
        <v>纠后正确,utr略有变化</v>
      </c>
      <c r="M176" s="41" t="e">
        <f>VLOOKUP(I176,错误mRNA总表!D:I,6,FALSE)</f>
        <v>#N/A</v>
      </c>
    </row>
    <row r="177" spans="1:13" x14ac:dyDescent="0.2">
      <c r="A177" s="12" t="s">
        <v>4080</v>
      </c>
      <c r="B177" s="12" t="s">
        <v>4081</v>
      </c>
      <c r="C177" s="12">
        <v>28501</v>
      </c>
      <c r="D177" s="12">
        <v>39371</v>
      </c>
      <c r="E177" s="12" t="s">
        <v>3940</v>
      </c>
      <c r="F177" s="12">
        <v>2</v>
      </c>
      <c r="G177" s="12" t="s">
        <v>4081</v>
      </c>
      <c r="H177" s="12" t="s">
        <v>220</v>
      </c>
      <c r="I177" s="41" t="s">
        <v>6715</v>
      </c>
      <c r="J177" s="41" t="s">
        <v>2189</v>
      </c>
      <c r="K177" s="41" t="str">
        <f>VLOOKUP(J177,错误mRNA总表!D:J,7,FALSE)</f>
        <v>纠后正确,utr略有变化</v>
      </c>
      <c r="M177" s="41" t="e">
        <f>VLOOKUP(I177,错误mRNA总表!D:I,6,FALSE)</f>
        <v>#N/A</v>
      </c>
    </row>
    <row r="178" spans="1:13" x14ac:dyDescent="0.2">
      <c r="A178" s="12" t="s">
        <v>4082</v>
      </c>
      <c r="B178" s="12" t="s">
        <v>4018</v>
      </c>
      <c r="C178" s="12">
        <v>17442842</v>
      </c>
      <c r="D178" s="12">
        <v>17981988</v>
      </c>
      <c r="E178" s="12" t="s">
        <v>3940</v>
      </c>
      <c r="F178" s="12">
        <v>1</v>
      </c>
      <c r="G178" s="41" t="s">
        <v>241</v>
      </c>
      <c r="H178" s="12" t="s">
        <v>6377</v>
      </c>
      <c r="I178" s="41" t="s">
        <v>6716</v>
      </c>
      <c r="M178" s="41" t="e">
        <f>VLOOKUP(I178,错误mRNA总表!D:I,6,FALSE)</f>
        <v>#N/A</v>
      </c>
    </row>
    <row r="179" spans="1:13" x14ac:dyDescent="0.2">
      <c r="A179" s="12" t="s">
        <v>4083</v>
      </c>
      <c r="B179" s="12" t="s">
        <v>3942</v>
      </c>
      <c r="C179" s="12">
        <v>135468534</v>
      </c>
      <c r="D179" s="12">
        <v>135513085</v>
      </c>
      <c r="E179" s="12" t="s">
        <v>3940</v>
      </c>
      <c r="F179" s="12">
        <v>1</v>
      </c>
      <c r="G179" s="41" t="s">
        <v>186</v>
      </c>
      <c r="H179" s="12" t="s">
        <v>185</v>
      </c>
      <c r="I179" s="41" t="s">
        <v>6717</v>
      </c>
      <c r="J179" s="41" t="s">
        <v>2195</v>
      </c>
      <c r="K179" s="41" t="str">
        <f>VLOOKUP(J179,错误mRNA总表!D:J,7,FALSE)</f>
        <v>纠后正确</v>
      </c>
      <c r="M179" s="41" t="e">
        <f>VLOOKUP(I179,错误mRNA总表!D:I,6,FALSE)</f>
        <v>#N/A</v>
      </c>
    </row>
    <row r="180" spans="1:13" x14ac:dyDescent="0.2">
      <c r="A180" s="12" t="s">
        <v>4084</v>
      </c>
      <c r="B180" s="12" t="s">
        <v>3962</v>
      </c>
      <c r="C180" s="12">
        <v>35757224</v>
      </c>
      <c r="D180" s="12">
        <v>35807790</v>
      </c>
      <c r="E180" s="12" t="s">
        <v>3940</v>
      </c>
      <c r="F180" s="12">
        <v>29</v>
      </c>
      <c r="G180" s="41" t="s">
        <v>53</v>
      </c>
      <c r="H180" s="12" t="s">
        <v>54</v>
      </c>
      <c r="I180" s="41" t="s">
        <v>2082</v>
      </c>
      <c r="J180" s="41" t="s">
        <v>2082</v>
      </c>
      <c r="K180" s="41" t="str">
        <f>VLOOKUP(J180,错误mRNA总表!D:J,7,FALSE)</f>
        <v>纠后正确</v>
      </c>
      <c r="L180" s="41" t="s">
        <v>3763</v>
      </c>
      <c r="M180" s="41">
        <f>VLOOKUP(I180,错误mRNA总表!D:I,6,FALSE)</f>
        <v>0</v>
      </c>
    </row>
    <row r="181" spans="1:13" x14ac:dyDescent="0.2">
      <c r="A181" s="12" t="s">
        <v>4085</v>
      </c>
      <c r="B181" s="12" t="s">
        <v>4018</v>
      </c>
      <c r="C181" s="12">
        <v>47721047</v>
      </c>
      <c r="D181" s="12">
        <v>47742894</v>
      </c>
      <c r="E181" s="12" t="s">
        <v>3940</v>
      </c>
      <c r="F181" s="12">
        <v>1</v>
      </c>
      <c r="G181" s="41" t="s">
        <v>241</v>
      </c>
      <c r="H181" s="12" t="s">
        <v>6495</v>
      </c>
      <c r="I181" s="41" t="s">
        <v>6718</v>
      </c>
      <c r="M181" s="41" t="e">
        <f>VLOOKUP(I181,错误mRNA总表!D:I,6,FALSE)</f>
        <v>#N/A</v>
      </c>
    </row>
    <row r="182" spans="1:13" x14ac:dyDescent="0.2">
      <c r="A182" s="12" t="s">
        <v>4085</v>
      </c>
      <c r="B182" s="12" t="s">
        <v>4018</v>
      </c>
      <c r="C182" s="12">
        <v>47721047</v>
      </c>
      <c r="D182" s="12">
        <v>47721068</v>
      </c>
      <c r="E182" s="12" t="s">
        <v>3940</v>
      </c>
      <c r="F182" s="12">
        <v>1</v>
      </c>
      <c r="G182" s="41" t="s">
        <v>241</v>
      </c>
      <c r="H182" s="12" t="s">
        <v>6495</v>
      </c>
      <c r="I182" s="41" t="s">
        <v>6718</v>
      </c>
      <c r="M182" s="41" t="e">
        <f>VLOOKUP(I182,错误mRNA总表!D:I,6,FALSE)</f>
        <v>#N/A</v>
      </c>
    </row>
    <row r="183" spans="1:13" x14ac:dyDescent="0.2">
      <c r="A183" s="12" t="s">
        <v>4085</v>
      </c>
      <c r="B183" s="12" t="s">
        <v>4018</v>
      </c>
      <c r="C183" s="12">
        <v>47721047</v>
      </c>
      <c r="D183" s="12">
        <v>47721391</v>
      </c>
      <c r="E183" s="12" t="s">
        <v>3940</v>
      </c>
      <c r="F183" s="12">
        <v>1</v>
      </c>
      <c r="G183" s="41" t="s">
        <v>241</v>
      </c>
      <c r="H183" s="12" t="s">
        <v>6495</v>
      </c>
      <c r="I183" s="41" t="s">
        <v>6718</v>
      </c>
      <c r="M183" s="41" t="e">
        <f>VLOOKUP(I183,错误mRNA总表!D:I,6,FALSE)</f>
        <v>#N/A</v>
      </c>
    </row>
    <row r="184" spans="1:13" x14ac:dyDescent="0.2">
      <c r="A184" s="12" t="s">
        <v>4086</v>
      </c>
      <c r="B184" s="12" t="s">
        <v>4087</v>
      </c>
      <c r="C184" s="12">
        <v>160485</v>
      </c>
      <c r="D184" s="12">
        <v>161771</v>
      </c>
      <c r="E184" s="12" t="s">
        <v>3940</v>
      </c>
      <c r="F184" s="12">
        <v>38</v>
      </c>
      <c r="G184" s="12" t="s">
        <v>4087</v>
      </c>
      <c r="H184" s="12" t="s">
        <v>6374</v>
      </c>
      <c r="I184" s="41" t="s">
        <v>6719</v>
      </c>
      <c r="M184" s="41" t="e">
        <f>VLOOKUP(I184,错误mRNA总表!D:I,6,FALSE)</f>
        <v>#N/A</v>
      </c>
    </row>
    <row r="185" spans="1:13" x14ac:dyDescent="0.2">
      <c r="A185" s="12" t="s">
        <v>4086</v>
      </c>
      <c r="B185" s="12" t="s">
        <v>4087</v>
      </c>
      <c r="C185" s="12">
        <v>160485</v>
      </c>
      <c r="D185" s="12">
        <v>160563</v>
      </c>
      <c r="E185" s="12" t="s">
        <v>3940</v>
      </c>
      <c r="F185" s="12">
        <v>1</v>
      </c>
      <c r="G185" s="12" t="s">
        <v>4087</v>
      </c>
      <c r="H185" s="12" t="s">
        <v>6374</v>
      </c>
      <c r="I185" s="41" t="s">
        <v>6719</v>
      </c>
      <c r="M185" s="41" t="e">
        <f>VLOOKUP(I185,错误mRNA总表!D:I,6,FALSE)</f>
        <v>#N/A</v>
      </c>
    </row>
    <row r="186" spans="1:13" x14ac:dyDescent="0.2">
      <c r="A186" s="12" t="s">
        <v>4086</v>
      </c>
      <c r="B186" s="12" t="s">
        <v>4087</v>
      </c>
      <c r="C186" s="12">
        <v>160485</v>
      </c>
      <c r="D186" s="12">
        <v>160686</v>
      </c>
      <c r="E186" s="12" t="s">
        <v>3943</v>
      </c>
      <c r="F186" s="12">
        <v>4</v>
      </c>
      <c r="G186" s="12" t="s">
        <v>4087</v>
      </c>
      <c r="H186" s="12" t="s">
        <v>6374</v>
      </c>
      <c r="I186" s="41" t="s">
        <v>6719</v>
      </c>
      <c r="M186" s="41" t="e">
        <f>VLOOKUP(I186,错误mRNA总表!D:I,6,FALSE)</f>
        <v>#N/A</v>
      </c>
    </row>
    <row r="187" spans="1:13" x14ac:dyDescent="0.2">
      <c r="A187" s="12" t="s">
        <v>4086</v>
      </c>
      <c r="B187" s="12" t="s">
        <v>4087</v>
      </c>
      <c r="C187" s="12">
        <v>160485</v>
      </c>
      <c r="D187" s="12">
        <v>161131</v>
      </c>
      <c r="E187" s="12" t="s">
        <v>3943</v>
      </c>
      <c r="F187" s="12">
        <v>1</v>
      </c>
      <c r="G187" s="12" t="s">
        <v>4087</v>
      </c>
      <c r="H187" s="12" t="s">
        <v>6374</v>
      </c>
      <c r="I187" s="41" t="s">
        <v>6719</v>
      </c>
      <c r="M187" s="41" t="e">
        <f>VLOOKUP(I187,错误mRNA总表!D:I,6,FALSE)</f>
        <v>#N/A</v>
      </c>
    </row>
    <row r="188" spans="1:13" x14ac:dyDescent="0.2">
      <c r="A188" s="12" t="s">
        <v>4086</v>
      </c>
      <c r="B188" s="12" t="s">
        <v>4087</v>
      </c>
      <c r="C188" s="12">
        <v>160485</v>
      </c>
      <c r="D188" s="12">
        <v>161602</v>
      </c>
      <c r="E188" s="12" t="s">
        <v>3940</v>
      </c>
      <c r="F188" s="12">
        <v>1</v>
      </c>
      <c r="G188" s="12" t="s">
        <v>4087</v>
      </c>
      <c r="H188" s="12" t="s">
        <v>6374</v>
      </c>
      <c r="I188" s="41" t="s">
        <v>6719</v>
      </c>
      <c r="M188" s="41" t="e">
        <f>VLOOKUP(I188,错误mRNA总表!D:I,6,FALSE)</f>
        <v>#N/A</v>
      </c>
    </row>
    <row r="189" spans="1:13" x14ac:dyDescent="0.2">
      <c r="A189" s="12" t="s">
        <v>4086</v>
      </c>
      <c r="B189" s="12" t="s">
        <v>4087</v>
      </c>
      <c r="C189" s="12">
        <v>160485</v>
      </c>
      <c r="D189" s="12">
        <v>161668</v>
      </c>
      <c r="E189" s="12" t="s">
        <v>3940</v>
      </c>
      <c r="F189" s="12">
        <v>4</v>
      </c>
      <c r="G189" s="12" t="s">
        <v>4087</v>
      </c>
      <c r="H189" s="12" t="s">
        <v>6374</v>
      </c>
      <c r="I189" s="41" t="s">
        <v>6719</v>
      </c>
      <c r="M189" s="41" t="e">
        <f>VLOOKUP(I189,错误mRNA总表!D:I,6,FALSE)</f>
        <v>#N/A</v>
      </c>
    </row>
    <row r="190" spans="1:13" x14ac:dyDescent="0.2">
      <c r="A190" s="12" t="s">
        <v>4088</v>
      </c>
      <c r="B190" s="12" t="s">
        <v>4052</v>
      </c>
      <c r="C190" s="12">
        <v>51026321</v>
      </c>
      <c r="D190" s="12">
        <v>51371103</v>
      </c>
      <c r="E190" s="12" t="s">
        <v>3943</v>
      </c>
      <c r="F190" s="12">
        <v>1</v>
      </c>
      <c r="G190" s="41" t="s">
        <v>93</v>
      </c>
      <c r="H190" s="12" t="s">
        <v>5799</v>
      </c>
      <c r="I190" s="41" t="s">
        <v>6720</v>
      </c>
      <c r="M190" s="41" t="e">
        <f>VLOOKUP(I190,错误mRNA总表!D:I,6,FALSE)</f>
        <v>#N/A</v>
      </c>
    </row>
    <row r="191" spans="1:13" x14ac:dyDescent="0.2">
      <c r="A191" s="12" t="s">
        <v>4088</v>
      </c>
      <c r="B191" s="12" t="s">
        <v>4052</v>
      </c>
      <c r="C191" s="12">
        <v>51026321</v>
      </c>
      <c r="D191" s="12">
        <v>51371122</v>
      </c>
      <c r="E191" s="12" t="s">
        <v>3943</v>
      </c>
      <c r="F191" s="12">
        <v>1</v>
      </c>
      <c r="G191" s="41" t="s">
        <v>93</v>
      </c>
      <c r="H191" s="12" t="s">
        <v>5799</v>
      </c>
      <c r="I191" s="41" t="s">
        <v>6720</v>
      </c>
      <c r="M191" s="41" t="e">
        <f>VLOOKUP(I191,错误mRNA总表!D:I,6,FALSE)</f>
        <v>#N/A</v>
      </c>
    </row>
    <row r="192" spans="1:13" x14ac:dyDescent="0.2">
      <c r="A192" s="12" t="s">
        <v>4088</v>
      </c>
      <c r="B192" s="12" t="s">
        <v>4052</v>
      </c>
      <c r="C192" s="12">
        <v>51026321</v>
      </c>
      <c r="D192" s="12">
        <v>51371131</v>
      </c>
      <c r="E192" s="12" t="s">
        <v>3940</v>
      </c>
      <c r="F192" s="12">
        <v>1</v>
      </c>
      <c r="G192" s="41" t="s">
        <v>93</v>
      </c>
      <c r="H192" s="12" t="s">
        <v>5799</v>
      </c>
      <c r="I192" s="41" t="s">
        <v>6720</v>
      </c>
      <c r="M192" s="41" t="e">
        <f>VLOOKUP(I192,错误mRNA总表!D:I,6,FALSE)</f>
        <v>#N/A</v>
      </c>
    </row>
    <row r="193" spans="1:13" x14ac:dyDescent="0.2">
      <c r="A193" s="12" t="s">
        <v>3951</v>
      </c>
      <c r="B193" s="12" t="s">
        <v>4089</v>
      </c>
      <c r="C193" s="12">
        <v>134946</v>
      </c>
      <c r="D193" s="12">
        <v>135009</v>
      </c>
      <c r="E193" s="12" t="s">
        <v>3940</v>
      </c>
      <c r="F193" s="12">
        <v>1</v>
      </c>
      <c r="G193" s="12" t="s">
        <v>4089</v>
      </c>
      <c r="H193" s="12" t="s">
        <v>3649</v>
      </c>
      <c r="I193" s="41" t="s">
        <v>6633</v>
      </c>
      <c r="M193" s="41" t="e">
        <f>VLOOKUP(I193,错误mRNA总表!D:I,6,FALSE)</f>
        <v>#N/A</v>
      </c>
    </row>
    <row r="194" spans="1:13" x14ac:dyDescent="0.2">
      <c r="A194" s="12" t="s">
        <v>4090</v>
      </c>
      <c r="B194" s="12" t="s">
        <v>3986</v>
      </c>
      <c r="C194" s="12">
        <v>4909510</v>
      </c>
      <c r="D194" s="12">
        <v>4954680</v>
      </c>
      <c r="E194" s="12" t="s">
        <v>3940</v>
      </c>
      <c r="F194" s="12">
        <v>1</v>
      </c>
      <c r="G194" s="41" t="s">
        <v>50</v>
      </c>
      <c r="H194" s="12" t="s">
        <v>193</v>
      </c>
      <c r="I194" s="41" t="s">
        <v>2202</v>
      </c>
      <c r="J194" s="41" t="s">
        <v>2202</v>
      </c>
      <c r="K194" s="41" t="str">
        <f>VLOOKUP(J194,错误mRNA总表!D:J,7,FALSE)</f>
        <v>纠后正确</v>
      </c>
      <c r="L194" s="41" t="s">
        <v>3763</v>
      </c>
      <c r="M194" s="41">
        <f>VLOOKUP(I194,错误mRNA总表!D:I,6,FALSE)</f>
        <v>0</v>
      </c>
    </row>
    <row r="195" spans="1:13" x14ac:dyDescent="0.2">
      <c r="A195" s="12" t="s">
        <v>4091</v>
      </c>
      <c r="B195" s="12" t="s">
        <v>3996</v>
      </c>
      <c r="C195" s="12">
        <v>3623191</v>
      </c>
      <c r="D195" s="12">
        <v>3623986</v>
      </c>
      <c r="E195" s="12" t="s">
        <v>3940</v>
      </c>
      <c r="F195" s="12">
        <v>3</v>
      </c>
      <c r="G195" s="12" t="s">
        <v>3996</v>
      </c>
      <c r="H195" s="12" t="s">
        <v>3578</v>
      </c>
      <c r="I195" s="41" t="s">
        <v>6721</v>
      </c>
      <c r="M195" s="41" t="e">
        <f>VLOOKUP(I195,错误mRNA总表!D:I,6,FALSE)</f>
        <v>#N/A</v>
      </c>
    </row>
    <row r="196" spans="1:13" x14ac:dyDescent="0.2">
      <c r="A196" s="12" t="s">
        <v>4092</v>
      </c>
      <c r="B196" s="12" t="s">
        <v>3978</v>
      </c>
      <c r="C196" s="12">
        <v>53317443</v>
      </c>
      <c r="D196" s="12">
        <v>53324819</v>
      </c>
      <c r="E196" s="12" t="s">
        <v>3943</v>
      </c>
      <c r="F196" s="12">
        <v>6</v>
      </c>
      <c r="G196" s="41" t="s">
        <v>86</v>
      </c>
      <c r="H196" s="12" t="s">
        <v>5800</v>
      </c>
      <c r="I196" s="41" t="s">
        <v>6722</v>
      </c>
      <c r="M196" s="41" t="e">
        <f>VLOOKUP(I196,错误mRNA总表!D:I,6,FALSE)</f>
        <v>#N/A</v>
      </c>
    </row>
    <row r="197" spans="1:13" x14ac:dyDescent="0.2">
      <c r="A197" s="12" t="s">
        <v>4092</v>
      </c>
      <c r="B197" s="12" t="s">
        <v>3978</v>
      </c>
      <c r="C197" s="12">
        <v>53317443</v>
      </c>
      <c r="D197" s="12">
        <v>53318546</v>
      </c>
      <c r="E197" s="12" t="s">
        <v>3940</v>
      </c>
      <c r="F197" s="12">
        <v>2</v>
      </c>
      <c r="G197" s="41" t="s">
        <v>86</v>
      </c>
      <c r="H197" s="12" t="s">
        <v>5800</v>
      </c>
      <c r="I197" s="41" t="s">
        <v>6722</v>
      </c>
      <c r="M197" s="41" t="e">
        <f>VLOOKUP(I197,错误mRNA总表!D:I,6,FALSE)</f>
        <v>#N/A</v>
      </c>
    </row>
    <row r="198" spans="1:13" x14ac:dyDescent="0.2">
      <c r="A198" s="12" t="s">
        <v>4093</v>
      </c>
      <c r="B198" s="12" t="s">
        <v>3978</v>
      </c>
      <c r="C198" s="12">
        <v>187943193</v>
      </c>
      <c r="D198" s="12">
        <v>188602082</v>
      </c>
      <c r="E198" s="12" t="s">
        <v>3943</v>
      </c>
      <c r="F198" s="12">
        <v>1</v>
      </c>
      <c r="G198" s="41" t="s">
        <v>86</v>
      </c>
      <c r="H198" s="12" t="s">
        <v>6378</v>
      </c>
      <c r="I198" s="41" t="s">
        <v>6723</v>
      </c>
      <c r="M198" s="41" t="e">
        <f>VLOOKUP(I198,错误mRNA总表!D:I,6,FALSE)</f>
        <v>#N/A</v>
      </c>
    </row>
    <row r="199" spans="1:13" x14ac:dyDescent="0.2">
      <c r="A199" s="12" t="s">
        <v>4094</v>
      </c>
      <c r="B199" s="12" t="s">
        <v>3952</v>
      </c>
      <c r="C199" s="12">
        <v>248805</v>
      </c>
      <c r="D199" s="12">
        <v>248840</v>
      </c>
      <c r="E199" s="12" t="s">
        <v>3940</v>
      </c>
      <c r="F199" s="12">
        <v>2</v>
      </c>
      <c r="G199" s="12" t="s">
        <v>3952</v>
      </c>
      <c r="H199" s="12" t="s">
        <v>3656</v>
      </c>
      <c r="I199" s="41" t="s">
        <v>6724</v>
      </c>
      <c r="M199" s="41" t="e">
        <f>VLOOKUP(I199,错误mRNA总表!D:I,6,FALSE)</f>
        <v>#N/A</v>
      </c>
    </row>
    <row r="200" spans="1:13" x14ac:dyDescent="0.2">
      <c r="A200" s="12" t="s">
        <v>4095</v>
      </c>
      <c r="B200" s="12" t="s">
        <v>4096</v>
      </c>
      <c r="C200" s="12">
        <v>21986</v>
      </c>
      <c r="D200" s="12">
        <v>24384</v>
      </c>
      <c r="E200" s="12" t="s">
        <v>3943</v>
      </c>
      <c r="F200" s="12">
        <v>1</v>
      </c>
      <c r="G200" s="12" t="s">
        <v>4096</v>
      </c>
      <c r="H200" s="12" t="s">
        <v>3605</v>
      </c>
      <c r="I200" s="41" t="s">
        <v>6725</v>
      </c>
      <c r="M200" s="41" t="e">
        <f>VLOOKUP(I200,错误mRNA总表!D:I,6,FALSE)</f>
        <v>#N/A</v>
      </c>
    </row>
    <row r="201" spans="1:13" x14ac:dyDescent="0.2">
      <c r="A201" s="12" t="s">
        <v>4097</v>
      </c>
      <c r="B201" s="12" t="s">
        <v>4098</v>
      </c>
      <c r="C201" s="12">
        <v>248816</v>
      </c>
      <c r="D201" s="12">
        <v>248851</v>
      </c>
      <c r="E201" s="12" t="s">
        <v>3940</v>
      </c>
      <c r="F201" s="12">
        <v>2</v>
      </c>
      <c r="G201" s="12" t="s">
        <v>4098</v>
      </c>
      <c r="H201" s="12" t="s">
        <v>3657</v>
      </c>
      <c r="I201" s="41" t="s">
        <v>6726</v>
      </c>
      <c r="M201" s="41" t="e">
        <f>VLOOKUP(I201,错误mRNA总表!D:I,6,FALSE)</f>
        <v>#N/A</v>
      </c>
    </row>
    <row r="202" spans="1:13" x14ac:dyDescent="0.2">
      <c r="A202" s="12" t="s">
        <v>4099</v>
      </c>
      <c r="B202" s="12" t="s">
        <v>4069</v>
      </c>
      <c r="C202" s="12">
        <v>74069637</v>
      </c>
      <c r="D202" s="12">
        <v>74090957</v>
      </c>
      <c r="E202" s="12" t="s">
        <v>3943</v>
      </c>
      <c r="F202" s="12">
        <v>1</v>
      </c>
      <c r="G202" s="41" t="s">
        <v>179</v>
      </c>
      <c r="H202" s="12" t="s">
        <v>178</v>
      </c>
      <c r="I202" s="41" t="s">
        <v>2154</v>
      </c>
      <c r="J202" s="41" t="s">
        <v>2154</v>
      </c>
      <c r="K202" s="41" t="str">
        <f>VLOOKUP(J202,错误mRNA总表!D:J,7,FALSE)</f>
        <v>纠后正确</v>
      </c>
      <c r="L202" s="41" t="s">
        <v>3763</v>
      </c>
      <c r="M202" s="41">
        <f>VLOOKUP(I202,错误mRNA总表!D:I,6,FALSE)</f>
        <v>0</v>
      </c>
    </row>
    <row r="203" spans="1:13" x14ac:dyDescent="0.2">
      <c r="A203" s="12" t="s">
        <v>4100</v>
      </c>
      <c r="B203" s="12" t="s">
        <v>3973</v>
      </c>
      <c r="C203" s="12">
        <v>149369294</v>
      </c>
      <c r="D203" s="12">
        <v>149378233</v>
      </c>
      <c r="E203" s="12" t="s">
        <v>3943</v>
      </c>
      <c r="F203" s="12">
        <v>9</v>
      </c>
      <c r="G203" s="41" t="s">
        <v>139</v>
      </c>
      <c r="H203" s="12" t="s">
        <v>6379</v>
      </c>
      <c r="I203" s="41" t="s">
        <v>6727</v>
      </c>
      <c r="M203" s="41" t="e">
        <f>VLOOKUP(I203,错误mRNA总表!D:I,6,FALSE)</f>
        <v>#N/A</v>
      </c>
    </row>
    <row r="204" spans="1:13" x14ac:dyDescent="0.2">
      <c r="A204" s="12" t="s">
        <v>4101</v>
      </c>
      <c r="B204" s="12" t="s">
        <v>3996</v>
      </c>
      <c r="C204" s="12">
        <v>2646867</v>
      </c>
      <c r="D204" s="12">
        <v>2649205</v>
      </c>
      <c r="E204" s="12" t="s">
        <v>3940</v>
      </c>
      <c r="F204" s="12">
        <v>1</v>
      </c>
      <c r="G204" s="12" t="s">
        <v>3996</v>
      </c>
      <c r="H204" s="12" t="s">
        <v>670</v>
      </c>
      <c r="I204" s="41" t="s">
        <v>6675</v>
      </c>
      <c r="J204" s="41" t="s">
        <v>2607</v>
      </c>
      <c r="K204" s="41" t="str">
        <f>VLOOKUP(J204,错误mRNA总表!D:J,7,FALSE)</f>
        <v/>
      </c>
      <c r="M204" s="41" t="e">
        <f>VLOOKUP(I204,错误mRNA总表!D:I,6,FALSE)</f>
        <v>#N/A</v>
      </c>
    </row>
    <row r="205" spans="1:13" x14ac:dyDescent="0.2">
      <c r="A205" s="12" t="s">
        <v>4102</v>
      </c>
      <c r="B205" s="12" t="s">
        <v>4030</v>
      </c>
      <c r="C205" s="12">
        <v>21945335</v>
      </c>
      <c r="D205" s="12">
        <v>21965671</v>
      </c>
      <c r="E205" s="12" t="s">
        <v>3940</v>
      </c>
      <c r="F205" s="12">
        <v>14</v>
      </c>
      <c r="G205" s="41" t="s">
        <v>81</v>
      </c>
      <c r="H205" s="12" t="s">
        <v>6496</v>
      </c>
      <c r="I205" s="41" t="s">
        <v>6728</v>
      </c>
      <c r="M205" s="41" t="e">
        <f>VLOOKUP(I205,错误mRNA总表!D:I,6,FALSE)</f>
        <v>#N/A</v>
      </c>
    </row>
    <row r="206" spans="1:13" x14ac:dyDescent="0.2">
      <c r="A206" s="12" t="s">
        <v>3997</v>
      </c>
      <c r="B206" s="12" t="s">
        <v>3969</v>
      </c>
      <c r="C206" s="12">
        <v>2429238</v>
      </c>
      <c r="D206" s="12">
        <v>2431252</v>
      </c>
      <c r="E206" s="12" t="s">
        <v>3943</v>
      </c>
      <c r="F206" s="12">
        <v>3</v>
      </c>
      <c r="G206" s="12" t="s">
        <v>3969</v>
      </c>
      <c r="H206" s="12" t="s">
        <v>671</v>
      </c>
      <c r="I206" s="41" t="s">
        <v>6729</v>
      </c>
      <c r="J206" s="41" t="s">
        <v>2608</v>
      </c>
      <c r="K206" s="41" t="str">
        <f>VLOOKUP(J206,错误mRNA总表!D:J,7,FALSE)</f>
        <v/>
      </c>
      <c r="M206" s="41" t="e">
        <f>VLOOKUP(I206,错误mRNA总表!D:I,6,FALSE)</f>
        <v>#N/A</v>
      </c>
    </row>
    <row r="207" spans="1:13" x14ac:dyDescent="0.2">
      <c r="A207" s="12" t="s">
        <v>3997</v>
      </c>
      <c r="B207" s="12" t="s">
        <v>3969</v>
      </c>
      <c r="C207" s="12">
        <v>2429238</v>
      </c>
      <c r="D207" s="12">
        <v>2431576</v>
      </c>
      <c r="E207" s="12" t="s">
        <v>3940</v>
      </c>
      <c r="F207" s="12">
        <v>1</v>
      </c>
      <c r="G207" s="12" t="s">
        <v>3969</v>
      </c>
      <c r="H207" s="12" t="s">
        <v>671</v>
      </c>
      <c r="I207" s="41" t="s">
        <v>6729</v>
      </c>
      <c r="J207" s="41" t="s">
        <v>2608</v>
      </c>
      <c r="K207" s="41" t="str">
        <f>VLOOKUP(J207,错误mRNA总表!D:J,7,FALSE)</f>
        <v/>
      </c>
      <c r="M207" s="41" t="e">
        <f>VLOOKUP(I207,错误mRNA总表!D:I,6,FALSE)</f>
        <v>#N/A</v>
      </c>
    </row>
    <row r="208" spans="1:13" x14ac:dyDescent="0.2">
      <c r="A208" s="12" t="s">
        <v>4103</v>
      </c>
      <c r="B208" s="12" t="s">
        <v>3939</v>
      </c>
      <c r="C208" s="12">
        <v>152853383</v>
      </c>
      <c r="D208" s="12">
        <v>152864477</v>
      </c>
      <c r="E208" s="12" t="s">
        <v>3940</v>
      </c>
      <c r="F208" s="12">
        <v>1</v>
      </c>
      <c r="G208" s="41" t="s">
        <v>73</v>
      </c>
      <c r="H208" s="12" t="s">
        <v>72</v>
      </c>
      <c r="I208" s="41" t="s">
        <v>2093</v>
      </c>
      <c r="J208" s="41" t="s">
        <v>2093</v>
      </c>
      <c r="K208" s="41" t="str">
        <f>VLOOKUP(J208,错误mRNA总表!D:J,7,FALSE)</f>
        <v>纠后正确</v>
      </c>
      <c r="L208" s="41" t="s">
        <v>3763</v>
      </c>
      <c r="M208" s="41">
        <f>VLOOKUP(I208,错误mRNA总表!D:I,6,FALSE)</f>
        <v>0</v>
      </c>
    </row>
    <row r="209" spans="1:13" x14ac:dyDescent="0.2">
      <c r="A209" s="12" t="s">
        <v>4103</v>
      </c>
      <c r="B209" s="12" t="s">
        <v>3939</v>
      </c>
      <c r="C209" s="12">
        <v>152853383</v>
      </c>
      <c r="D209" s="12">
        <v>152864513</v>
      </c>
      <c r="E209" s="12" t="s">
        <v>3940</v>
      </c>
      <c r="F209" s="12">
        <v>1</v>
      </c>
      <c r="G209" s="41" t="s">
        <v>73</v>
      </c>
      <c r="H209" s="12" t="s">
        <v>72</v>
      </c>
      <c r="I209" s="41" t="s">
        <v>2093</v>
      </c>
      <c r="J209" s="41" t="s">
        <v>2093</v>
      </c>
      <c r="K209" s="41" t="str">
        <f>VLOOKUP(J209,错误mRNA总表!D:J,7,FALSE)</f>
        <v>纠后正确</v>
      </c>
      <c r="L209" s="41" t="s">
        <v>3763</v>
      </c>
      <c r="M209" s="41">
        <f>VLOOKUP(I209,错误mRNA总表!D:I,6,FALSE)</f>
        <v>0</v>
      </c>
    </row>
    <row r="210" spans="1:13" x14ac:dyDescent="0.2">
      <c r="A210" s="12" t="s">
        <v>4103</v>
      </c>
      <c r="B210" s="12" t="s">
        <v>3939</v>
      </c>
      <c r="C210" s="12">
        <v>152853383</v>
      </c>
      <c r="D210" s="12">
        <v>152864609</v>
      </c>
      <c r="E210" s="12" t="s">
        <v>3940</v>
      </c>
      <c r="F210" s="12">
        <v>1</v>
      </c>
      <c r="G210" s="41" t="s">
        <v>73</v>
      </c>
      <c r="H210" s="12" t="s">
        <v>72</v>
      </c>
      <c r="I210" s="41" t="s">
        <v>2093</v>
      </c>
      <c r="J210" s="41" t="s">
        <v>2093</v>
      </c>
      <c r="K210" s="41" t="str">
        <f>VLOOKUP(J210,错误mRNA总表!D:J,7,FALSE)</f>
        <v>纠后正确</v>
      </c>
      <c r="L210" s="41" t="s">
        <v>3763</v>
      </c>
      <c r="M210" s="41">
        <f>VLOOKUP(I210,错误mRNA总表!D:I,6,FALSE)</f>
        <v>0</v>
      </c>
    </row>
    <row r="211" spans="1:13" x14ac:dyDescent="0.2">
      <c r="A211" s="12" t="s">
        <v>4002</v>
      </c>
      <c r="B211" s="12" t="s">
        <v>3994</v>
      </c>
      <c r="C211" s="12">
        <v>1019089</v>
      </c>
      <c r="D211" s="12">
        <v>1019256</v>
      </c>
      <c r="E211" s="12" t="s">
        <v>3943</v>
      </c>
      <c r="F211" s="12">
        <v>1</v>
      </c>
      <c r="G211" s="12" t="s">
        <v>3994</v>
      </c>
      <c r="H211" s="12" t="s">
        <v>5781</v>
      </c>
      <c r="I211" s="41" t="s">
        <v>6730</v>
      </c>
      <c r="M211" s="41" t="e">
        <f>VLOOKUP(I211,错误mRNA总表!D:I,6,FALSE)</f>
        <v>#N/A</v>
      </c>
    </row>
    <row r="212" spans="1:13" x14ac:dyDescent="0.2">
      <c r="A212" s="12" t="s">
        <v>4104</v>
      </c>
      <c r="B212" s="12" t="s">
        <v>3984</v>
      </c>
      <c r="C212" s="12">
        <v>1980909</v>
      </c>
      <c r="D212" s="12">
        <v>1985232</v>
      </c>
      <c r="E212" s="12" t="s">
        <v>3943</v>
      </c>
      <c r="F212" s="12">
        <v>1</v>
      </c>
      <c r="G212" s="12" t="s">
        <v>3984</v>
      </c>
      <c r="H212" s="12" t="s">
        <v>5801</v>
      </c>
      <c r="I212" s="41" t="s">
        <v>6731</v>
      </c>
      <c r="M212" s="41" t="e">
        <f>VLOOKUP(I212,错误mRNA总表!D:I,6,FALSE)</f>
        <v>#N/A</v>
      </c>
    </row>
    <row r="213" spans="1:13" x14ac:dyDescent="0.2">
      <c r="A213" s="12" t="s">
        <v>4105</v>
      </c>
      <c r="B213" s="12" t="s">
        <v>4001</v>
      </c>
      <c r="C213" s="12">
        <v>1318409</v>
      </c>
      <c r="D213" s="12">
        <v>1318419</v>
      </c>
      <c r="E213" s="12" t="s">
        <v>3940</v>
      </c>
      <c r="F213" s="12">
        <v>5</v>
      </c>
      <c r="G213" s="12" t="s">
        <v>4001</v>
      </c>
      <c r="H213" s="12" t="s">
        <v>5802</v>
      </c>
      <c r="I213" s="41" t="s">
        <v>6732</v>
      </c>
      <c r="M213" s="41" t="e">
        <f>VLOOKUP(I213,错误mRNA总表!D:I,6,FALSE)</f>
        <v>#N/A</v>
      </c>
    </row>
    <row r="214" spans="1:13" x14ac:dyDescent="0.2">
      <c r="A214" s="12" t="s">
        <v>4105</v>
      </c>
      <c r="B214" s="12" t="s">
        <v>4001</v>
      </c>
      <c r="C214" s="12">
        <v>1318409</v>
      </c>
      <c r="D214" s="12">
        <v>1318438</v>
      </c>
      <c r="E214" s="12" t="s">
        <v>3943</v>
      </c>
      <c r="F214" s="12">
        <v>2</v>
      </c>
      <c r="G214" s="12" t="s">
        <v>4001</v>
      </c>
      <c r="H214" s="12" t="s">
        <v>5802</v>
      </c>
      <c r="I214" s="41" t="s">
        <v>6732</v>
      </c>
      <c r="M214" s="41" t="e">
        <f>VLOOKUP(I214,错误mRNA总表!D:I,6,FALSE)</f>
        <v>#N/A</v>
      </c>
    </row>
    <row r="215" spans="1:13" x14ac:dyDescent="0.2">
      <c r="A215" s="12" t="s">
        <v>4105</v>
      </c>
      <c r="B215" s="12" t="s">
        <v>4001</v>
      </c>
      <c r="C215" s="12">
        <v>1318409</v>
      </c>
      <c r="D215" s="12">
        <v>1318446</v>
      </c>
      <c r="E215" s="12" t="s">
        <v>3940</v>
      </c>
      <c r="F215" s="12">
        <v>1</v>
      </c>
      <c r="G215" s="12" t="s">
        <v>4001</v>
      </c>
      <c r="H215" s="12" t="s">
        <v>5802</v>
      </c>
      <c r="I215" s="41" t="s">
        <v>6732</v>
      </c>
      <c r="M215" s="41" t="e">
        <f>VLOOKUP(I215,错误mRNA总表!D:I,6,FALSE)</f>
        <v>#N/A</v>
      </c>
    </row>
    <row r="216" spans="1:13" x14ac:dyDescent="0.2">
      <c r="A216" s="12" t="s">
        <v>4105</v>
      </c>
      <c r="B216" s="12" t="s">
        <v>4001</v>
      </c>
      <c r="C216" s="12">
        <v>1318409</v>
      </c>
      <c r="D216" s="12">
        <v>1318450</v>
      </c>
      <c r="E216" s="12" t="s">
        <v>3940</v>
      </c>
      <c r="F216" s="12">
        <v>5</v>
      </c>
      <c r="G216" s="12" t="s">
        <v>4001</v>
      </c>
      <c r="H216" s="12" t="s">
        <v>5802</v>
      </c>
      <c r="I216" s="41" t="s">
        <v>6732</v>
      </c>
      <c r="M216" s="41" t="e">
        <f>VLOOKUP(I216,错误mRNA总表!D:I,6,FALSE)</f>
        <v>#N/A</v>
      </c>
    </row>
    <row r="217" spans="1:13" x14ac:dyDescent="0.2">
      <c r="A217" s="12" t="s">
        <v>4106</v>
      </c>
      <c r="B217" s="12" t="s">
        <v>4107</v>
      </c>
      <c r="C217" s="12">
        <v>1298395</v>
      </c>
      <c r="D217" s="12">
        <v>1308746</v>
      </c>
      <c r="E217" s="12" t="s">
        <v>3940</v>
      </c>
      <c r="F217" s="12">
        <v>116</v>
      </c>
      <c r="G217" s="12" t="s">
        <v>4107</v>
      </c>
      <c r="H217" s="12" t="s">
        <v>3682</v>
      </c>
      <c r="I217" s="41" t="s">
        <v>6733</v>
      </c>
      <c r="M217" s="41" t="e">
        <f>VLOOKUP(I217,错误mRNA总表!D:I,6,FALSE)</f>
        <v>#N/A</v>
      </c>
    </row>
    <row r="218" spans="1:13" x14ac:dyDescent="0.2">
      <c r="A218" s="12" t="s">
        <v>4044</v>
      </c>
      <c r="B218" s="12" t="s">
        <v>3960</v>
      </c>
      <c r="C218" s="12">
        <v>134946</v>
      </c>
      <c r="D218" s="12">
        <v>135009</v>
      </c>
      <c r="E218" s="12" t="s">
        <v>3940</v>
      </c>
      <c r="F218" s="12">
        <v>1</v>
      </c>
      <c r="G218" s="12" t="s">
        <v>3960</v>
      </c>
      <c r="H218" s="12" t="s">
        <v>3648</v>
      </c>
      <c r="I218" s="41" t="s">
        <v>6693</v>
      </c>
      <c r="M218" s="41" t="e">
        <f>VLOOKUP(I218,错误mRNA总表!D:I,6,FALSE)</f>
        <v>#N/A</v>
      </c>
    </row>
    <row r="219" spans="1:13" x14ac:dyDescent="0.2">
      <c r="A219" s="12" t="s">
        <v>4108</v>
      </c>
      <c r="B219" s="12" t="s">
        <v>3957</v>
      </c>
      <c r="C219" s="12">
        <v>27676440</v>
      </c>
      <c r="D219" s="12">
        <v>27676545</v>
      </c>
      <c r="E219" s="12" t="s">
        <v>3943</v>
      </c>
      <c r="F219" s="12">
        <v>1</v>
      </c>
      <c r="G219" s="41" t="s">
        <v>36</v>
      </c>
      <c r="H219" s="12" t="s">
        <v>5803</v>
      </c>
      <c r="I219" s="41" t="s">
        <v>6734</v>
      </c>
      <c r="M219" s="41" t="e">
        <f>VLOOKUP(I219,错误mRNA总表!D:I,6,FALSE)</f>
        <v>#N/A</v>
      </c>
    </row>
    <row r="220" spans="1:13" x14ac:dyDescent="0.2">
      <c r="A220" s="12" t="s">
        <v>4108</v>
      </c>
      <c r="B220" s="12" t="s">
        <v>3957</v>
      </c>
      <c r="C220" s="12">
        <v>27676440</v>
      </c>
      <c r="D220" s="12">
        <v>27679010</v>
      </c>
      <c r="E220" s="12" t="s">
        <v>3943</v>
      </c>
      <c r="F220" s="12">
        <v>1</v>
      </c>
      <c r="G220" s="41" t="s">
        <v>36</v>
      </c>
      <c r="H220" s="12" t="s">
        <v>5803</v>
      </c>
      <c r="I220" s="41" t="s">
        <v>6734</v>
      </c>
      <c r="M220" s="41" t="e">
        <f>VLOOKUP(I220,错误mRNA总表!D:I,6,FALSE)</f>
        <v>#N/A</v>
      </c>
    </row>
    <row r="221" spans="1:13" x14ac:dyDescent="0.2">
      <c r="A221" s="12" t="s">
        <v>4109</v>
      </c>
      <c r="B221" s="12" t="s">
        <v>3973</v>
      </c>
      <c r="C221" s="12">
        <v>35544964</v>
      </c>
      <c r="D221" s="12">
        <v>35545023</v>
      </c>
      <c r="E221" s="12" t="s">
        <v>3940</v>
      </c>
      <c r="F221" s="12">
        <v>2</v>
      </c>
      <c r="G221" s="41" t="s">
        <v>139</v>
      </c>
      <c r="H221" s="12" t="s">
        <v>5804</v>
      </c>
      <c r="I221" s="41" t="s">
        <v>6735</v>
      </c>
      <c r="M221" s="41" t="e">
        <f>VLOOKUP(I221,错误mRNA总表!D:I,6,FALSE)</f>
        <v>#N/A</v>
      </c>
    </row>
    <row r="222" spans="1:13" x14ac:dyDescent="0.2">
      <c r="A222" s="12" t="s">
        <v>4110</v>
      </c>
      <c r="B222" s="12" t="s">
        <v>3957</v>
      </c>
      <c r="C222" s="12">
        <v>46638826</v>
      </c>
      <c r="D222" s="12">
        <v>46694313</v>
      </c>
      <c r="E222" s="12" t="s">
        <v>3943</v>
      </c>
      <c r="F222" s="12">
        <v>2</v>
      </c>
      <c r="G222" s="41" t="s">
        <v>36</v>
      </c>
      <c r="H222" s="12" t="s">
        <v>5805</v>
      </c>
      <c r="I222" s="41" t="s">
        <v>6736</v>
      </c>
      <c r="M222" s="41" t="e">
        <f>VLOOKUP(I222,错误mRNA总表!D:I,6,FALSE)</f>
        <v>#N/A</v>
      </c>
    </row>
    <row r="223" spans="1:13" x14ac:dyDescent="0.2">
      <c r="A223" s="12" t="s">
        <v>4111</v>
      </c>
      <c r="B223" s="12" t="s">
        <v>3966</v>
      </c>
      <c r="C223" s="12">
        <v>51113070</v>
      </c>
      <c r="D223" s="12">
        <v>51133476</v>
      </c>
      <c r="E223" s="12" t="s">
        <v>3940</v>
      </c>
      <c r="F223" s="12">
        <v>37</v>
      </c>
      <c r="G223" s="41" t="s">
        <v>43</v>
      </c>
      <c r="H223" s="12" t="s">
        <v>1360</v>
      </c>
      <c r="I223" s="41" t="s">
        <v>3393</v>
      </c>
      <c r="J223" s="41" t="s">
        <v>3393</v>
      </c>
      <c r="K223" s="41" t="str">
        <f>VLOOKUP(J223,错误mRNA总表!D:J,7,FALSE)</f>
        <v>纠后正确，区间略有变化，chr22:51133475-51169740</v>
      </c>
      <c r="L223" s="41" t="s">
        <v>3866</v>
      </c>
      <c r="M223" s="41" t="str">
        <f>VLOOKUP(I223,错误mRNA总表!D:I,6,FALSE)</f>
        <v>纠后正确，区间略有变化，chr22:51133475-51169740</v>
      </c>
    </row>
    <row r="224" spans="1:13" x14ac:dyDescent="0.2">
      <c r="A224" s="12" t="s">
        <v>4111</v>
      </c>
      <c r="B224" s="12" t="s">
        <v>3966</v>
      </c>
      <c r="C224" s="12">
        <v>51113070</v>
      </c>
      <c r="D224" s="12">
        <v>51135989</v>
      </c>
      <c r="E224" s="12" t="s">
        <v>3943</v>
      </c>
      <c r="F224" s="12">
        <v>2</v>
      </c>
      <c r="G224" s="41" t="s">
        <v>43</v>
      </c>
      <c r="H224" s="12" t="s">
        <v>1360</v>
      </c>
      <c r="I224" s="41" t="s">
        <v>3393</v>
      </c>
      <c r="J224" s="41" t="s">
        <v>3393</v>
      </c>
      <c r="K224" s="41" t="str">
        <f>VLOOKUP(J224,错误mRNA总表!D:J,7,FALSE)</f>
        <v>纠后正确，区间略有变化，chr22:51133475-51169740</v>
      </c>
      <c r="L224" s="41" t="s">
        <v>3866</v>
      </c>
      <c r="M224" s="41" t="str">
        <f>VLOOKUP(I224,错误mRNA总表!D:I,6,FALSE)</f>
        <v>纠后正确，区间略有变化，chr22:51133475-51169740</v>
      </c>
    </row>
    <row r="225" spans="1:13" x14ac:dyDescent="0.2">
      <c r="A225" s="12" t="s">
        <v>4112</v>
      </c>
      <c r="B225" s="12" t="s">
        <v>4052</v>
      </c>
      <c r="C225" s="12">
        <v>97890037</v>
      </c>
      <c r="D225" s="12">
        <v>97920100</v>
      </c>
      <c r="E225" s="12" t="s">
        <v>3940</v>
      </c>
      <c r="F225" s="12">
        <v>1</v>
      </c>
      <c r="G225" s="41" t="s">
        <v>93</v>
      </c>
      <c r="H225" s="12" t="s">
        <v>5806</v>
      </c>
      <c r="I225" s="41" t="s">
        <v>6737</v>
      </c>
      <c r="M225" s="41" t="e">
        <f>VLOOKUP(I225,错误mRNA总表!D:I,6,FALSE)</f>
        <v>#N/A</v>
      </c>
    </row>
    <row r="226" spans="1:13" x14ac:dyDescent="0.2">
      <c r="A226" s="12" t="s">
        <v>4113</v>
      </c>
      <c r="B226" s="12" t="s">
        <v>3946</v>
      </c>
      <c r="C226" s="12">
        <v>43340486</v>
      </c>
      <c r="D226" s="12">
        <v>43364293</v>
      </c>
      <c r="E226" s="12" t="s">
        <v>3940</v>
      </c>
      <c r="F226" s="12">
        <v>1</v>
      </c>
      <c r="G226" s="41" t="s">
        <v>47</v>
      </c>
      <c r="H226" s="12" t="s">
        <v>202</v>
      </c>
      <c r="I226" s="41" t="s">
        <v>6738</v>
      </c>
      <c r="J226" s="41" t="s">
        <v>2174</v>
      </c>
      <c r="K226" s="41" t="str">
        <f>VLOOKUP(J226,错误mRNA总表!D:J,7,FALSE)</f>
        <v>纠后正确</v>
      </c>
      <c r="M226" s="41" t="e">
        <f>VLOOKUP(I226,错误mRNA总表!D:I,6,FALSE)</f>
        <v>#N/A</v>
      </c>
    </row>
    <row r="227" spans="1:13" x14ac:dyDescent="0.2">
      <c r="A227" s="12" t="s">
        <v>4114</v>
      </c>
      <c r="B227" s="12" t="s">
        <v>4115</v>
      </c>
      <c r="C227" s="12">
        <v>136130563</v>
      </c>
      <c r="D227" s="12">
        <v>136132908</v>
      </c>
      <c r="E227" s="12" t="s">
        <v>3940</v>
      </c>
      <c r="F227" s="12">
        <v>1</v>
      </c>
      <c r="G227" s="41" t="s">
        <v>33</v>
      </c>
      <c r="H227" s="12" t="s">
        <v>32</v>
      </c>
      <c r="I227" s="41" t="s">
        <v>2073</v>
      </c>
      <c r="J227" s="41" t="s">
        <v>2073</v>
      </c>
      <c r="K227" s="41" t="str">
        <f>VLOOKUP(J227,错误mRNA总表!D:J,7,FALSE)</f>
        <v>纠后正确</v>
      </c>
      <c r="L227" s="41" t="s">
        <v>3763</v>
      </c>
      <c r="M227" s="41">
        <f>VLOOKUP(I227,错误mRNA总表!D:I,6,FALSE)</f>
        <v>0</v>
      </c>
    </row>
    <row r="228" spans="1:13" x14ac:dyDescent="0.2">
      <c r="A228" s="12" t="s">
        <v>4116</v>
      </c>
      <c r="B228" s="12" t="s">
        <v>3989</v>
      </c>
      <c r="C228" s="12">
        <v>4252711</v>
      </c>
      <c r="D228" s="12">
        <v>4258335</v>
      </c>
      <c r="E228" s="12" t="s">
        <v>3940</v>
      </c>
      <c r="F228" s="12">
        <v>3</v>
      </c>
      <c r="G228" s="12" t="s">
        <v>3989</v>
      </c>
      <c r="H228" s="12" t="s">
        <v>3583</v>
      </c>
      <c r="I228" s="41" t="s">
        <v>6739</v>
      </c>
      <c r="M228" s="41" t="e">
        <f>VLOOKUP(I228,错误mRNA总表!D:I,6,FALSE)</f>
        <v>#N/A</v>
      </c>
    </row>
    <row r="229" spans="1:13" x14ac:dyDescent="0.2">
      <c r="A229" s="12" t="s">
        <v>4117</v>
      </c>
      <c r="B229" s="12" t="s">
        <v>3948</v>
      </c>
      <c r="C229" s="12">
        <v>150887960</v>
      </c>
      <c r="D229" s="12">
        <v>150892684</v>
      </c>
      <c r="E229" s="12" t="s">
        <v>3940</v>
      </c>
      <c r="F229" s="12">
        <v>1</v>
      </c>
      <c r="G229" s="41" t="s">
        <v>40</v>
      </c>
      <c r="H229" s="12" t="s">
        <v>5807</v>
      </c>
      <c r="I229" s="41" t="s">
        <v>6740</v>
      </c>
      <c r="M229" s="41" t="e">
        <f>VLOOKUP(I229,错误mRNA总表!D:I,6,FALSE)</f>
        <v>#N/A</v>
      </c>
    </row>
    <row r="230" spans="1:13" x14ac:dyDescent="0.2">
      <c r="A230" s="12" t="s">
        <v>4118</v>
      </c>
      <c r="B230" s="12" t="s">
        <v>4115</v>
      </c>
      <c r="C230" s="12">
        <v>139221932</v>
      </c>
      <c r="D230" s="12">
        <v>139235849</v>
      </c>
      <c r="E230" s="12" t="s">
        <v>3940</v>
      </c>
      <c r="F230" s="12">
        <v>5</v>
      </c>
      <c r="G230" s="41" t="s">
        <v>33</v>
      </c>
      <c r="H230" s="12" t="s">
        <v>3604</v>
      </c>
      <c r="I230" s="41" t="s">
        <v>6741</v>
      </c>
      <c r="M230" s="41" t="e">
        <f>VLOOKUP(I230,错误mRNA总表!D:I,6,FALSE)</f>
        <v>#N/A</v>
      </c>
    </row>
    <row r="231" spans="1:13" x14ac:dyDescent="0.2">
      <c r="A231" s="12" t="s">
        <v>4119</v>
      </c>
      <c r="B231" s="12" t="s">
        <v>3986</v>
      </c>
      <c r="C231" s="12">
        <v>42341148</v>
      </c>
      <c r="D231" s="12">
        <v>42347973</v>
      </c>
      <c r="E231" s="12" t="s">
        <v>3940</v>
      </c>
      <c r="F231" s="12">
        <v>4</v>
      </c>
      <c r="G231" s="41" t="s">
        <v>50</v>
      </c>
      <c r="H231" s="12" t="s">
        <v>3663</v>
      </c>
      <c r="I231" s="41" t="s">
        <v>6742</v>
      </c>
      <c r="M231" s="41" t="e">
        <f>VLOOKUP(I231,错误mRNA总表!D:I,6,FALSE)</f>
        <v>#N/A</v>
      </c>
    </row>
    <row r="232" spans="1:13" x14ac:dyDescent="0.2">
      <c r="A232" s="12" t="s">
        <v>4120</v>
      </c>
      <c r="B232" s="12" t="s">
        <v>4089</v>
      </c>
      <c r="C232" s="12">
        <v>841925</v>
      </c>
      <c r="D232" s="12">
        <v>855088</v>
      </c>
      <c r="E232" s="12" t="s">
        <v>3943</v>
      </c>
      <c r="F232" s="12">
        <v>3</v>
      </c>
      <c r="G232" s="12" t="s">
        <v>4089</v>
      </c>
      <c r="H232" s="12" t="s">
        <v>3662</v>
      </c>
      <c r="I232" s="41" t="s">
        <v>6743</v>
      </c>
      <c r="M232" s="41" t="e">
        <f>VLOOKUP(I232,错误mRNA总表!D:I,6,FALSE)</f>
        <v>#N/A</v>
      </c>
    </row>
    <row r="233" spans="1:13" x14ac:dyDescent="0.2">
      <c r="A233" s="12" t="s">
        <v>4120</v>
      </c>
      <c r="B233" s="12" t="s">
        <v>4089</v>
      </c>
      <c r="C233" s="12">
        <v>841925</v>
      </c>
      <c r="D233" s="12">
        <v>856299</v>
      </c>
      <c r="E233" s="12" t="s">
        <v>3940</v>
      </c>
      <c r="F233" s="12">
        <v>20</v>
      </c>
      <c r="G233" s="12" t="s">
        <v>4089</v>
      </c>
      <c r="H233" s="12" t="s">
        <v>3662</v>
      </c>
      <c r="I233" s="41" t="s">
        <v>6743</v>
      </c>
      <c r="M233" s="41" t="e">
        <f>VLOOKUP(I233,错误mRNA总表!D:I,6,FALSE)</f>
        <v>#N/A</v>
      </c>
    </row>
    <row r="234" spans="1:13" x14ac:dyDescent="0.2">
      <c r="A234" s="12" t="s">
        <v>4120</v>
      </c>
      <c r="B234" s="12" t="s">
        <v>4089</v>
      </c>
      <c r="C234" s="12">
        <v>841925</v>
      </c>
      <c r="D234" s="12">
        <v>856366</v>
      </c>
      <c r="E234" s="12" t="s">
        <v>3940</v>
      </c>
      <c r="F234" s="12">
        <v>1</v>
      </c>
      <c r="G234" s="12" t="s">
        <v>4089</v>
      </c>
      <c r="H234" s="12" t="s">
        <v>3662</v>
      </c>
      <c r="I234" s="41" t="s">
        <v>6743</v>
      </c>
      <c r="M234" s="41" t="e">
        <f>VLOOKUP(I234,错误mRNA总表!D:I,6,FALSE)</f>
        <v>#N/A</v>
      </c>
    </row>
    <row r="235" spans="1:13" x14ac:dyDescent="0.2">
      <c r="A235" s="12" t="s">
        <v>4121</v>
      </c>
      <c r="B235" s="12" t="s">
        <v>3986</v>
      </c>
      <c r="C235" s="12">
        <v>51125234</v>
      </c>
      <c r="D235" s="12">
        <v>51125306</v>
      </c>
      <c r="E235" s="12" t="s">
        <v>3943</v>
      </c>
      <c r="F235" s="12">
        <v>1</v>
      </c>
      <c r="G235" s="41" t="s">
        <v>50</v>
      </c>
      <c r="H235" s="12" t="s">
        <v>5808</v>
      </c>
      <c r="I235" s="41" t="s">
        <v>6744</v>
      </c>
      <c r="M235" s="41" t="e">
        <f>VLOOKUP(I235,错误mRNA总表!D:I,6,FALSE)</f>
        <v>#N/A</v>
      </c>
    </row>
    <row r="236" spans="1:13" x14ac:dyDescent="0.2">
      <c r="A236" s="12" t="s">
        <v>4028</v>
      </c>
      <c r="B236" s="12" t="s">
        <v>4089</v>
      </c>
      <c r="C236" s="12">
        <v>134946</v>
      </c>
      <c r="D236" s="12">
        <v>147927</v>
      </c>
      <c r="E236" s="12" t="s">
        <v>3940</v>
      </c>
      <c r="F236" s="12">
        <v>1</v>
      </c>
      <c r="G236" s="12" t="s">
        <v>4089</v>
      </c>
      <c r="H236" s="12" t="s">
        <v>3649</v>
      </c>
      <c r="I236" s="41" t="s">
        <v>6633</v>
      </c>
      <c r="M236" s="41" t="e">
        <f>VLOOKUP(I236,错误mRNA总表!D:I,6,FALSE)</f>
        <v>#N/A</v>
      </c>
    </row>
    <row r="237" spans="1:13" x14ac:dyDescent="0.2">
      <c r="A237" s="12" t="s">
        <v>4028</v>
      </c>
      <c r="B237" s="12" t="s">
        <v>4089</v>
      </c>
      <c r="C237" s="12">
        <v>134946</v>
      </c>
      <c r="D237" s="12">
        <v>135009</v>
      </c>
      <c r="E237" s="12" t="s">
        <v>3940</v>
      </c>
      <c r="F237" s="12">
        <v>1</v>
      </c>
      <c r="G237" s="12" t="s">
        <v>4089</v>
      </c>
      <c r="H237" s="12" t="s">
        <v>3649</v>
      </c>
      <c r="I237" s="41" t="s">
        <v>6633</v>
      </c>
      <c r="M237" s="41" t="e">
        <f>VLOOKUP(I237,错误mRNA总表!D:I,6,FALSE)</f>
        <v>#N/A</v>
      </c>
    </row>
    <row r="238" spans="1:13" x14ac:dyDescent="0.2">
      <c r="A238" s="12" t="s">
        <v>4122</v>
      </c>
      <c r="B238" s="12" t="s">
        <v>3946</v>
      </c>
      <c r="C238" s="12">
        <v>34324618</v>
      </c>
      <c r="D238" s="12">
        <v>34328646</v>
      </c>
      <c r="E238" s="12" t="s">
        <v>3943</v>
      </c>
      <c r="F238" s="12">
        <v>7</v>
      </c>
      <c r="G238" s="41" t="s">
        <v>47</v>
      </c>
      <c r="H238" s="12" t="s">
        <v>6601</v>
      </c>
      <c r="I238" s="41" t="s">
        <v>6745</v>
      </c>
      <c r="M238" s="41" t="e">
        <f>VLOOKUP(I238,错误mRNA总表!D:I,6,FALSE)</f>
        <v>#N/A</v>
      </c>
    </row>
    <row r="239" spans="1:13" x14ac:dyDescent="0.2">
      <c r="A239" s="12" t="s">
        <v>4123</v>
      </c>
      <c r="B239" s="12" t="s">
        <v>4124</v>
      </c>
      <c r="C239" s="12">
        <v>233925036</v>
      </c>
      <c r="D239" s="12">
        <v>233995358</v>
      </c>
      <c r="E239" s="12" t="s">
        <v>3940</v>
      </c>
      <c r="F239" s="12">
        <v>145</v>
      </c>
      <c r="G239" s="41" t="s">
        <v>1</v>
      </c>
      <c r="H239" s="12" t="s">
        <v>8370</v>
      </c>
      <c r="I239" s="41" t="s">
        <v>2213</v>
      </c>
      <c r="J239" s="41" t="s">
        <v>2213</v>
      </c>
      <c r="K239" s="41" t="str">
        <f>VLOOKUP(J239,错误mRNA总表!D:J,7,FALSE)</f>
        <v/>
      </c>
      <c r="M239" s="41">
        <f>VLOOKUP(I239,错误mRNA总表!D:I,6,FALSE)</f>
        <v>0</v>
      </c>
    </row>
    <row r="240" spans="1:13" x14ac:dyDescent="0.2">
      <c r="A240" s="12" t="s">
        <v>4123</v>
      </c>
      <c r="B240" s="12" t="s">
        <v>4124</v>
      </c>
      <c r="C240" s="12">
        <v>233925036</v>
      </c>
      <c r="D240" s="12">
        <v>233995852</v>
      </c>
      <c r="E240" s="12" t="s">
        <v>3943</v>
      </c>
      <c r="F240" s="12">
        <v>2</v>
      </c>
      <c r="G240" s="41" t="s">
        <v>1</v>
      </c>
      <c r="H240" s="12" t="s">
        <v>260</v>
      </c>
      <c r="I240" s="41" t="s">
        <v>2213</v>
      </c>
      <c r="J240" s="41" t="s">
        <v>2213</v>
      </c>
      <c r="K240" s="41" t="str">
        <f>VLOOKUP(J240,错误mRNA总表!D:J,7,FALSE)</f>
        <v/>
      </c>
      <c r="M240" s="41">
        <f>VLOOKUP(I240,错误mRNA总表!D:I,6,FALSE)</f>
        <v>0</v>
      </c>
    </row>
    <row r="241" spans="1:13" x14ac:dyDescent="0.2">
      <c r="A241" s="12" t="s">
        <v>4123</v>
      </c>
      <c r="B241" s="12" t="s">
        <v>4124</v>
      </c>
      <c r="C241" s="12">
        <v>233925036</v>
      </c>
      <c r="D241" s="12">
        <v>233995864</v>
      </c>
      <c r="E241" s="12" t="s">
        <v>3943</v>
      </c>
      <c r="F241" s="12">
        <v>1</v>
      </c>
      <c r="G241" s="41" t="s">
        <v>1</v>
      </c>
      <c r="H241" s="12" t="s">
        <v>260</v>
      </c>
      <c r="I241" s="41" t="s">
        <v>2213</v>
      </c>
      <c r="J241" s="41" t="s">
        <v>2213</v>
      </c>
      <c r="K241" s="41" t="str">
        <f>VLOOKUP(J241,错误mRNA总表!D:J,7,FALSE)</f>
        <v/>
      </c>
      <c r="M241" s="41">
        <f>VLOOKUP(I241,错误mRNA总表!D:I,6,FALSE)</f>
        <v>0</v>
      </c>
    </row>
    <row r="242" spans="1:13" x14ac:dyDescent="0.2">
      <c r="A242" s="12" t="s">
        <v>4123</v>
      </c>
      <c r="B242" s="12" t="s">
        <v>4124</v>
      </c>
      <c r="C242" s="12">
        <v>233925036</v>
      </c>
      <c r="D242" s="12">
        <v>233995870</v>
      </c>
      <c r="E242" s="12" t="s">
        <v>3943</v>
      </c>
      <c r="F242" s="12">
        <v>3</v>
      </c>
      <c r="G242" s="41" t="s">
        <v>1</v>
      </c>
      <c r="H242" s="12" t="s">
        <v>260</v>
      </c>
      <c r="I242" s="41" t="s">
        <v>2213</v>
      </c>
      <c r="J242" s="41" t="s">
        <v>2213</v>
      </c>
      <c r="K242" s="41" t="str">
        <f>VLOOKUP(J242,错误mRNA总表!D:J,7,FALSE)</f>
        <v/>
      </c>
      <c r="M242" s="41">
        <f>VLOOKUP(I242,错误mRNA总表!D:I,6,FALSE)</f>
        <v>0</v>
      </c>
    </row>
    <row r="243" spans="1:13" x14ac:dyDescent="0.2">
      <c r="A243" s="12" t="s">
        <v>4125</v>
      </c>
      <c r="B243" s="12" t="s">
        <v>3957</v>
      </c>
      <c r="C243" s="12">
        <v>118528942</v>
      </c>
      <c r="D243" s="12">
        <v>118529044</v>
      </c>
      <c r="E243" s="12" t="s">
        <v>3940</v>
      </c>
      <c r="F243" s="12">
        <v>1</v>
      </c>
      <c r="G243" s="41" t="s">
        <v>36</v>
      </c>
      <c r="H243" s="12" t="s">
        <v>170</v>
      </c>
      <c r="I243" s="41" t="s">
        <v>2150</v>
      </c>
      <c r="J243" s="41" t="s">
        <v>2150</v>
      </c>
      <c r="K243" s="41" t="str">
        <f>VLOOKUP(J243,错误mRNA总表!D:J,7,FALSE)</f>
        <v>纠后正确</v>
      </c>
      <c r="L243" s="41" t="s">
        <v>3763</v>
      </c>
      <c r="M243" s="41">
        <f>VLOOKUP(I243,错误mRNA总表!D:I,6,FALSE)</f>
        <v>0</v>
      </c>
    </row>
    <row r="244" spans="1:13" x14ac:dyDescent="0.2">
      <c r="A244" s="12" t="s">
        <v>4126</v>
      </c>
      <c r="B244" s="12" t="s">
        <v>3954</v>
      </c>
      <c r="C244" s="12">
        <v>3076237</v>
      </c>
      <c r="D244" s="12">
        <v>3076662</v>
      </c>
      <c r="E244" s="12" t="s">
        <v>3940</v>
      </c>
      <c r="F244" s="12">
        <v>6</v>
      </c>
      <c r="G244" s="41" t="s">
        <v>569</v>
      </c>
      <c r="H244" s="12" t="s">
        <v>579</v>
      </c>
      <c r="I244" s="41" t="s">
        <v>6746</v>
      </c>
      <c r="J244" s="41" t="s">
        <v>2240</v>
      </c>
      <c r="K244" s="41" t="str">
        <f>VLOOKUP(J244,错误mRNA总表!D:J,7,FALSE)</f>
        <v>纠后正确，加2个氨基酸chr4:3076663-3241786</v>
      </c>
      <c r="M244" s="41" t="e">
        <f>VLOOKUP(I244,错误mRNA总表!D:I,6,FALSE)</f>
        <v>#N/A</v>
      </c>
    </row>
    <row r="245" spans="1:13" x14ac:dyDescent="0.2">
      <c r="A245" s="12" t="s">
        <v>4127</v>
      </c>
      <c r="B245" s="12" t="s">
        <v>3946</v>
      </c>
      <c r="C245" s="12">
        <v>35441927</v>
      </c>
      <c r="D245" s="12">
        <v>35766563</v>
      </c>
      <c r="E245" s="12" t="s">
        <v>3943</v>
      </c>
      <c r="F245" s="12">
        <v>1</v>
      </c>
      <c r="G245" s="41" t="s">
        <v>47</v>
      </c>
      <c r="H245" s="12" t="s">
        <v>6380</v>
      </c>
      <c r="I245" s="41" t="s">
        <v>6747</v>
      </c>
      <c r="M245" s="41" t="e">
        <f>VLOOKUP(I245,错误mRNA总表!D:I,6,FALSE)</f>
        <v>#N/A</v>
      </c>
    </row>
    <row r="246" spans="1:13" x14ac:dyDescent="0.2">
      <c r="A246" s="12" t="s">
        <v>4128</v>
      </c>
      <c r="B246" s="12" t="s">
        <v>3957</v>
      </c>
      <c r="C246" s="12">
        <v>71846756</v>
      </c>
      <c r="D246" s="12">
        <v>71850157</v>
      </c>
      <c r="E246" s="12" t="s">
        <v>3940</v>
      </c>
      <c r="F246" s="12">
        <v>2</v>
      </c>
      <c r="G246" s="41" t="s">
        <v>36</v>
      </c>
      <c r="H246" s="12" t="s">
        <v>184</v>
      </c>
      <c r="I246" s="41" t="s">
        <v>6748</v>
      </c>
      <c r="J246" s="41" t="s">
        <v>2166</v>
      </c>
      <c r="K246" s="41" t="str">
        <f>VLOOKUP(J246,错误mRNA总表!D:J,7,FALSE)</f>
        <v>纠后正确</v>
      </c>
      <c r="M246" s="41" t="e">
        <f>VLOOKUP(I246,错误mRNA总表!D:I,6,FALSE)</f>
        <v>#N/A</v>
      </c>
    </row>
    <row r="247" spans="1:13" x14ac:dyDescent="0.2">
      <c r="A247" s="12" t="s">
        <v>4129</v>
      </c>
      <c r="B247" s="12" t="s">
        <v>3948</v>
      </c>
      <c r="C247" s="12">
        <v>74988447</v>
      </c>
      <c r="D247" s="12">
        <v>74988569</v>
      </c>
      <c r="E247" s="12" t="s">
        <v>3943</v>
      </c>
      <c r="F247" s="12">
        <v>24</v>
      </c>
      <c r="G247" s="41" t="s">
        <v>40</v>
      </c>
      <c r="H247" s="12" t="s">
        <v>6381</v>
      </c>
      <c r="I247" s="41" t="s">
        <v>6749</v>
      </c>
      <c r="M247" s="41" t="e">
        <f>VLOOKUP(I247,错误mRNA总表!D:I,6,FALSE)</f>
        <v>#N/A</v>
      </c>
    </row>
    <row r="248" spans="1:13" x14ac:dyDescent="0.2">
      <c r="A248" s="12" t="s">
        <v>4129</v>
      </c>
      <c r="B248" s="12" t="s">
        <v>3948</v>
      </c>
      <c r="C248" s="12">
        <v>74988447</v>
      </c>
      <c r="D248" s="12">
        <v>74996857</v>
      </c>
      <c r="E248" s="12" t="s">
        <v>3943</v>
      </c>
      <c r="F248" s="12">
        <v>8</v>
      </c>
      <c r="G248" s="41" t="s">
        <v>40</v>
      </c>
      <c r="H248" s="12" t="s">
        <v>6381</v>
      </c>
      <c r="I248" s="41" t="s">
        <v>6749</v>
      </c>
      <c r="M248" s="41" t="e">
        <f>VLOOKUP(I248,错误mRNA总表!D:I,6,FALSE)</f>
        <v>#N/A</v>
      </c>
    </row>
    <row r="249" spans="1:13" x14ac:dyDescent="0.2">
      <c r="A249" s="12" t="s">
        <v>4130</v>
      </c>
      <c r="B249" s="12" t="s">
        <v>4042</v>
      </c>
      <c r="C249" s="12">
        <v>78396948</v>
      </c>
      <c r="D249" s="12">
        <v>78397349</v>
      </c>
      <c r="E249" s="12" t="s">
        <v>3943</v>
      </c>
      <c r="F249" s="12">
        <v>1</v>
      </c>
      <c r="G249" s="41" t="s">
        <v>113</v>
      </c>
      <c r="H249" s="12" t="s">
        <v>5809</v>
      </c>
      <c r="I249" s="41" t="s">
        <v>6750</v>
      </c>
      <c r="M249" s="41" t="e">
        <f>VLOOKUP(I249,错误mRNA总表!D:I,6,FALSE)</f>
        <v>#N/A</v>
      </c>
    </row>
    <row r="250" spans="1:13" x14ac:dyDescent="0.2">
      <c r="A250" s="12" t="s">
        <v>4131</v>
      </c>
      <c r="B250" s="12" t="s">
        <v>4107</v>
      </c>
      <c r="C250" s="12">
        <v>697973</v>
      </c>
      <c r="D250" s="12">
        <v>698087</v>
      </c>
      <c r="E250" s="12" t="s">
        <v>3940</v>
      </c>
      <c r="F250" s="12">
        <v>3</v>
      </c>
      <c r="G250" s="12" t="s">
        <v>4107</v>
      </c>
      <c r="H250" s="12" t="s">
        <v>3679</v>
      </c>
      <c r="I250" s="41" t="s">
        <v>6751</v>
      </c>
      <c r="M250" s="41" t="e">
        <f>VLOOKUP(I250,错误mRNA总表!D:I,6,FALSE)</f>
        <v>#N/A</v>
      </c>
    </row>
    <row r="251" spans="1:13" x14ac:dyDescent="0.2">
      <c r="A251" s="12" t="s">
        <v>4132</v>
      </c>
      <c r="B251" s="12" t="s">
        <v>4089</v>
      </c>
      <c r="C251" s="12">
        <v>165695</v>
      </c>
      <c r="D251" s="12">
        <v>169309</v>
      </c>
      <c r="E251" s="12" t="s">
        <v>3943</v>
      </c>
      <c r="F251" s="12">
        <v>3</v>
      </c>
      <c r="G251" s="12" t="s">
        <v>4089</v>
      </c>
      <c r="H251" s="12" t="s">
        <v>5810</v>
      </c>
      <c r="I251" s="41" t="s">
        <v>6752</v>
      </c>
      <c r="M251" s="41" t="e">
        <f>VLOOKUP(I251,错误mRNA总表!D:I,6,FALSE)</f>
        <v>#N/A</v>
      </c>
    </row>
    <row r="252" spans="1:13" x14ac:dyDescent="0.2">
      <c r="A252" s="12" t="s">
        <v>4133</v>
      </c>
      <c r="B252" s="12" t="s">
        <v>3946</v>
      </c>
      <c r="C252" s="12">
        <v>73232687</v>
      </c>
      <c r="D252" s="12">
        <v>73234010</v>
      </c>
      <c r="E252" s="12" t="s">
        <v>3940</v>
      </c>
      <c r="F252" s="12">
        <v>14</v>
      </c>
      <c r="G252" s="41" t="s">
        <v>47</v>
      </c>
      <c r="H252" s="12" t="s">
        <v>5811</v>
      </c>
      <c r="I252" s="41" t="s">
        <v>6753</v>
      </c>
      <c r="M252" s="41" t="e">
        <f>VLOOKUP(I252,错误mRNA总表!D:I,6,FALSE)</f>
        <v>#N/A</v>
      </c>
    </row>
    <row r="253" spans="1:13" x14ac:dyDescent="0.2">
      <c r="A253" s="12" t="s">
        <v>4134</v>
      </c>
      <c r="B253" s="12" t="s">
        <v>3996</v>
      </c>
      <c r="C253" s="12">
        <v>1143559</v>
      </c>
      <c r="D253" s="12">
        <v>1158907</v>
      </c>
      <c r="E253" s="12" t="s">
        <v>3943</v>
      </c>
      <c r="F253" s="12">
        <v>8</v>
      </c>
      <c r="G253" s="12" t="s">
        <v>3996</v>
      </c>
      <c r="H253" s="12" t="s">
        <v>3524</v>
      </c>
      <c r="I253" s="41" t="s">
        <v>6754</v>
      </c>
      <c r="M253" s="41" t="e">
        <f>VLOOKUP(I253,错误mRNA总表!D:I,6,FALSE)</f>
        <v>#N/A</v>
      </c>
    </row>
    <row r="254" spans="1:13" x14ac:dyDescent="0.2">
      <c r="A254" s="12" t="s">
        <v>4135</v>
      </c>
      <c r="B254" s="12" t="s">
        <v>4001</v>
      </c>
      <c r="C254" s="12">
        <v>3477358</v>
      </c>
      <c r="D254" s="12">
        <v>3486917</v>
      </c>
      <c r="E254" s="12" t="s">
        <v>3940</v>
      </c>
      <c r="F254" s="12">
        <v>1</v>
      </c>
      <c r="G254" s="12" t="s">
        <v>4001</v>
      </c>
      <c r="H254" s="12" t="s">
        <v>5812</v>
      </c>
      <c r="I254" s="41" t="s">
        <v>6755</v>
      </c>
      <c r="M254" s="41" t="e">
        <f>VLOOKUP(I254,错误mRNA总表!D:I,6,FALSE)</f>
        <v>#N/A</v>
      </c>
    </row>
    <row r="255" spans="1:13" x14ac:dyDescent="0.2">
      <c r="A255" s="12" t="s">
        <v>4136</v>
      </c>
      <c r="B255" s="12" t="s">
        <v>3950</v>
      </c>
      <c r="C255" s="12">
        <v>248562</v>
      </c>
      <c r="D255" s="12">
        <v>248597</v>
      </c>
      <c r="E255" s="12" t="s">
        <v>3940</v>
      </c>
      <c r="F255" s="12">
        <v>2</v>
      </c>
      <c r="G255" s="12" t="s">
        <v>3950</v>
      </c>
      <c r="H255" s="12" t="s">
        <v>3657</v>
      </c>
      <c r="I255" s="41" t="s">
        <v>6756</v>
      </c>
      <c r="M255" s="41" t="e">
        <f>VLOOKUP(I255,错误mRNA总表!D:I,6,FALSE)</f>
        <v>#N/A</v>
      </c>
    </row>
    <row r="256" spans="1:13" x14ac:dyDescent="0.2">
      <c r="A256" s="12" t="s">
        <v>4137</v>
      </c>
      <c r="B256" s="12" t="s">
        <v>3989</v>
      </c>
      <c r="C256" s="12">
        <v>4038635</v>
      </c>
      <c r="D256" s="12">
        <v>4044246</v>
      </c>
      <c r="E256" s="12" t="s">
        <v>3943</v>
      </c>
      <c r="F256" s="12">
        <v>7</v>
      </c>
      <c r="G256" s="12" t="s">
        <v>3989</v>
      </c>
      <c r="H256" s="12" t="s">
        <v>3580</v>
      </c>
      <c r="I256" s="41" t="s">
        <v>6757</v>
      </c>
      <c r="M256" s="41" t="e">
        <f>VLOOKUP(I256,错误mRNA总表!D:I,6,FALSE)</f>
        <v>#N/A</v>
      </c>
    </row>
    <row r="257" spans="1:13" x14ac:dyDescent="0.2">
      <c r="A257" s="12" t="s">
        <v>4137</v>
      </c>
      <c r="B257" s="12" t="s">
        <v>3989</v>
      </c>
      <c r="C257" s="12">
        <v>4038635</v>
      </c>
      <c r="D257" s="12">
        <v>4044325</v>
      </c>
      <c r="E257" s="12" t="s">
        <v>3940</v>
      </c>
      <c r="F257" s="12">
        <v>1</v>
      </c>
      <c r="G257" s="12" t="s">
        <v>3989</v>
      </c>
      <c r="H257" s="12" t="s">
        <v>3580</v>
      </c>
      <c r="I257" s="41" t="s">
        <v>6757</v>
      </c>
      <c r="M257" s="41" t="e">
        <f>VLOOKUP(I257,错误mRNA总表!D:I,6,FALSE)</f>
        <v>#N/A</v>
      </c>
    </row>
    <row r="258" spans="1:13" x14ac:dyDescent="0.2">
      <c r="A258" s="12" t="s">
        <v>4138</v>
      </c>
      <c r="B258" s="12" t="s">
        <v>3952</v>
      </c>
      <c r="C258" s="12">
        <v>248805</v>
      </c>
      <c r="D258" s="12">
        <v>253362</v>
      </c>
      <c r="E258" s="12" t="s">
        <v>3940</v>
      </c>
      <c r="F258" s="12">
        <v>1066</v>
      </c>
      <c r="G258" s="12" t="s">
        <v>3952</v>
      </c>
      <c r="H258" s="12" t="s">
        <v>3471</v>
      </c>
      <c r="I258" s="41" t="s">
        <v>6758</v>
      </c>
      <c r="M258" s="41" t="e">
        <f>VLOOKUP(I258,错误mRNA总表!D:I,6,FALSE)</f>
        <v>#N/A</v>
      </c>
    </row>
    <row r="259" spans="1:13" x14ac:dyDescent="0.2">
      <c r="A259" s="12" t="s">
        <v>4138</v>
      </c>
      <c r="B259" s="12" t="s">
        <v>3952</v>
      </c>
      <c r="C259" s="12">
        <v>248805</v>
      </c>
      <c r="D259" s="12">
        <v>279658</v>
      </c>
      <c r="E259" s="12" t="s">
        <v>3940</v>
      </c>
      <c r="F259" s="12">
        <v>4</v>
      </c>
      <c r="G259" s="12" t="s">
        <v>3952</v>
      </c>
      <c r="H259" s="12" t="s">
        <v>3471</v>
      </c>
      <c r="I259" s="41" t="s">
        <v>6758</v>
      </c>
      <c r="M259" s="41" t="e">
        <f>VLOOKUP(I259,错误mRNA总表!D:I,6,FALSE)</f>
        <v>#N/A</v>
      </c>
    </row>
    <row r="260" spans="1:13" x14ac:dyDescent="0.2">
      <c r="A260" s="12" t="s">
        <v>4138</v>
      </c>
      <c r="B260" s="12" t="s">
        <v>3952</v>
      </c>
      <c r="C260" s="12">
        <v>248805</v>
      </c>
      <c r="D260" s="12">
        <v>248840</v>
      </c>
      <c r="E260" s="12" t="s">
        <v>3940</v>
      </c>
      <c r="F260" s="12">
        <v>2</v>
      </c>
      <c r="G260" s="12" t="s">
        <v>3952</v>
      </c>
      <c r="H260" s="12" t="s">
        <v>3471</v>
      </c>
      <c r="I260" s="41" t="s">
        <v>6758</v>
      </c>
      <c r="M260" s="41" t="e">
        <f>VLOOKUP(I260,错误mRNA总表!D:I,6,FALSE)</f>
        <v>#N/A</v>
      </c>
    </row>
    <row r="261" spans="1:13" x14ac:dyDescent="0.2">
      <c r="A261" s="12" t="s">
        <v>4139</v>
      </c>
      <c r="B261" s="12" t="s">
        <v>3973</v>
      </c>
      <c r="C261" s="12">
        <v>1571100</v>
      </c>
      <c r="D261" s="12">
        <v>1590440</v>
      </c>
      <c r="E261" s="12" t="s">
        <v>3943</v>
      </c>
      <c r="F261" s="12">
        <v>1</v>
      </c>
      <c r="G261" s="41" t="s">
        <v>139</v>
      </c>
      <c r="H261" s="12" t="s">
        <v>318</v>
      </c>
      <c r="I261" s="41" t="s">
        <v>2224</v>
      </c>
      <c r="J261" s="41" t="s">
        <v>2224</v>
      </c>
      <c r="K261" s="41" t="str">
        <f>VLOOKUP(J261,错误mRNA总表!D:J,7,FALSE)</f>
        <v>纠后正确，区间略有变化，加77个氨基酸chr1:1571126-1586818</v>
      </c>
      <c r="L261" s="41" t="s">
        <v>3866</v>
      </c>
      <c r="M261" s="41" t="str">
        <f>VLOOKUP(I261,错误mRNA总表!D:I,6,FALSE)</f>
        <v>纠后正确，区间略有变化，加77个氨基酸chr1:1571126-1586818</v>
      </c>
    </row>
    <row r="262" spans="1:13" x14ac:dyDescent="0.2">
      <c r="A262" s="12" t="s">
        <v>4139</v>
      </c>
      <c r="B262" s="12" t="s">
        <v>3973</v>
      </c>
      <c r="C262" s="12">
        <v>1571100</v>
      </c>
      <c r="D262" s="12">
        <v>1585972</v>
      </c>
      <c r="E262" s="12" t="s">
        <v>3940</v>
      </c>
      <c r="F262" s="12">
        <v>57</v>
      </c>
      <c r="G262" s="41" t="s">
        <v>139</v>
      </c>
      <c r="H262" s="12" t="s">
        <v>318</v>
      </c>
      <c r="I262" s="41" t="s">
        <v>2224</v>
      </c>
      <c r="J262" s="41" t="s">
        <v>2224</v>
      </c>
      <c r="K262" s="41" t="str">
        <f>VLOOKUP(J262,错误mRNA总表!D:J,7,FALSE)</f>
        <v>纠后正确，区间略有变化，加77个氨基酸chr1:1571126-1586818</v>
      </c>
      <c r="L262" s="41" t="s">
        <v>3866</v>
      </c>
      <c r="M262" s="41" t="str">
        <f>VLOOKUP(I262,错误mRNA总表!D:I,6,FALSE)</f>
        <v>纠后正确，区间略有变化，加77个氨基酸chr1:1571126-1586818</v>
      </c>
    </row>
    <row r="263" spans="1:13" x14ac:dyDescent="0.2">
      <c r="A263" s="12" t="s">
        <v>4139</v>
      </c>
      <c r="B263" s="12" t="s">
        <v>3973</v>
      </c>
      <c r="C263" s="12">
        <v>1571100</v>
      </c>
      <c r="D263" s="12">
        <v>1580623</v>
      </c>
      <c r="E263" s="12" t="s">
        <v>3940</v>
      </c>
      <c r="F263" s="12">
        <v>193</v>
      </c>
      <c r="G263" s="41" t="s">
        <v>139</v>
      </c>
      <c r="H263" s="12" t="s">
        <v>318</v>
      </c>
      <c r="I263" s="41" t="s">
        <v>2224</v>
      </c>
      <c r="J263" s="41" t="s">
        <v>2224</v>
      </c>
      <c r="K263" s="41" t="str">
        <f>VLOOKUP(J263,错误mRNA总表!D:J,7,FALSE)</f>
        <v>纠后正确，区间略有变化，加77个氨基酸chr1:1571126-1586818</v>
      </c>
      <c r="L263" s="41" t="s">
        <v>3866</v>
      </c>
      <c r="M263" s="41" t="str">
        <f>VLOOKUP(I263,错误mRNA总表!D:I,6,FALSE)</f>
        <v>纠后正确，区间略有变化，加77个氨基酸chr1:1571126-1586818</v>
      </c>
    </row>
    <row r="264" spans="1:13" x14ac:dyDescent="0.2">
      <c r="A264" s="12" t="s">
        <v>4140</v>
      </c>
      <c r="B264" s="12" t="s">
        <v>3989</v>
      </c>
      <c r="C264" s="12">
        <v>2959804</v>
      </c>
      <c r="D264" s="12">
        <v>2959820</v>
      </c>
      <c r="E264" s="12" t="s">
        <v>3943</v>
      </c>
      <c r="F264" s="12">
        <v>5</v>
      </c>
      <c r="G264" s="12" t="s">
        <v>3989</v>
      </c>
      <c r="H264" s="12" t="s">
        <v>3568</v>
      </c>
      <c r="I264" s="41" t="s">
        <v>6759</v>
      </c>
      <c r="M264" s="41" t="e">
        <f>VLOOKUP(I264,错误mRNA总表!D:I,6,FALSE)</f>
        <v>#N/A</v>
      </c>
    </row>
    <row r="265" spans="1:13" x14ac:dyDescent="0.2">
      <c r="A265" s="12" t="s">
        <v>4140</v>
      </c>
      <c r="B265" s="12" t="s">
        <v>3989</v>
      </c>
      <c r="C265" s="12">
        <v>2959804</v>
      </c>
      <c r="D265" s="12">
        <v>2960280</v>
      </c>
      <c r="E265" s="12" t="s">
        <v>3943</v>
      </c>
      <c r="F265" s="12">
        <v>1</v>
      </c>
      <c r="G265" s="12" t="s">
        <v>3989</v>
      </c>
      <c r="H265" s="12" t="s">
        <v>3568</v>
      </c>
      <c r="I265" s="41" t="s">
        <v>6759</v>
      </c>
      <c r="M265" s="41" t="e">
        <f>VLOOKUP(I265,错误mRNA总表!D:I,6,FALSE)</f>
        <v>#N/A</v>
      </c>
    </row>
    <row r="266" spans="1:13" x14ac:dyDescent="0.2">
      <c r="A266" s="12" t="s">
        <v>4140</v>
      </c>
      <c r="B266" s="12" t="s">
        <v>3989</v>
      </c>
      <c r="C266" s="12">
        <v>2959804</v>
      </c>
      <c r="D266" s="12">
        <v>2960400</v>
      </c>
      <c r="E266" s="12" t="s">
        <v>3940</v>
      </c>
      <c r="F266" s="12">
        <v>1</v>
      </c>
      <c r="G266" s="12" t="s">
        <v>3989</v>
      </c>
      <c r="H266" s="12" t="s">
        <v>3568</v>
      </c>
      <c r="I266" s="41" t="s">
        <v>6759</v>
      </c>
      <c r="M266" s="41" t="e">
        <f>VLOOKUP(I266,错误mRNA总表!D:I,6,FALSE)</f>
        <v>#N/A</v>
      </c>
    </row>
    <row r="267" spans="1:13" x14ac:dyDescent="0.2">
      <c r="A267" s="12" t="s">
        <v>4141</v>
      </c>
      <c r="B267" s="12" t="s">
        <v>3942</v>
      </c>
      <c r="C267" s="12">
        <v>180682147</v>
      </c>
      <c r="D267" s="12">
        <v>180682608</v>
      </c>
      <c r="E267" s="12" t="s">
        <v>3943</v>
      </c>
      <c r="F267" s="12">
        <v>1</v>
      </c>
      <c r="G267" s="41" t="s">
        <v>186</v>
      </c>
      <c r="H267" s="12" t="s">
        <v>5813</v>
      </c>
      <c r="I267" s="41" t="s">
        <v>6760</v>
      </c>
      <c r="M267" s="41" t="e">
        <f>VLOOKUP(I267,错误mRNA总表!D:I,6,FALSE)</f>
        <v>#N/A</v>
      </c>
    </row>
    <row r="268" spans="1:13" x14ac:dyDescent="0.2">
      <c r="A268" s="12" t="s">
        <v>4142</v>
      </c>
      <c r="B268" s="12" t="s">
        <v>3942</v>
      </c>
      <c r="C268" s="12">
        <v>175810940</v>
      </c>
      <c r="D268" s="12">
        <v>175811094</v>
      </c>
      <c r="E268" s="12" t="s">
        <v>3940</v>
      </c>
      <c r="F268" s="12">
        <v>2</v>
      </c>
      <c r="G268" s="41" t="s">
        <v>186</v>
      </c>
      <c r="H268" s="12" t="s">
        <v>6382</v>
      </c>
      <c r="I268" s="41" t="s">
        <v>6761</v>
      </c>
      <c r="M268" s="41" t="e">
        <f>VLOOKUP(I268,错误mRNA总表!D:I,6,FALSE)</f>
        <v>#N/A</v>
      </c>
    </row>
    <row r="269" spans="1:13" x14ac:dyDescent="0.2">
      <c r="A269" s="12" t="s">
        <v>4143</v>
      </c>
      <c r="B269" s="12" t="s">
        <v>3939</v>
      </c>
      <c r="C269" s="12">
        <v>134847185</v>
      </c>
      <c r="D269" s="12">
        <v>134847202</v>
      </c>
      <c r="E269" s="12" t="s">
        <v>3943</v>
      </c>
      <c r="F269" s="12">
        <v>1</v>
      </c>
      <c r="G269" s="41" t="s">
        <v>73</v>
      </c>
      <c r="H269" s="12" t="s">
        <v>3677</v>
      </c>
      <c r="I269" s="41" t="s">
        <v>6762</v>
      </c>
      <c r="M269" s="41" t="e">
        <f>VLOOKUP(I269,错误mRNA总表!D:I,6,FALSE)</f>
        <v>#N/A</v>
      </c>
    </row>
    <row r="270" spans="1:13" x14ac:dyDescent="0.2">
      <c r="A270" s="12" t="s">
        <v>4144</v>
      </c>
      <c r="B270" s="12" t="s">
        <v>3994</v>
      </c>
      <c r="C270" s="12">
        <v>1660981</v>
      </c>
      <c r="D270" s="12">
        <v>1660996</v>
      </c>
      <c r="E270" s="12" t="s">
        <v>3943</v>
      </c>
      <c r="F270" s="12">
        <v>2</v>
      </c>
      <c r="G270" s="12" t="s">
        <v>3994</v>
      </c>
      <c r="H270" s="12" t="s">
        <v>3542</v>
      </c>
      <c r="I270" s="41" t="s">
        <v>6763</v>
      </c>
      <c r="M270" s="41" t="e">
        <f>VLOOKUP(I270,错误mRNA总表!D:I,6,FALSE)</f>
        <v>#N/A</v>
      </c>
    </row>
    <row r="271" spans="1:13" x14ac:dyDescent="0.2">
      <c r="A271" s="12" t="s">
        <v>4145</v>
      </c>
      <c r="B271" s="12" t="s">
        <v>4035</v>
      </c>
      <c r="C271" s="12">
        <v>20532810</v>
      </c>
      <c r="D271" s="12">
        <v>20664046</v>
      </c>
      <c r="E271" s="12" t="s">
        <v>3940</v>
      </c>
      <c r="F271" s="12">
        <v>1</v>
      </c>
      <c r="G271" s="41" t="s">
        <v>106</v>
      </c>
      <c r="H271" s="12" t="s">
        <v>6497</v>
      </c>
      <c r="I271" s="41" t="s">
        <v>6764</v>
      </c>
      <c r="M271" s="41" t="e">
        <f>VLOOKUP(I271,错误mRNA总表!D:I,6,FALSE)</f>
        <v>#N/A</v>
      </c>
    </row>
    <row r="272" spans="1:13" x14ac:dyDescent="0.2">
      <c r="A272" s="12" t="s">
        <v>4146</v>
      </c>
      <c r="B272" s="12" t="s">
        <v>3957</v>
      </c>
      <c r="C272" s="12">
        <v>65154041</v>
      </c>
      <c r="D272" s="12">
        <v>65179814</v>
      </c>
      <c r="E272" s="12" t="s">
        <v>3940</v>
      </c>
      <c r="F272" s="12">
        <v>1</v>
      </c>
      <c r="G272" s="41" t="s">
        <v>36</v>
      </c>
      <c r="H272" s="12" t="s">
        <v>6567</v>
      </c>
      <c r="I272" s="41" t="s">
        <v>6765</v>
      </c>
      <c r="M272" s="41" t="e">
        <f>VLOOKUP(I272,错误mRNA总表!D:I,6,FALSE)</f>
        <v>#N/A</v>
      </c>
    </row>
    <row r="273" spans="1:13" x14ac:dyDescent="0.2">
      <c r="A273" s="12" t="s">
        <v>4147</v>
      </c>
      <c r="B273" s="12" t="s">
        <v>3989</v>
      </c>
      <c r="C273" s="12">
        <v>1309206</v>
      </c>
      <c r="D273" s="12">
        <v>1310605</v>
      </c>
      <c r="E273" s="12" t="s">
        <v>3943</v>
      </c>
      <c r="F273" s="12">
        <v>19</v>
      </c>
      <c r="G273" s="12" t="s">
        <v>3989</v>
      </c>
      <c r="H273" s="12" t="s">
        <v>5814</v>
      </c>
      <c r="I273" s="41" t="s">
        <v>6766</v>
      </c>
      <c r="M273" s="41" t="e">
        <f>VLOOKUP(I273,错误mRNA总表!D:I,6,FALSE)</f>
        <v>#N/A</v>
      </c>
    </row>
    <row r="274" spans="1:13" x14ac:dyDescent="0.2">
      <c r="A274" s="12" t="s">
        <v>4148</v>
      </c>
      <c r="B274" s="12" t="s">
        <v>4149</v>
      </c>
      <c r="C274" s="12">
        <v>1845520</v>
      </c>
      <c r="D274" s="12">
        <v>1845703</v>
      </c>
      <c r="E274" s="12" t="s">
        <v>3940</v>
      </c>
      <c r="F274" s="12">
        <v>1</v>
      </c>
      <c r="G274" s="12" t="s">
        <v>4149</v>
      </c>
      <c r="H274" s="12" t="s">
        <v>5815</v>
      </c>
      <c r="I274" s="41" t="s">
        <v>6767</v>
      </c>
      <c r="M274" s="41" t="e">
        <f>VLOOKUP(I274,错误mRNA总表!D:I,6,FALSE)</f>
        <v>#N/A</v>
      </c>
    </row>
    <row r="275" spans="1:13" x14ac:dyDescent="0.2">
      <c r="A275" s="12" t="s">
        <v>4150</v>
      </c>
      <c r="B275" s="12" t="s">
        <v>4042</v>
      </c>
      <c r="C275" s="12">
        <v>101886947</v>
      </c>
      <c r="D275" s="12">
        <v>102029685</v>
      </c>
      <c r="E275" s="12" t="s">
        <v>3940</v>
      </c>
      <c r="F275" s="12">
        <v>2</v>
      </c>
      <c r="G275" s="41" t="s">
        <v>113</v>
      </c>
      <c r="H275" s="12" t="s">
        <v>117</v>
      </c>
      <c r="I275" s="41" t="s">
        <v>2117</v>
      </c>
      <c r="J275" s="41" t="s">
        <v>2117</v>
      </c>
      <c r="K275" s="41" t="str">
        <f>VLOOKUP(J275,错误mRNA总表!D:J,7,FALSE)</f>
        <v>纠后正确</v>
      </c>
      <c r="L275" s="41" t="s">
        <v>3763</v>
      </c>
      <c r="M275" s="41">
        <f>VLOOKUP(I275,错误mRNA总表!D:I,6,FALSE)</f>
        <v>0</v>
      </c>
    </row>
    <row r="276" spans="1:13" x14ac:dyDescent="0.2">
      <c r="A276" s="12" t="s">
        <v>4151</v>
      </c>
      <c r="B276" s="12" t="s">
        <v>3948</v>
      </c>
      <c r="C276" s="12">
        <v>148892554</v>
      </c>
      <c r="D276" s="12">
        <v>148921870</v>
      </c>
      <c r="E276" s="12" t="s">
        <v>3940</v>
      </c>
      <c r="F276" s="12">
        <v>1</v>
      </c>
      <c r="G276" s="41" t="s">
        <v>40</v>
      </c>
      <c r="H276" s="12" t="s">
        <v>6498</v>
      </c>
      <c r="I276" s="41" t="s">
        <v>6768</v>
      </c>
      <c r="M276" s="41" t="e">
        <f>VLOOKUP(I276,错误mRNA总表!D:I,6,FALSE)</f>
        <v>#N/A</v>
      </c>
    </row>
    <row r="277" spans="1:13" x14ac:dyDescent="0.2">
      <c r="A277" s="12" t="s">
        <v>4152</v>
      </c>
      <c r="B277" s="12" t="s">
        <v>4059</v>
      </c>
      <c r="C277" s="12">
        <v>31803040</v>
      </c>
      <c r="D277" s="12">
        <v>31803064</v>
      </c>
      <c r="E277" s="12" t="s">
        <v>3943</v>
      </c>
      <c r="F277" s="12">
        <v>1</v>
      </c>
      <c r="G277" s="41" t="s">
        <v>175</v>
      </c>
      <c r="H277" s="12" t="s">
        <v>5816</v>
      </c>
      <c r="I277" s="41" t="s">
        <v>6769</v>
      </c>
      <c r="M277" s="41" t="e">
        <f>VLOOKUP(I277,错误mRNA总表!D:I,6,FALSE)</f>
        <v>#N/A</v>
      </c>
    </row>
    <row r="278" spans="1:13" x14ac:dyDescent="0.2">
      <c r="A278" s="12" t="s">
        <v>4153</v>
      </c>
      <c r="B278" s="12" t="s">
        <v>4154</v>
      </c>
      <c r="C278" s="12">
        <v>406115</v>
      </c>
      <c r="D278" s="12">
        <v>412945</v>
      </c>
      <c r="E278" s="12" t="s">
        <v>3943</v>
      </c>
      <c r="F278" s="12">
        <v>4</v>
      </c>
      <c r="G278" s="12" t="s">
        <v>4154</v>
      </c>
      <c r="H278" s="12" t="s">
        <v>3663</v>
      </c>
      <c r="I278" s="41" t="s">
        <v>6770</v>
      </c>
      <c r="M278" s="41" t="e">
        <f>VLOOKUP(I278,错误mRNA总表!D:I,6,FALSE)</f>
        <v>#N/A</v>
      </c>
    </row>
    <row r="279" spans="1:13" x14ac:dyDescent="0.2">
      <c r="A279" s="12" t="s">
        <v>4155</v>
      </c>
      <c r="B279" s="12" t="s">
        <v>3952</v>
      </c>
      <c r="C279" s="12">
        <v>642866</v>
      </c>
      <c r="D279" s="12">
        <v>656047</v>
      </c>
      <c r="E279" s="12" t="s">
        <v>3943</v>
      </c>
      <c r="F279" s="12">
        <v>3</v>
      </c>
      <c r="G279" s="12" t="s">
        <v>3952</v>
      </c>
      <c r="H279" s="12" t="s">
        <v>6383</v>
      </c>
      <c r="I279" s="41" t="s">
        <v>6771</v>
      </c>
      <c r="M279" s="41" t="e">
        <f>VLOOKUP(I279,错误mRNA总表!D:I,6,FALSE)</f>
        <v>#N/A</v>
      </c>
    </row>
    <row r="280" spans="1:13" x14ac:dyDescent="0.2">
      <c r="A280" s="12" t="s">
        <v>4156</v>
      </c>
      <c r="B280" s="12" t="s">
        <v>4157</v>
      </c>
      <c r="C280" s="12">
        <v>380630</v>
      </c>
      <c r="D280" s="12">
        <v>390653</v>
      </c>
      <c r="E280" s="12" t="s">
        <v>3940</v>
      </c>
      <c r="F280" s="12">
        <v>1</v>
      </c>
      <c r="G280" s="12" t="s">
        <v>4157</v>
      </c>
      <c r="H280" s="12" t="s">
        <v>5817</v>
      </c>
      <c r="I280" s="41" t="s">
        <v>6772</v>
      </c>
      <c r="M280" s="41" t="e">
        <f>VLOOKUP(I280,错误mRNA总表!D:I,6,FALSE)</f>
        <v>#N/A</v>
      </c>
    </row>
    <row r="281" spans="1:13" x14ac:dyDescent="0.2">
      <c r="A281" s="12" t="s">
        <v>4158</v>
      </c>
      <c r="B281" s="12" t="s">
        <v>4055</v>
      </c>
      <c r="C281" s="12">
        <v>109304655</v>
      </c>
      <c r="D281" s="12">
        <v>109372440</v>
      </c>
      <c r="E281" s="12" t="s">
        <v>3940</v>
      </c>
      <c r="F281" s="12">
        <v>5</v>
      </c>
      <c r="G281" s="41" t="s">
        <v>212</v>
      </c>
      <c r="H281" s="12" t="s">
        <v>1044</v>
      </c>
      <c r="I281" s="41" t="s">
        <v>6773</v>
      </c>
      <c r="J281" s="41" t="s">
        <v>3372</v>
      </c>
      <c r="K281" s="41" t="str">
        <f>VLOOKUP(J281,错误mRNA总表!D:J,7,FALSE)</f>
        <v>纠后正确</v>
      </c>
      <c r="M281" s="41" t="e">
        <f>VLOOKUP(I281,错误mRNA总表!D:I,6,FALSE)</f>
        <v>#N/A</v>
      </c>
    </row>
    <row r="282" spans="1:13" x14ac:dyDescent="0.2">
      <c r="A282" s="12" t="s">
        <v>4159</v>
      </c>
      <c r="B282" s="12" t="s">
        <v>3989</v>
      </c>
      <c r="C282" s="12">
        <v>2467051</v>
      </c>
      <c r="D282" s="12">
        <v>2469065</v>
      </c>
      <c r="E282" s="12" t="s">
        <v>3943</v>
      </c>
      <c r="F282" s="12">
        <v>3</v>
      </c>
      <c r="G282" s="12" t="s">
        <v>3989</v>
      </c>
      <c r="H282" s="12" t="s">
        <v>671</v>
      </c>
      <c r="I282" s="41" t="s">
        <v>6659</v>
      </c>
      <c r="J282" s="41" t="s">
        <v>2608</v>
      </c>
      <c r="K282" s="41" t="str">
        <f>VLOOKUP(J282,错误mRNA总表!D:J,7,FALSE)</f>
        <v/>
      </c>
      <c r="M282" s="41" t="e">
        <f>VLOOKUP(I282,错误mRNA总表!D:I,6,FALSE)</f>
        <v>#N/A</v>
      </c>
    </row>
    <row r="283" spans="1:13" x14ac:dyDescent="0.2">
      <c r="A283" s="12" t="s">
        <v>4159</v>
      </c>
      <c r="B283" s="12" t="s">
        <v>3989</v>
      </c>
      <c r="C283" s="12">
        <v>2467051</v>
      </c>
      <c r="D283" s="12">
        <v>2469389</v>
      </c>
      <c r="E283" s="12" t="s">
        <v>3940</v>
      </c>
      <c r="F283" s="12">
        <v>1</v>
      </c>
      <c r="G283" s="12" t="s">
        <v>3989</v>
      </c>
      <c r="H283" s="12" t="s">
        <v>671</v>
      </c>
      <c r="I283" s="41" t="s">
        <v>6659</v>
      </c>
      <c r="J283" s="41" t="s">
        <v>2608</v>
      </c>
      <c r="K283" s="41" t="str">
        <f>VLOOKUP(J283,错误mRNA总表!D:J,7,FALSE)</f>
        <v/>
      </c>
      <c r="M283" s="41" t="e">
        <f>VLOOKUP(I283,错误mRNA总表!D:I,6,FALSE)</f>
        <v>#N/A</v>
      </c>
    </row>
    <row r="284" spans="1:13" x14ac:dyDescent="0.2">
      <c r="A284" s="12" t="s">
        <v>4159</v>
      </c>
      <c r="B284" s="12" t="s">
        <v>3989</v>
      </c>
      <c r="C284" s="12">
        <v>2467051</v>
      </c>
      <c r="D284" s="12">
        <v>2469670</v>
      </c>
      <c r="E284" s="12" t="s">
        <v>3943</v>
      </c>
      <c r="F284" s="12">
        <v>3</v>
      </c>
      <c r="G284" s="12" t="s">
        <v>3989</v>
      </c>
      <c r="H284" s="12" t="s">
        <v>671</v>
      </c>
      <c r="I284" s="41" t="s">
        <v>6659</v>
      </c>
      <c r="J284" s="41" t="s">
        <v>2608</v>
      </c>
      <c r="K284" s="41" t="str">
        <f>VLOOKUP(J284,错误mRNA总表!D:J,7,FALSE)</f>
        <v/>
      </c>
      <c r="M284" s="41" t="e">
        <f>VLOOKUP(I284,错误mRNA总表!D:I,6,FALSE)</f>
        <v>#N/A</v>
      </c>
    </row>
    <row r="285" spans="1:13" x14ac:dyDescent="0.2">
      <c r="A285" s="12" t="s">
        <v>4160</v>
      </c>
      <c r="B285" s="12" t="s">
        <v>3984</v>
      </c>
      <c r="C285" s="12">
        <v>2378683</v>
      </c>
      <c r="D285" s="12">
        <v>2379615</v>
      </c>
      <c r="E285" s="12" t="s">
        <v>3940</v>
      </c>
      <c r="F285" s="12">
        <v>3</v>
      </c>
      <c r="G285" s="12" t="s">
        <v>3984</v>
      </c>
      <c r="H285" s="12" t="s">
        <v>669</v>
      </c>
      <c r="I285" s="41" t="s">
        <v>6774</v>
      </c>
      <c r="J285" s="41" t="s">
        <v>2606</v>
      </c>
      <c r="K285" s="41" t="str">
        <f>VLOOKUP(J285,错误mRNA总表!D:J,7,FALSE)</f>
        <v/>
      </c>
      <c r="M285" s="41" t="e">
        <f>VLOOKUP(I285,错误mRNA总表!D:I,6,FALSE)</f>
        <v>#N/A</v>
      </c>
    </row>
    <row r="286" spans="1:13" x14ac:dyDescent="0.2">
      <c r="A286" s="12" t="s">
        <v>4161</v>
      </c>
      <c r="B286" s="12" t="s">
        <v>3948</v>
      </c>
      <c r="C286" s="12">
        <v>101006101</v>
      </c>
      <c r="D286" s="12">
        <v>101200671</v>
      </c>
      <c r="E286" s="12" t="s">
        <v>3940</v>
      </c>
      <c r="F286" s="12">
        <v>1</v>
      </c>
      <c r="G286" s="41" t="s">
        <v>40</v>
      </c>
      <c r="H286" s="12" t="s">
        <v>233</v>
      </c>
      <c r="I286" s="41" t="s">
        <v>6775</v>
      </c>
      <c r="J286" s="41" t="s">
        <v>2165</v>
      </c>
      <c r="K286" s="41" t="str">
        <f>VLOOKUP(J286,错误mRNA总表!D:J,7,FALSE)</f>
        <v>纠后正确，utr略有变化，版本不一致</v>
      </c>
      <c r="M286" s="41" t="e">
        <f>VLOOKUP(I286,错误mRNA总表!D:I,6,FALSE)</f>
        <v>#N/A</v>
      </c>
    </row>
    <row r="287" spans="1:13" x14ac:dyDescent="0.2">
      <c r="A287" s="12" t="s">
        <v>4162</v>
      </c>
      <c r="B287" s="12" t="s">
        <v>4163</v>
      </c>
      <c r="C287" s="12">
        <v>630745</v>
      </c>
      <c r="D287" s="12">
        <v>631108</v>
      </c>
      <c r="E287" s="12" t="s">
        <v>3943</v>
      </c>
      <c r="F287" s="12">
        <v>1</v>
      </c>
      <c r="G287" s="12" t="s">
        <v>4163</v>
      </c>
      <c r="H287" s="12" t="s">
        <v>5818</v>
      </c>
      <c r="I287" s="41" t="s">
        <v>6776</v>
      </c>
      <c r="M287" s="41" t="e">
        <f>VLOOKUP(I287,错误mRNA总表!D:I,6,FALSE)</f>
        <v>#N/A</v>
      </c>
    </row>
    <row r="288" spans="1:13" x14ac:dyDescent="0.2">
      <c r="A288" s="12" t="s">
        <v>3993</v>
      </c>
      <c r="B288" s="12" t="s">
        <v>4001</v>
      </c>
      <c r="C288" s="12">
        <v>3477358</v>
      </c>
      <c r="D288" s="12">
        <v>3486917</v>
      </c>
      <c r="E288" s="12" t="s">
        <v>3940</v>
      </c>
      <c r="F288" s="12">
        <v>1</v>
      </c>
      <c r="G288" s="12" t="s">
        <v>4001</v>
      </c>
      <c r="H288" s="12" t="s">
        <v>3579</v>
      </c>
      <c r="I288" s="41" t="s">
        <v>6777</v>
      </c>
      <c r="M288" s="41" t="e">
        <f>VLOOKUP(I288,错误mRNA总表!D:I,6,FALSE)</f>
        <v>#N/A</v>
      </c>
    </row>
    <row r="289" spans="1:13" x14ac:dyDescent="0.2">
      <c r="A289" s="12" t="s">
        <v>4164</v>
      </c>
      <c r="B289" s="12" t="s">
        <v>3948</v>
      </c>
      <c r="C289" s="12">
        <v>101006101</v>
      </c>
      <c r="D289" s="12">
        <v>101200671</v>
      </c>
      <c r="E289" s="12" t="s">
        <v>3940</v>
      </c>
      <c r="F289" s="12">
        <v>1</v>
      </c>
      <c r="G289" s="41" t="s">
        <v>40</v>
      </c>
      <c r="H289" s="12" t="s">
        <v>233</v>
      </c>
      <c r="I289" s="41" t="s">
        <v>6775</v>
      </c>
      <c r="J289" s="41" t="s">
        <v>2165</v>
      </c>
      <c r="K289" s="41" t="str">
        <f>VLOOKUP(J289,错误mRNA总表!D:J,7,FALSE)</f>
        <v>纠后正确，utr略有变化，版本不一致</v>
      </c>
      <c r="M289" s="41" t="e">
        <f>VLOOKUP(I289,错误mRNA总表!D:I,6,FALSE)</f>
        <v>#N/A</v>
      </c>
    </row>
    <row r="290" spans="1:13" x14ac:dyDescent="0.2">
      <c r="A290" s="12" t="s">
        <v>4165</v>
      </c>
      <c r="B290" s="12" t="s">
        <v>3986</v>
      </c>
      <c r="C290" s="12">
        <v>53948254</v>
      </c>
      <c r="D290" s="12">
        <v>53952888</v>
      </c>
      <c r="E290" s="12" t="s">
        <v>3943</v>
      </c>
      <c r="F290" s="12">
        <v>1</v>
      </c>
      <c r="G290" s="41" t="s">
        <v>50</v>
      </c>
      <c r="H290" s="12" t="s">
        <v>5819</v>
      </c>
      <c r="I290" s="41" t="s">
        <v>6778</v>
      </c>
      <c r="M290" s="41" t="e">
        <f>VLOOKUP(I290,错误mRNA总表!D:I,6,FALSE)</f>
        <v>#N/A</v>
      </c>
    </row>
    <row r="291" spans="1:13" x14ac:dyDescent="0.2">
      <c r="A291" s="12" t="s">
        <v>4166</v>
      </c>
      <c r="B291" s="12" t="s">
        <v>3962</v>
      </c>
      <c r="C291" s="12">
        <v>62329995</v>
      </c>
      <c r="D291" s="12">
        <v>62331335</v>
      </c>
      <c r="E291" s="12" t="s">
        <v>3940</v>
      </c>
      <c r="F291" s="12">
        <v>1</v>
      </c>
      <c r="G291" s="41" t="s">
        <v>53</v>
      </c>
      <c r="H291" s="12" t="s">
        <v>6384</v>
      </c>
      <c r="I291" s="41" t="s">
        <v>6779</v>
      </c>
      <c r="M291" s="41" t="e">
        <f>VLOOKUP(I291,错误mRNA总表!D:I,6,FALSE)</f>
        <v>#N/A</v>
      </c>
    </row>
    <row r="292" spans="1:13" x14ac:dyDescent="0.2">
      <c r="A292" s="12" t="s">
        <v>4060</v>
      </c>
      <c r="B292" s="12" t="s">
        <v>3986</v>
      </c>
      <c r="C292" s="12">
        <v>55344174</v>
      </c>
      <c r="D292" s="12">
        <v>55350965</v>
      </c>
      <c r="E292" s="12" t="s">
        <v>3940</v>
      </c>
      <c r="F292" s="12">
        <v>22</v>
      </c>
      <c r="G292" s="41" t="s">
        <v>50</v>
      </c>
      <c r="H292" s="12" t="s">
        <v>214</v>
      </c>
      <c r="I292" s="41" t="s">
        <v>2170</v>
      </c>
      <c r="J292" s="41" t="s">
        <v>2170</v>
      </c>
      <c r="K292" s="41" t="str">
        <f>VLOOKUP(J292,错误mRNA总表!D:J,7,FALSE)</f>
        <v>Browser与原结果匹配，纠后与rs匹配(rs746499983)chr19:55350966-55359398</v>
      </c>
      <c r="L292" s="41" t="s">
        <v>8334</v>
      </c>
      <c r="M292" s="41">
        <f>VLOOKUP(I292,错误mRNA总表!D:I,6,FALSE)</f>
        <v>0</v>
      </c>
    </row>
    <row r="293" spans="1:13" x14ac:dyDescent="0.2">
      <c r="A293" s="12" t="s">
        <v>4167</v>
      </c>
      <c r="B293" s="12" t="s">
        <v>3989</v>
      </c>
      <c r="C293" s="12">
        <v>2937602</v>
      </c>
      <c r="D293" s="12">
        <v>2937698</v>
      </c>
      <c r="E293" s="12" t="s">
        <v>3943</v>
      </c>
      <c r="F293" s="12">
        <v>4</v>
      </c>
      <c r="G293" s="12" t="s">
        <v>3989</v>
      </c>
      <c r="H293" s="12" t="s">
        <v>3562</v>
      </c>
      <c r="I293" s="41" t="s">
        <v>6780</v>
      </c>
      <c r="M293" s="41" t="e">
        <f>VLOOKUP(I293,错误mRNA总表!D:I,6,FALSE)</f>
        <v>#N/A</v>
      </c>
    </row>
    <row r="294" spans="1:13" x14ac:dyDescent="0.2">
      <c r="A294" s="12" t="s">
        <v>4168</v>
      </c>
      <c r="B294" s="12" t="s">
        <v>4169</v>
      </c>
      <c r="C294" s="12">
        <v>597630</v>
      </c>
      <c r="D294" s="12">
        <v>621624</v>
      </c>
      <c r="E294" s="12" t="s">
        <v>3940</v>
      </c>
      <c r="F294" s="12">
        <v>1</v>
      </c>
      <c r="G294" s="12" t="s">
        <v>4169</v>
      </c>
      <c r="H294" s="12" t="s">
        <v>3676</v>
      </c>
      <c r="I294" s="41" t="s">
        <v>6781</v>
      </c>
      <c r="M294" s="41" t="e">
        <f>VLOOKUP(I294,错误mRNA总表!D:I,6,FALSE)</f>
        <v>#N/A</v>
      </c>
    </row>
    <row r="295" spans="1:13" x14ac:dyDescent="0.2">
      <c r="A295" s="12" t="s">
        <v>4170</v>
      </c>
      <c r="B295" s="12" t="s">
        <v>4171</v>
      </c>
      <c r="C295" s="12">
        <v>51</v>
      </c>
      <c r="D295" s="12">
        <v>62</v>
      </c>
      <c r="E295" s="12" t="s">
        <v>3940</v>
      </c>
      <c r="F295" s="12">
        <v>409</v>
      </c>
      <c r="G295" s="12" t="s">
        <v>4171</v>
      </c>
      <c r="H295" s="12" t="s">
        <v>3508</v>
      </c>
      <c r="I295" s="41" t="s">
        <v>6782</v>
      </c>
      <c r="M295" s="41" t="e">
        <f>VLOOKUP(I295,错误mRNA总表!D:I,6,FALSE)</f>
        <v>#N/A</v>
      </c>
    </row>
    <row r="296" spans="1:13" x14ac:dyDescent="0.2">
      <c r="A296" s="12" t="s">
        <v>4172</v>
      </c>
      <c r="B296" s="12" t="s">
        <v>3966</v>
      </c>
      <c r="C296" s="12">
        <v>17929419</v>
      </c>
      <c r="D296" s="12">
        <v>17929446</v>
      </c>
      <c r="E296" s="12" t="s">
        <v>3940</v>
      </c>
      <c r="F296" s="12">
        <v>318</v>
      </c>
      <c r="G296" s="41" t="s">
        <v>43</v>
      </c>
      <c r="H296" s="12" t="s">
        <v>5820</v>
      </c>
      <c r="I296" s="41" t="s">
        <v>6783</v>
      </c>
      <c r="M296" s="41" t="e">
        <f>VLOOKUP(I296,错误mRNA总表!D:I,6,FALSE)</f>
        <v>#N/A</v>
      </c>
    </row>
    <row r="297" spans="1:13" x14ac:dyDescent="0.2">
      <c r="A297" s="12" t="s">
        <v>4172</v>
      </c>
      <c r="B297" s="12" t="s">
        <v>3966</v>
      </c>
      <c r="C297" s="12">
        <v>17929419</v>
      </c>
      <c r="D297" s="12">
        <v>18035853</v>
      </c>
      <c r="E297" s="12" t="s">
        <v>3940</v>
      </c>
      <c r="F297" s="12">
        <v>3</v>
      </c>
      <c r="G297" s="41" t="s">
        <v>43</v>
      </c>
      <c r="H297" s="12" t="s">
        <v>5820</v>
      </c>
      <c r="I297" s="41" t="s">
        <v>6783</v>
      </c>
      <c r="M297" s="41" t="e">
        <f>VLOOKUP(I297,错误mRNA总表!D:I,6,FALSE)</f>
        <v>#N/A</v>
      </c>
    </row>
    <row r="298" spans="1:13" x14ac:dyDescent="0.2">
      <c r="A298" s="12" t="s">
        <v>4172</v>
      </c>
      <c r="B298" s="12" t="s">
        <v>3966</v>
      </c>
      <c r="C298" s="12">
        <v>17929419</v>
      </c>
      <c r="D298" s="12">
        <v>18036675</v>
      </c>
      <c r="E298" s="12" t="s">
        <v>3943</v>
      </c>
      <c r="F298" s="12">
        <v>1</v>
      </c>
      <c r="G298" s="41" t="s">
        <v>43</v>
      </c>
      <c r="H298" s="12" t="s">
        <v>5820</v>
      </c>
      <c r="I298" s="41" t="s">
        <v>6783</v>
      </c>
      <c r="M298" s="41" t="e">
        <f>VLOOKUP(I298,错误mRNA总表!D:I,6,FALSE)</f>
        <v>#N/A</v>
      </c>
    </row>
    <row r="299" spans="1:13" x14ac:dyDescent="0.2">
      <c r="A299" s="12" t="s">
        <v>4172</v>
      </c>
      <c r="B299" s="12" t="s">
        <v>3966</v>
      </c>
      <c r="C299" s="12">
        <v>17929419</v>
      </c>
      <c r="D299" s="12">
        <v>18036863</v>
      </c>
      <c r="E299" s="12" t="s">
        <v>3943</v>
      </c>
      <c r="F299" s="12">
        <v>3</v>
      </c>
      <c r="G299" s="41" t="s">
        <v>43</v>
      </c>
      <c r="H299" s="12" t="s">
        <v>5820</v>
      </c>
      <c r="I299" s="41" t="s">
        <v>6783</v>
      </c>
      <c r="M299" s="41" t="e">
        <f>VLOOKUP(I299,错误mRNA总表!D:I,6,FALSE)</f>
        <v>#N/A</v>
      </c>
    </row>
    <row r="300" spans="1:13" x14ac:dyDescent="0.2">
      <c r="A300" s="12" t="s">
        <v>4173</v>
      </c>
      <c r="B300" s="12" t="s">
        <v>4115</v>
      </c>
      <c r="C300" s="12">
        <v>139216998</v>
      </c>
      <c r="D300" s="12">
        <v>139218529</v>
      </c>
      <c r="E300" s="12" t="s">
        <v>3943</v>
      </c>
      <c r="F300" s="12">
        <v>2</v>
      </c>
      <c r="G300" s="41" t="s">
        <v>33</v>
      </c>
      <c r="H300" s="12" t="s">
        <v>6499</v>
      </c>
      <c r="I300" s="41" t="s">
        <v>6784</v>
      </c>
      <c r="M300" s="41" t="e">
        <f>VLOOKUP(I300,错误mRNA总表!D:I,6,FALSE)</f>
        <v>#N/A</v>
      </c>
    </row>
    <row r="301" spans="1:13" x14ac:dyDescent="0.2">
      <c r="A301" s="12" t="s">
        <v>4174</v>
      </c>
      <c r="B301" s="12" t="s">
        <v>4175</v>
      </c>
      <c r="C301" s="12">
        <v>5051989</v>
      </c>
      <c r="D301" s="12">
        <v>5058430</v>
      </c>
      <c r="E301" s="12" t="s">
        <v>3943</v>
      </c>
      <c r="F301" s="12">
        <v>3</v>
      </c>
      <c r="G301" s="12" t="s">
        <v>4175</v>
      </c>
      <c r="H301" s="12" t="s">
        <v>6500</v>
      </c>
      <c r="I301" s="41" t="s">
        <v>6785</v>
      </c>
      <c r="M301" s="41" t="e">
        <f>VLOOKUP(I301,错误mRNA总表!D:I,6,FALSE)</f>
        <v>#N/A</v>
      </c>
    </row>
    <row r="302" spans="1:13" x14ac:dyDescent="0.2">
      <c r="A302" s="12" t="s">
        <v>4176</v>
      </c>
      <c r="B302" s="12" t="s">
        <v>3942</v>
      </c>
      <c r="C302" s="12">
        <v>175810940</v>
      </c>
      <c r="D302" s="12">
        <v>175811094</v>
      </c>
      <c r="E302" s="12" t="s">
        <v>3940</v>
      </c>
      <c r="F302" s="12">
        <v>2</v>
      </c>
      <c r="G302" s="41" t="s">
        <v>186</v>
      </c>
      <c r="H302" s="12" t="s">
        <v>5821</v>
      </c>
      <c r="I302" s="41" t="s">
        <v>6786</v>
      </c>
      <c r="M302" s="41" t="e">
        <f>VLOOKUP(I302,错误mRNA总表!D:I,6,FALSE)</f>
        <v>#N/A</v>
      </c>
    </row>
    <row r="303" spans="1:13" x14ac:dyDescent="0.2">
      <c r="A303" s="12" t="s">
        <v>4177</v>
      </c>
      <c r="B303" s="12" t="s">
        <v>3986</v>
      </c>
      <c r="C303" s="12">
        <v>58694356</v>
      </c>
      <c r="D303" s="12">
        <v>58718361</v>
      </c>
      <c r="E303" s="12" t="s">
        <v>3940</v>
      </c>
      <c r="F303" s="12">
        <v>1</v>
      </c>
      <c r="G303" s="41" t="s">
        <v>50</v>
      </c>
      <c r="H303" s="12" t="s">
        <v>223</v>
      </c>
      <c r="I303" s="41" t="s">
        <v>6787</v>
      </c>
      <c r="J303" s="41" t="s">
        <v>2209</v>
      </c>
      <c r="K303" s="41" t="str">
        <f>VLOOKUP(J303,错误mRNA总表!D:J,7,FALSE)</f>
        <v>纠后正确，utr略有变化，版本不一致</v>
      </c>
      <c r="M303" s="41" t="e">
        <f>VLOOKUP(I303,错误mRNA总表!D:I,6,FALSE)</f>
        <v>#N/A</v>
      </c>
    </row>
    <row r="304" spans="1:13" x14ac:dyDescent="0.2">
      <c r="A304" s="12" t="s">
        <v>4178</v>
      </c>
      <c r="B304" s="12" t="s">
        <v>4049</v>
      </c>
      <c r="C304" s="12">
        <v>556422</v>
      </c>
      <c r="D304" s="12">
        <v>556447</v>
      </c>
      <c r="E304" s="12" t="s">
        <v>3940</v>
      </c>
      <c r="F304" s="12">
        <v>1</v>
      </c>
      <c r="G304" s="12" t="s">
        <v>4049</v>
      </c>
      <c r="H304" s="12" t="s">
        <v>5822</v>
      </c>
      <c r="I304" s="41" t="s">
        <v>6788</v>
      </c>
      <c r="M304" s="41" t="e">
        <f>VLOOKUP(I304,错误mRNA总表!D:I,6,FALSE)</f>
        <v>#N/A</v>
      </c>
    </row>
    <row r="305" spans="1:13" x14ac:dyDescent="0.2">
      <c r="A305" s="12" t="s">
        <v>4179</v>
      </c>
      <c r="B305" s="12" t="s">
        <v>4035</v>
      </c>
      <c r="C305" s="12">
        <v>72012098</v>
      </c>
      <c r="D305" s="12">
        <v>72440658</v>
      </c>
      <c r="E305" s="12" t="s">
        <v>3943</v>
      </c>
      <c r="F305" s="12">
        <v>6</v>
      </c>
      <c r="G305" s="41" t="s">
        <v>106</v>
      </c>
      <c r="H305" s="12" t="s">
        <v>6602</v>
      </c>
      <c r="I305" s="41" t="s">
        <v>6789</v>
      </c>
      <c r="M305" s="41" t="e">
        <f>VLOOKUP(I305,错误mRNA总表!D:I,6,FALSE)</f>
        <v>#N/A</v>
      </c>
    </row>
    <row r="306" spans="1:13" x14ac:dyDescent="0.2">
      <c r="A306" s="12" t="s">
        <v>4180</v>
      </c>
      <c r="B306" s="12" t="s">
        <v>3964</v>
      </c>
      <c r="C306" s="12">
        <v>1501605</v>
      </c>
      <c r="D306" s="12">
        <v>1502001</v>
      </c>
      <c r="E306" s="12" t="s">
        <v>3943</v>
      </c>
      <c r="F306" s="12">
        <v>2</v>
      </c>
      <c r="G306" s="12" t="s">
        <v>3964</v>
      </c>
      <c r="H306" s="12" t="s">
        <v>3539</v>
      </c>
      <c r="I306" s="41" t="s">
        <v>6790</v>
      </c>
      <c r="M306" s="41" t="e">
        <f>VLOOKUP(I306,错误mRNA总表!D:I,6,FALSE)</f>
        <v>#N/A</v>
      </c>
    </row>
    <row r="307" spans="1:13" x14ac:dyDescent="0.2">
      <c r="A307" s="12" t="s">
        <v>4180</v>
      </c>
      <c r="B307" s="12" t="s">
        <v>3964</v>
      </c>
      <c r="C307" s="12">
        <v>1501605</v>
      </c>
      <c r="D307" s="12">
        <v>1502341</v>
      </c>
      <c r="E307" s="12" t="s">
        <v>3943</v>
      </c>
      <c r="F307" s="12">
        <v>1</v>
      </c>
      <c r="G307" s="12" t="s">
        <v>3964</v>
      </c>
      <c r="H307" s="12" t="s">
        <v>3539</v>
      </c>
      <c r="I307" s="41" t="s">
        <v>6790</v>
      </c>
      <c r="M307" s="41" t="e">
        <f>VLOOKUP(I307,错误mRNA总表!D:I,6,FALSE)</f>
        <v>#N/A</v>
      </c>
    </row>
    <row r="308" spans="1:13" x14ac:dyDescent="0.2">
      <c r="A308" s="12" t="s">
        <v>4181</v>
      </c>
      <c r="B308" s="12" t="s">
        <v>4182</v>
      </c>
      <c r="C308" s="12">
        <v>7488</v>
      </c>
      <c r="D308" s="12">
        <v>7605</v>
      </c>
      <c r="E308" s="12" t="s">
        <v>3940</v>
      </c>
      <c r="F308" s="12">
        <v>957</v>
      </c>
      <c r="G308" s="12" t="s">
        <v>4182</v>
      </c>
      <c r="H308" s="12" t="s">
        <v>3624</v>
      </c>
      <c r="I308" s="41" t="s">
        <v>6791</v>
      </c>
      <c r="M308" s="41" t="e">
        <f>VLOOKUP(I308,错误mRNA总表!D:I,6,FALSE)</f>
        <v>#N/A</v>
      </c>
    </row>
    <row r="309" spans="1:13" x14ac:dyDescent="0.2">
      <c r="A309" s="12" t="s">
        <v>4181</v>
      </c>
      <c r="B309" s="12" t="s">
        <v>4182</v>
      </c>
      <c r="C309" s="12">
        <v>7488</v>
      </c>
      <c r="D309" s="12">
        <v>15843</v>
      </c>
      <c r="E309" s="12" t="s">
        <v>3940</v>
      </c>
      <c r="F309" s="12">
        <v>172</v>
      </c>
      <c r="G309" s="12" t="s">
        <v>4182</v>
      </c>
      <c r="H309" s="12" t="s">
        <v>3624</v>
      </c>
      <c r="I309" s="41" t="s">
        <v>6791</v>
      </c>
      <c r="M309" s="41" t="e">
        <f>VLOOKUP(I309,错误mRNA总表!D:I,6,FALSE)</f>
        <v>#N/A</v>
      </c>
    </row>
    <row r="310" spans="1:13" x14ac:dyDescent="0.2">
      <c r="A310" s="12" t="s">
        <v>4181</v>
      </c>
      <c r="B310" s="12" t="s">
        <v>4182</v>
      </c>
      <c r="C310" s="12">
        <v>7488</v>
      </c>
      <c r="D310" s="12">
        <v>15821</v>
      </c>
      <c r="E310" s="12" t="s">
        <v>3940</v>
      </c>
      <c r="F310" s="12">
        <v>3</v>
      </c>
      <c r="G310" s="12" t="s">
        <v>4182</v>
      </c>
      <c r="H310" s="12" t="s">
        <v>3624</v>
      </c>
      <c r="I310" s="41" t="s">
        <v>6791</v>
      </c>
      <c r="M310" s="41" t="e">
        <f>VLOOKUP(I310,错误mRNA总表!D:I,6,FALSE)</f>
        <v>#N/A</v>
      </c>
    </row>
    <row r="311" spans="1:13" x14ac:dyDescent="0.2">
      <c r="A311" s="12" t="s">
        <v>4183</v>
      </c>
      <c r="B311" s="12" t="s">
        <v>4004</v>
      </c>
      <c r="C311" s="12">
        <v>86126288</v>
      </c>
      <c r="D311" s="12">
        <v>86126827</v>
      </c>
      <c r="E311" s="12" t="s">
        <v>3940</v>
      </c>
      <c r="F311" s="12">
        <v>6</v>
      </c>
      <c r="G311" s="41" t="s">
        <v>103</v>
      </c>
      <c r="H311" s="12" t="s">
        <v>786</v>
      </c>
      <c r="I311" s="41" t="s">
        <v>2217</v>
      </c>
      <c r="J311" s="41" t="s">
        <v>2217</v>
      </c>
      <c r="K311" s="41" t="str">
        <f>VLOOKUP(J311,错误mRNA总表!D:J,7,FALSE)</f>
        <v>纠后正确，加2个氨基酸chr8:86126795-86126826</v>
      </c>
      <c r="L311" s="41" t="s">
        <v>8335</v>
      </c>
      <c r="M311" s="41">
        <f>VLOOKUP(I311,错误mRNA总表!D:I,6,FALSE)</f>
        <v>0</v>
      </c>
    </row>
    <row r="312" spans="1:13" x14ac:dyDescent="0.2">
      <c r="A312" s="12" t="s">
        <v>4184</v>
      </c>
      <c r="B312" s="12" t="s">
        <v>4185</v>
      </c>
      <c r="C312" s="12">
        <v>672792</v>
      </c>
      <c r="D312" s="12">
        <v>673634</v>
      </c>
      <c r="E312" s="12" t="s">
        <v>3940</v>
      </c>
      <c r="F312" s="12">
        <v>5</v>
      </c>
      <c r="G312" s="12" t="s">
        <v>4185</v>
      </c>
      <c r="H312" s="12" t="s">
        <v>3678</v>
      </c>
      <c r="I312" s="41" t="s">
        <v>6792</v>
      </c>
      <c r="M312" s="41" t="e">
        <f>VLOOKUP(I312,错误mRNA总表!D:I,6,FALSE)</f>
        <v>#N/A</v>
      </c>
    </row>
    <row r="313" spans="1:13" x14ac:dyDescent="0.2">
      <c r="A313" s="12" t="s">
        <v>4186</v>
      </c>
      <c r="B313" s="12" t="s">
        <v>3996</v>
      </c>
      <c r="C313" s="12">
        <v>1369092</v>
      </c>
      <c r="D313" s="12">
        <v>1369331</v>
      </c>
      <c r="E313" s="12" t="s">
        <v>3940</v>
      </c>
      <c r="F313" s="12">
        <v>6</v>
      </c>
      <c r="G313" s="12" t="s">
        <v>3996</v>
      </c>
      <c r="H313" s="12" t="s">
        <v>6398</v>
      </c>
      <c r="I313" s="41" t="s">
        <v>6793</v>
      </c>
      <c r="M313" s="41" t="e">
        <f>VLOOKUP(I313,错误mRNA总表!D:I,6,FALSE)</f>
        <v>#N/A</v>
      </c>
    </row>
    <row r="314" spans="1:13" x14ac:dyDescent="0.2">
      <c r="A314" s="12" t="s">
        <v>4186</v>
      </c>
      <c r="B314" s="12" t="s">
        <v>3996</v>
      </c>
      <c r="C314" s="12">
        <v>1369092</v>
      </c>
      <c r="D314" s="12">
        <v>1370848</v>
      </c>
      <c r="E314" s="12" t="s">
        <v>3940</v>
      </c>
      <c r="F314" s="12">
        <v>1</v>
      </c>
      <c r="G314" s="12" t="s">
        <v>3996</v>
      </c>
      <c r="H314" s="12" t="s">
        <v>6398</v>
      </c>
      <c r="I314" s="41" t="s">
        <v>6793</v>
      </c>
      <c r="M314" s="41" t="e">
        <f>VLOOKUP(I314,错误mRNA总表!D:I,6,FALSE)</f>
        <v>#N/A</v>
      </c>
    </row>
    <row r="315" spans="1:13" x14ac:dyDescent="0.2">
      <c r="A315" s="12" t="s">
        <v>4186</v>
      </c>
      <c r="B315" s="12" t="s">
        <v>3996</v>
      </c>
      <c r="C315" s="12">
        <v>1369092</v>
      </c>
      <c r="D315" s="12">
        <v>1370971</v>
      </c>
      <c r="E315" s="12" t="s">
        <v>3940</v>
      </c>
      <c r="F315" s="12">
        <v>1</v>
      </c>
      <c r="G315" s="12" t="s">
        <v>3996</v>
      </c>
      <c r="H315" s="12" t="s">
        <v>6398</v>
      </c>
      <c r="I315" s="41" t="s">
        <v>6793</v>
      </c>
      <c r="M315" s="41" t="e">
        <f>VLOOKUP(I315,错误mRNA总表!D:I,6,FALSE)</f>
        <v>#N/A</v>
      </c>
    </row>
    <row r="316" spans="1:13" x14ac:dyDescent="0.2">
      <c r="A316" s="12" t="s">
        <v>4186</v>
      </c>
      <c r="B316" s="12" t="s">
        <v>3996</v>
      </c>
      <c r="C316" s="12">
        <v>1369092</v>
      </c>
      <c r="D316" s="12">
        <v>1372247</v>
      </c>
      <c r="E316" s="12" t="s">
        <v>3940</v>
      </c>
      <c r="F316" s="12">
        <v>4</v>
      </c>
      <c r="G316" s="12" t="s">
        <v>3996</v>
      </c>
      <c r="H316" s="12" t="s">
        <v>6398</v>
      </c>
      <c r="I316" s="41" t="s">
        <v>6793</v>
      </c>
      <c r="M316" s="41" t="e">
        <f>VLOOKUP(I316,错误mRNA总表!D:I,6,FALSE)</f>
        <v>#N/A</v>
      </c>
    </row>
    <row r="317" spans="1:13" x14ac:dyDescent="0.2">
      <c r="A317" s="12" t="s">
        <v>4187</v>
      </c>
      <c r="B317" s="12" t="s">
        <v>4030</v>
      </c>
      <c r="C317" s="12">
        <v>106383838</v>
      </c>
      <c r="D317" s="12">
        <v>106390584</v>
      </c>
      <c r="E317" s="12" t="s">
        <v>3943</v>
      </c>
      <c r="F317" s="12">
        <v>1</v>
      </c>
      <c r="G317" s="41" t="s">
        <v>81</v>
      </c>
      <c r="H317" s="12" t="s">
        <v>5977</v>
      </c>
      <c r="I317" s="41" t="s">
        <v>6794</v>
      </c>
      <c r="M317" s="41" t="e">
        <f>VLOOKUP(I317,错误mRNA总表!D:I,6,FALSE)</f>
        <v>#N/A</v>
      </c>
    </row>
    <row r="318" spans="1:13" x14ac:dyDescent="0.2">
      <c r="A318" s="12" t="s">
        <v>4188</v>
      </c>
      <c r="B318" s="12" t="s">
        <v>4124</v>
      </c>
      <c r="C318" s="12">
        <v>95831162</v>
      </c>
      <c r="D318" s="12">
        <v>95847046</v>
      </c>
      <c r="E318" s="12" t="s">
        <v>3943</v>
      </c>
      <c r="F318" s="12">
        <v>3</v>
      </c>
      <c r="G318" s="41" t="s">
        <v>1</v>
      </c>
      <c r="H318" s="12" t="s">
        <v>430</v>
      </c>
      <c r="I318" s="41" t="s">
        <v>6795</v>
      </c>
      <c r="J318" s="41" t="s">
        <v>2229</v>
      </c>
      <c r="K318" s="41" t="str">
        <f>VLOOKUP(J318,错误mRNA总表!D:J,7,FALSE)</f>
        <v>纠后正确，少1个氨基酸，chr2：95847047-95847854</v>
      </c>
      <c r="M318" s="41" t="e">
        <f>VLOOKUP(I318,错误mRNA总表!D:I,6,FALSE)</f>
        <v>#N/A</v>
      </c>
    </row>
    <row r="319" spans="1:13" x14ac:dyDescent="0.2">
      <c r="A319" s="12" t="s">
        <v>4189</v>
      </c>
      <c r="B319" s="12" t="s">
        <v>4081</v>
      </c>
      <c r="C319" s="12">
        <v>28496</v>
      </c>
      <c r="D319" s="12">
        <v>39232</v>
      </c>
      <c r="E319" s="12" t="s">
        <v>3940</v>
      </c>
      <c r="F319" s="12">
        <v>1</v>
      </c>
      <c r="G319" s="12" t="s">
        <v>4081</v>
      </c>
      <c r="H319" s="12" t="s">
        <v>220</v>
      </c>
      <c r="I319" s="41" t="s">
        <v>6796</v>
      </c>
      <c r="J319" s="41" t="s">
        <v>2189</v>
      </c>
      <c r="K319" s="41" t="str">
        <f>VLOOKUP(J319,错误mRNA总表!D:J,7,FALSE)</f>
        <v>纠后正确,utr略有变化</v>
      </c>
      <c r="M319" s="41" t="e">
        <f>VLOOKUP(I319,错误mRNA总表!D:I,6,FALSE)</f>
        <v>#N/A</v>
      </c>
    </row>
    <row r="320" spans="1:13" x14ac:dyDescent="0.2">
      <c r="A320" s="12" t="s">
        <v>4189</v>
      </c>
      <c r="B320" s="12" t="s">
        <v>4081</v>
      </c>
      <c r="C320" s="12">
        <v>28496</v>
      </c>
      <c r="D320" s="12">
        <v>39371</v>
      </c>
      <c r="E320" s="12" t="s">
        <v>3940</v>
      </c>
      <c r="F320" s="12">
        <v>2</v>
      </c>
      <c r="G320" s="12" t="s">
        <v>4081</v>
      </c>
      <c r="H320" s="12" t="s">
        <v>220</v>
      </c>
      <c r="I320" s="41" t="s">
        <v>6796</v>
      </c>
      <c r="J320" s="41" t="s">
        <v>2189</v>
      </c>
      <c r="K320" s="41" t="str">
        <f>VLOOKUP(J320,错误mRNA总表!D:J,7,FALSE)</f>
        <v>纠后正确,utr略有变化</v>
      </c>
      <c r="M320" s="41" t="e">
        <f>VLOOKUP(I320,错误mRNA总表!D:I,6,FALSE)</f>
        <v>#N/A</v>
      </c>
    </row>
    <row r="321" spans="1:13" x14ac:dyDescent="0.2">
      <c r="A321" s="12" t="s">
        <v>4190</v>
      </c>
      <c r="B321" s="12" t="s">
        <v>3939</v>
      </c>
      <c r="C321" s="12">
        <v>148622519</v>
      </c>
      <c r="D321" s="12">
        <v>148629238</v>
      </c>
      <c r="E321" s="12" t="s">
        <v>3940</v>
      </c>
      <c r="F321" s="12">
        <v>1</v>
      </c>
      <c r="G321" s="41" t="s">
        <v>73</v>
      </c>
      <c r="H321" s="12" t="s">
        <v>5823</v>
      </c>
      <c r="I321" s="41" t="s">
        <v>6797</v>
      </c>
      <c r="M321" s="41" t="e">
        <f>VLOOKUP(I321,错误mRNA总表!D:I,6,FALSE)</f>
        <v>#N/A</v>
      </c>
    </row>
    <row r="322" spans="1:13" x14ac:dyDescent="0.2">
      <c r="A322" s="12" t="s">
        <v>4191</v>
      </c>
      <c r="B322" s="12" t="s">
        <v>3939</v>
      </c>
      <c r="C322" s="12">
        <v>50108406</v>
      </c>
      <c r="D322" s="12">
        <v>50121146</v>
      </c>
      <c r="E322" s="12" t="s">
        <v>3940</v>
      </c>
      <c r="F322" s="12">
        <v>1</v>
      </c>
      <c r="G322" s="41" t="s">
        <v>73</v>
      </c>
      <c r="H322" s="12" t="s">
        <v>190</v>
      </c>
      <c r="I322" s="41" t="s">
        <v>6798</v>
      </c>
      <c r="J322" s="41" t="s">
        <v>2163</v>
      </c>
      <c r="K322" s="41" t="str">
        <f>VLOOKUP(J322,错误mRNA总表!D:J,7,FALSE)</f>
        <v>纠后正确</v>
      </c>
      <c r="M322" s="41" t="e">
        <f>VLOOKUP(I322,错误mRNA总表!D:I,6,FALSE)</f>
        <v>#N/A</v>
      </c>
    </row>
    <row r="323" spans="1:13" x14ac:dyDescent="0.2">
      <c r="A323" s="12" t="s">
        <v>4192</v>
      </c>
      <c r="B323" s="12" t="s">
        <v>4023</v>
      </c>
      <c r="C323" s="12">
        <v>954315</v>
      </c>
      <c r="D323" s="12">
        <v>955234</v>
      </c>
      <c r="E323" s="12" t="s">
        <v>3943</v>
      </c>
      <c r="F323" s="12">
        <v>1</v>
      </c>
      <c r="G323" s="12" t="s">
        <v>4023</v>
      </c>
      <c r="H323" s="12" t="s">
        <v>5824</v>
      </c>
      <c r="I323" s="41" t="s">
        <v>6799</v>
      </c>
      <c r="M323" s="41" t="e">
        <f>VLOOKUP(I323,错误mRNA总表!D:I,6,FALSE)</f>
        <v>#N/A</v>
      </c>
    </row>
    <row r="324" spans="1:13" x14ac:dyDescent="0.2">
      <c r="A324" s="12" t="s">
        <v>4193</v>
      </c>
      <c r="B324" s="12" t="s">
        <v>3973</v>
      </c>
      <c r="C324" s="12">
        <v>145209113</v>
      </c>
      <c r="D324" s="12">
        <v>145284171</v>
      </c>
      <c r="E324" s="12" t="s">
        <v>3940</v>
      </c>
      <c r="F324" s="12">
        <v>6</v>
      </c>
      <c r="G324" s="41" t="s">
        <v>139</v>
      </c>
      <c r="H324" s="12" t="s">
        <v>3496</v>
      </c>
      <c r="I324" s="41" t="s">
        <v>6800</v>
      </c>
      <c r="M324" s="41" t="e">
        <f>VLOOKUP(I324,错误mRNA总表!D:I,6,FALSE)</f>
        <v>#N/A</v>
      </c>
    </row>
    <row r="325" spans="1:13" x14ac:dyDescent="0.2">
      <c r="A325" s="12" t="s">
        <v>4194</v>
      </c>
      <c r="B325" s="12" t="s">
        <v>3984</v>
      </c>
      <c r="C325" s="12">
        <v>928077</v>
      </c>
      <c r="D325" s="12">
        <v>943429</v>
      </c>
      <c r="E325" s="12" t="s">
        <v>3943</v>
      </c>
      <c r="F325" s="12">
        <v>4</v>
      </c>
      <c r="G325" s="12" t="s">
        <v>3984</v>
      </c>
      <c r="H325" s="12" t="s">
        <v>3526</v>
      </c>
      <c r="I325" s="41" t="s">
        <v>6801</v>
      </c>
      <c r="M325" s="41" t="e">
        <f>VLOOKUP(I325,错误mRNA总表!D:I,6,FALSE)</f>
        <v>#N/A</v>
      </c>
    </row>
    <row r="326" spans="1:13" x14ac:dyDescent="0.2">
      <c r="A326" s="12" t="s">
        <v>4195</v>
      </c>
      <c r="B326" s="12" t="s">
        <v>3962</v>
      </c>
      <c r="C326" s="12">
        <v>62329995</v>
      </c>
      <c r="D326" s="12">
        <v>62331335</v>
      </c>
      <c r="E326" s="12" t="s">
        <v>3940</v>
      </c>
      <c r="F326" s="12">
        <v>1</v>
      </c>
      <c r="G326" s="41" t="s">
        <v>53</v>
      </c>
      <c r="H326" s="12" t="s">
        <v>6385</v>
      </c>
      <c r="I326" s="41" t="s">
        <v>6802</v>
      </c>
      <c r="M326" s="41" t="e">
        <f>VLOOKUP(I326,错误mRNA总表!D:I,6,FALSE)</f>
        <v>#N/A</v>
      </c>
    </row>
    <row r="327" spans="1:13" x14ac:dyDescent="0.2">
      <c r="A327" s="12" t="s">
        <v>4196</v>
      </c>
      <c r="B327" s="12" t="s">
        <v>3986</v>
      </c>
      <c r="C327" s="12">
        <v>45010211</v>
      </c>
      <c r="D327" s="12">
        <v>45016990</v>
      </c>
      <c r="E327" s="12" t="s">
        <v>3943</v>
      </c>
      <c r="F327" s="12">
        <v>1</v>
      </c>
      <c r="G327" s="41" t="s">
        <v>50</v>
      </c>
      <c r="H327" s="12" t="s">
        <v>57</v>
      </c>
      <c r="I327" s="41" t="s">
        <v>2084</v>
      </c>
      <c r="J327" s="41" t="s">
        <v>2084</v>
      </c>
      <c r="K327" s="41" t="str">
        <f>VLOOKUP(J327,错误mRNA总表!D:J,7,FALSE)</f>
        <v>纠后正确</v>
      </c>
      <c r="L327" s="41" t="s">
        <v>3763</v>
      </c>
      <c r="M327" s="41">
        <f>VLOOKUP(I327,错误mRNA总表!D:I,6,FALSE)</f>
        <v>0</v>
      </c>
    </row>
    <row r="328" spans="1:13" x14ac:dyDescent="0.2">
      <c r="A328" s="12" t="s">
        <v>4197</v>
      </c>
      <c r="B328" s="12" t="s">
        <v>4115</v>
      </c>
      <c r="C328" s="12">
        <v>65576955</v>
      </c>
      <c r="D328" s="12">
        <v>65577125</v>
      </c>
      <c r="E328" s="12" t="s">
        <v>3940</v>
      </c>
      <c r="F328" s="12">
        <v>154</v>
      </c>
      <c r="G328" s="41" t="s">
        <v>33</v>
      </c>
      <c r="H328" s="12" t="s">
        <v>5825</v>
      </c>
      <c r="I328" s="41" t="s">
        <v>6803</v>
      </c>
      <c r="M328" s="41" t="e">
        <f>VLOOKUP(I328,错误mRNA总表!D:I,6,FALSE)</f>
        <v>#N/A</v>
      </c>
    </row>
    <row r="329" spans="1:13" x14ac:dyDescent="0.2">
      <c r="A329" s="12" t="s">
        <v>4197</v>
      </c>
      <c r="B329" s="12" t="s">
        <v>4115</v>
      </c>
      <c r="C329" s="12">
        <v>65576955</v>
      </c>
      <c r="D329" s="12">
        <v>65576985</v>
      </c>
      <c r="E329" s="12" t="s">
        <v>3940</v>
      </c>
      <c r="F329" s="12">
        <v>12</v>
      </c>
      <c r="G329" s="41" t="s">
        <v>33</v>
      </c>
      <c r="H329" s="12" t="s">
        <v>5825</v>
      </c>
      <c r="I329" s="41" t="s">
        <v>6803</v>
      </c>
      <c r="M329" s="41" t="e">
        <f>VLOOKUP(I329,错误mRNA总表!D:I,6,FALSE)</f>
        <v>#N/A</v>
      </c>
    </row>
    <row r="330" spans="1:13" x14ac:dyDescent="0.2">
      <c r="A330" s="12" t="s">
        <v>4197</v>
      </c>
      <c r="B330" s="12" t="s">
        <v>4115</v>
      </c>
      <c r="C330" s="12">
        <v>65576955</v>
      </c>
      <c r="D330" s="12">
        <v>65578697</v>
      </c>
      <c r="E330" s="12" t="s">
        <v>3940</v>
      </c>
      <c r="F330" s="12">
        <v>398</v>
      </c>
      <c r="G330" s="41" t="s">
        <v>33</v>
      </c>
      <c r="H330" s="12" t="s">
        <v>5825</v>
      </c>
      <c r="I330" s="41" t="s">
        <v>6803</v>
      </c>
      <c r="M330" s="41" t="e">
        <f>VLOOKUP(I330,错误mRNA总表!D:I,6,FALSE)</f>
        <v>#N/A</v>
      </c>
    </row>
    <row r="331" spans="1:13" x14ac:dyDescent="0.2">
      <c r="A331" s="12" t="s">
        <v>4197</v>
      </c>
      <c r="B331" s="12" t="s">
        <v>4115</v>
      </c>
      <c r="C331" s="12">
        <v>65576955</v>
      </c>
      <c r="D331" s="12">
        <v>65578689</v>
      </c>
      <c r="E331" s="12" t="s">
        <v>3943</v>
      </c>
      <c r="F331" s="12">
        <v>3</v>
      </c>
      <c r="G331" s="41" t="s">
        <v>33</v>
      </c>
      <c r="H331" s="12" t="s">
        <v>5825</v>
      </c>
      <c r="I331" s="41" t="s">
        <v>6803</v>
      </c>
      <c r="M331" s="41" t="e">
        <f>VLOOKUP(I331,错误mRNA总表!D:I,6,FALSE)</f>
        <v>#N/A</v>
      </c>
    </row>
    <row r="332" spans="1:13" x14ac:dyDescent="0.2">
      <c r="A332" s="12" t="s">
        <v>4197</v>
      </c>
      <c r="B332" s="12" t="s">
        <v>4115</v>
      </c>
      <c r="C332" s="12">
        <v>65576955</v>
      </c>
      <c r="D332" s="12">
        <v>65582215</v>
      </c>
      <c r="E332" s="12" t="s">
        <v>3940</v>
      </c>
      <c r="F332" s="12">
        <v>978</v>
      </c>
      <c r="G332" s="41" t="s">
        <v>33</v>
      </c>
      <c r="H332" s="12" t="s">
        <v>5825</v>
      </c>
      <c r="I332" s="41" t="s">
        <v>6803</v>
      </c>
      <c r="M332" s="41" t="e">
        <f>VLOOKUP(I332,错误mRNA总表!D:I,6,FALSE)</f>
        <v>#N/A</v>
      </c>
    </row>
    <row r="333" spans="1:13" x14ac:dyDescent="0.2">
      <c r="A333" s="12" t="s">
        <v>4198</v>
      </c>
      <c r="B333" s="12" t="s">
        <v>4199</v>
      </c>
      <c r="C333" s="12">
        <v>40090</v>
      </c>
      <c r="D333" s="12">
        <v>59903</v>
      </c>
      <c r="E333" s="12" t="s">
        <v>3940</v>
      </c>
      <c r="F333" s="12">
        <v>915</v>
      </c>
      <c r="G333" s="12" t="s">
        <v>4199</v>
      </c>
      <c r="H333" s="12" t="s">
        <v>3467</v>
      </c>
      <c r="I333" s="41" t="s">
        <v>6804</v>
      </c>
      <c r="M333" s="41" t="e">
        <f>VLOOKUP(I333,错误mRNA总表!D:I,6,FALSE)</f>
        <v>#N/A</v>
      </c>
    </row>
    <row r="334" spans="1:13" x14ac:dyDescent="0.2">
      <c r="A334" s="12" t="s">
        <v>4198</v>
      </c>
      <c r="B334" s="12" t="s">
        <v>4199</v>
      </c>
      <c r="C334" s="12">
        <v>40090</v>
      </c>
      <c r="D334" s="12">
        <v>59894</v>
      </c>
      <c r="E334" s="12" t="s">
        <v>3940</v>
      </c>
      <c r="F334" s="12">
        <v>1</v>
      </c>
      <c r="G334" s="12" t="s">
        <v>4199</v>
      </c>
      <c r="H334" s="12" t="s">
        <v>3467</v>
      </c>
      <c r="I334" s="41" t="s">
        <v>6804</v>
      </c>
      <c r="M334" s="41" t="e">
        <f>VLOOKUP(I334,错误mRNA总表!D:I,6,FALSE)</f>
        <v>#N/A</v>
      </c>
    </row>
    <row r="335" spans="1:13" x14ac:dyDescent="0.2">
      <c r="A335" s="12" t="s">
        <v>4198</v>
      </c>
      <c r="B335" s="12" t="s">
        <v>4199</v>
      </c>
      <c r="C335" s="12">
        <v>40090</v>
      </c>
      <c r="D335" s="12">
        <v>59074</v>
      </c>
      <c r="E335" s="12" t="s">
        <v>3940</v>
      </c>
      <c r="F335" s="12">
        <v>22</v>
      </c>
      <c r="G335" s="12" t="s">
        <v>4199</v>
      </c>
      <c r="H335" s="12" t="s">
        <v>3467</v>
      </c>
      <c r="I335" s="41" t="s">
        <v>6804</v>
      </c>
      <c r="M335" s="41" t="e">
        <f>VLOOKUP(I335,错误mRNA总表!D:I,6,FALSE)</f>
        <v>#N/A</v>
      </c>
    </row>
    <row r="336" spans="1:13" x14ac:dyDescent="0.2">
      <c r="A336" s="12" t="s">
        <v>4198</v>
      </c>
      <c r="B336" s="12" t="s">
        <v>4199</v>
      </c>
      <c r="C336" s="12">
        <v>40090</v>
      </c>
      <c r="D336" s="12">
        <v>53232</v>
      </c>
      <c r="E336" s="12" t="s">
        <v>3940</v>
      </c>
      <c r="F336" s="12">
        <v>347</v>
      </c>
      <c r="G336" s="12" t="s">
        <v>4199</v>
      </c>
      <c r="H336" s="12" t="s">
        <v>3467</v>
      </c>
      <c r="I336" s="41" t="s">
        <v>6804</v>
      </c>
      <c r="M336" s="41" t="e">
        <f>VLOOKUP(I336,错误mRNA总表!D:I,6,FALSE)</f>
        <v>#N/A</v>
      </c>
    </row>
    <row r="337" spans="1:13" x14ac:dyDescent="0.2">
      <c r="A337" s="12" t="s">
        <v>4198</v>
      </c>
      <c r="B337" s="12" t="s">
        <v>4199</v>
      </c>
      <c r="C337" s="12">
        <v>40090</v>
      </c>
      <c r="D337" s="12">
        <v>44957</v>
      </c>
      <c r="E337" s="12" t="s">
        <v>3940</v>
      </c>
      <c r="F337" s="12">
        <v>581</v>
      </c>
      <c r="G337" s="12" t="s">
        <v>4199</v>
      </c>
      <c r="H337" s="12" t="s">
        <v>3467</v>
      </c>
      <c r="I337" s="41" t="s">
        <v>6804</v>
      </c>
      <c r="M337" s="41" t="e">
        <f>VLOOKUP(I337,错误mRNA总表!D:I,6,FALSE)</f>
        <v>#N/A</v>
      </c>
    </row>
    <row r="338" spans="1:13" x14ac:dyDescent="0.2">
      <c r="A338" s="12" t="s">
        <v>4198</v>
      </c>
      <c r="B338" s="12" t="s">
        <v>4199</v>
      </c>
      <c r="C338" s="12">
        <v>40090</v>
      </c>
      <c r="D338" s="12">
        <v>53220</v>
      </c>
      <c r="E338" s="12" t="s">
        <v>3940</v>
      </c>
      <c r="F338" s="12">
        <v>2</v>
      </c>
      <c r="G338" s="12" t="s">
        <v>4199</v>
      </c>
      <c r="H338" s="12" t="s">
        <v>3467</v>
      </c>
      <c r="I338" s="41" t="s">
        <v>6804</v>
      </c>
      <c r="M338" s="41" t="e">
        <f>VLOOKUP(I338,错误mRNA总表!D:I,6,FALSE)</f>
        <v>#N/A</v>
      </c>
    </row>
    <row r="339" spans="1:13" x14ac:dyDescent="0.2">
      <c r="A339" s="12" t="s">
        <v>4198</v>
      </c>
      <c r="B339" s="12" t="s">
        <v>4199</v>
      </c>
      <c r="C339" s="12">
        <v>40090</v>
      </c>
      <c r="D339" s="12">
        <v>40127</v>
      </c>
      <c r="E339" s="12" t="s">
        <v>3940</v>
      </c>
      <c r="F339" s="12">
        <v>59</v>
      </c>
      <c r="G339" s="12" t="s">
        <v>4199</v>
      </c>
      <c r="H339" s="12" t="s">
        <v>3467</v>
      </c>
      <c r="I339" s="41" t="s">
        <v>6804</v>
      </c>
      <c r="M339" s="41" t="e">
        <f>VLOOKUP(I339,错误mRNA总表!D:I,6,FALSE)</f>
        <v>#N/A</v>
      </c>
    </row>
    <row r="340" spans="1:13" x14ac:dyDescent="0.2">
      <c r="A340" s="12" t="s">
        <v>4198</v>
      </c>
      <c r="B340" s="12" t="s">
        <v>4199</v>
      </c>
      <c r="C340" s="12">
        <v>40090</v>
      </c>
      <c r="D340" s="12">
        <v>44939</v>
      </c>
      <c r="E340" s="12" t="s">
        <v>3943</v>
      </c>
      <c r="F340" s="12">
        <v>1</v>
      </c>
      <c r="G340" s="12" t="s">
        <v>4199</v>
      </c>
      <c r="H340" s="12" t="s">
        <v>3467</v>
      </c>
      <c r="I340" s="41" t="s">
        <v>6804</v>
      </c>
      <c r="M340" s="41" t="e">
        <f>VLOOKUP(I340,错误mRNA总表!D:I,6,FALSE)</f>
        <v>#N/A</v>
      </c>
    </row>
    <row r="341" spans="1:13" x14ac:dyDescent="0.2">
      <c r="A341" s="12" t="s">
        <v>4198</v>
      </c>
      <c r="B341" s="12" t="s">
        <v>4199</v>
      </c>
      <c r="C341" s="12">
        <v>40090</v>
      </c>
      <c r="D341" s="12">
        <v>40104</v>
      </c>
      <c r="E341" s="12" t="s">
        <v>3940</v>
      </c>
      <c r="F341" s="12">
        <v>2</v>
      </c>
      <c r="G341" s="12" t="s">
        <v>4199</v>
      </c>
      <c r="H341" s="12" t="s">
        <v>3467</v>
      </c>
      <c r="I341" s="41" t="s">
        <v>6804</v>
      </c>
      <c r="M341" s="41" t="e">
        <f>VLOOKUP(I341,错误mRNA总表!D:I,6,FALSE)</f>
        <v>#N/A</v>
      </c>
    </row>
    <row r="342" spans="1:13" x14ac:dyDescent="0.2">
      <c r="A342" s="12" t="s">
        <v>4198</v>
      </c>
      <c r="B342" s="12" t="s">
        <v>4199</v>
      </c>
      <c r="C342" s="12">
        <v>40090</v>
      </c>
      <c r="D342" s="12">
        <v>40117</v>
      </c>
      <c r="E342" s="12" t="s">
        <v>3943</v>
      </c>
      <c r="F342" s="12">
        <v>1</v>
      </c>
      <c r="G342" s="12" t="s">
        <v>4199</v>
      </c>
      <c r="H342" s="12" t="s">
        <v>3467</v>
      </c>
      <c r="I342" s="41" t="s">
        <v>6804</v>
      </c>
      <c r="M342" s="41" t="e">
        <f>VLOOKUP(I342,错误mRNA总表!D:I,6,FALSE)</f>
        <v>#N/A</v>
      </c>
    </row>
    <row r="343" spans="1:13" x14ac:dyDescent="0.2">
      <c r="A343" s="12" t="s">
        <v>4200</v>
      </c>
      <c r="B343" s="12" t="s">
        <v>3964</v>
      </c>
      <c r="C343" s="12">
        <v>3961832</v>
      </c>
      <c r="D343" s="12">
        <v>3962406</v>
      </c>
      <c r="E343" s="12" t="s">
        <v>3943</v>
      </c>
      <c r="F343" s="12">
        <v>1</v>
      </c>
      <c r="G343" s="12" t="s">
        <v>3964</v>
      </c>
      <c r="H343" s="12" t="s">
        <v>5826</v>
      </c>
      <c r="I343" s="41" t="s">
        <v>6805</v>
      </c>
      <c r="M343" s="41" t="e">
        <f>VLOOKUP(I343,错误mRNA总表!D:I,6,FALSE)</f>
        <v>#N/A</v>
      </c>
    </row>
    <row r="344" spans="1:13" x14ac:dyDescent="0.2">
      <c r="A344" s="12" t="s">
        <v>4201</v>
      </c>
      <c r="B344" s="12" t="s">
        <v>4045</v>
      </c>
      <c r="C344" s="12">
        <v>434303</v>
      </c>
      <c r="D344" s="12">
        <v>448236</v>
      </c>
      <c r="E344" s="12" t="s">
        <v>3940</v>
      </c>
      <c r="F344" s="12">
        <v>2</v>
      </c>
      <c r="G344" s="12" t="s">
        <v>4045</v>
      </c>
      <c r="H344" s="12" t="s">
        <v>3476</v>
      </c>
      <c r="I344" s="41" t="s">
        <v>6806</v>
      </c>
      <c r="M344" s="41" t="e">
        <f>VLOOKUP(I344,错误mRNA总表!D:I,6,FALSE)</f>
        <v>#N/A</v>
      </c>
    </row>
    <row r="345" spans="1:13" x14ac:dyDescent="0.2">
      <c r="A345" s="12" t="s">
        <v>4201</v>
      </c>
      <c r="B345" s="12" t="s">
        <v>4045</v>
      </c>
      <c r="C345" s="12">
        <v>434303</v>
      </c>
      <c r="D345" s="12">
        <v>448668</v>
      </c>
      <c r="E345" s="12" t="s">
        <v>3943</v>
      </c>
      <c r="F345" s="12">
        <v>3</v>
      </c>
      <c r="G345" s="12" t="s">
        <v>4045</v>
      </c>
      <c r="H345" s="12" t="s">
        <v>3476</v>
      </c>
      <c r="I345" s="41" t="s">
        <v>6806</v>
      </c>
      <c r="M345" s="41" t="e">
        <f>VLOOKUP(I345,错误mRNA总表!D:I,6,FALSE)</f>
        <v>#N/A</v>
      </c>
    </row>
    <row r="346" spans="1:13" x14ac:dyDescent="0.2">
      <c r="A346" s="12" t="s">
        <v>4201</v>
      </c>
      <c r="B346" s="12" t="s">
        <v>4045</v>
      </c>
      <c r="C346" s="12">
        <v>434303</v>
      </c>
      <c r="D346" s="12">
        <v>448699</v>
      </c>
      <c r="E346" s="12" t="s">
        <v>3943</v>
      </c>
      <c r="F346" s="12">
        <v>1</v>
      </c>
      <c r="G346" s="12" t="s">
        <v>4045</v>
      </c>
      <c r="H346" s="12" t="s">
        <v>3476</v>
      </c>
      <c r="I346" s="41" t="s">
        <v>6806</v>
      </c>
      <c r="M346" s="41" t="e">
        <f>VLOOKUP(I346,错误mRNA总表!D:I,6,FALSE)</f>
        <v>#N/A</v>
      </c>
    </row>
    <row r="347" spans="1:13" x14ac:dyDescent="0.2">
      <c r="A347" s="12" t="s">
        <v>4201</v>
      </c>
      <c r="B347" s="12" t="s">
        <v>4045</v>
      </c>
      <c r="C347" s="12">
        <v>434303</v>
      </c>
      <c r="D347" s="12">
        <v>460338</v>
      </c>
      <c r="E347" s="12" t="s">
        <v>3943</v>
      </c>
      <c r="F347" s="12">
        <v>4</v>
      </c>
      <c r="G347" s="12" t="s">
        <v>4045</v>
      </c>
      <c r="H347" s="12" t="s">
        <v>3476</v>
      </c>
      <c r="I347" s="41" t="s">
        <v>6806</v>
      </c>
      <c r="M347" s="41" t="e">
        <f>VLOOKUP(I347,错误mRNA总表!D:I,6,FALSE)</f>
        <v>#N/A</v>
      </c>
    </row>
    <row r="348" spans="1:13" x14ac:dyDescent="0.2">
      <c r="A348" s="12" t="s">
        <v>4202</v>
      </c>
      <c r="B348" s="12" t="s">
        <v>3960</v>
      </c>
      <c r="C348" s="12">
        <v>165232</v>
      </c>
      <c r="D348" s="12">
        <v>169309</v>
      </c>
      <c r="E348" s="12" t="s">
        <v>3943</v>
      </c>
      <c r="F348" s="12">
        <v>3</v>
      </c>
      <c r="G348" s="12" t="s">
        <v>3960</v>
      </c>
      <c r="H348" s="12" t="s">
        <v>5827</v>
      </c>
      <c r="I348" s="41" t="s">
        <v>6807</v>
      </c>
      <c r="M348" s="41" t="e">
        <f>VLOOKUP(I348,错误mRNA总表!D:I,6,FALSE)</f>
        <v>#N/A</v>
      </c>
    </row>
    <row r="349" spans="1:13" x14ac:dyDescent="0.2">
      <c r="A349" s="12" t="s">
        <v>4134</v>
      </c>
      <c r="B349" s="12" t="s">
        <v>3964</v>
      </c>
      <c r="C349" s="12">
        <v>927947</v>
      </c>
      <c r="D349" s="12">
        <v>943295</v>
      </c>
      <c r="E349" s="12" t="s">
        <v>3940</v>
      </c>
      <c r="F349" s="12">
        <v>4</v>
      </c>
      <c r="G349" s="12" t="s">
        <v>3964</v>
      </c>
      <c r="H349" s="12" t="s">
        <v>3524</v>
      </c>
      <c r="I349" s="41" t="s">
        <v>6808</v>
      </c>
      <c r="M349" s="41" t="e">
        <f>VLOOKUP(I349,错误mRNA总表!D:I,6,FALSE)</f>
        <v>#N/A</v>
      </c>
    </row>
    <row r="350" spans="1:13" x14ac:dyDescent="0.2">
      <c r="A350" s="12" t="s">
        <v>4203</v>
      </c>
      <c r="B350" s="12" t="s">
        <v>3939</v>
      </c>
      <c r="C350" s="12">
        <v>148622519</v>
      </c>
      <c r="D350" s="12">
        <v>148629238</v>
      </c>
      <c r="E350" s="12" t="s">
        <v>3940</v>
      </c>
      <c r="F350" s="12">
        <v>1</v>
      </c>
      <c r="G350" s="41" t="s">
        <v>73</v>
      </c>
      <c r="H350" s="12" t="s">
        <v>5828</v>
      </c>
      <c r="I350" s="41" t="s">
        <v>6809</v>
      </c>
      <c r="M350" s="41" t="e">
        <f>VLOOKUP(I350,错误mRNA总表!D:I,6,FALSE)</f>
        <v>#N/A</v>
      </c>
    </row>
    <row r="351" spans="1:13" x14ac:dyDescent="0.2">
      <c r="A351" s="12" t="s">
        <v>4204</v>
      </c>
      <c r="B351" s="12" t="s">
        <v>3978</v>
      </c>
      <c r="C351" s="12">
        <v>13974553</v>
      </c>
      <c r="D351" s="12">
        <v>13977202</v>
      </c>
      <c r="E351" s="12" t="s">
        <v>3943</v>
      </c>
      <c r="F351" s="12">
        <v>1</v>
      </c>
      <c r="G351" s="41" t="s">
        <v>86</v>
      </c>
      <c r="H351" s="12" t="s">
        <v>6386</v>
      </c>
      <c r="I351" s="41" t="s">
        <v>6810</v>
      </c>
      <c r="M351" s="41" t="e">
        <f>VLOOKUP(I351,错误mRNA总表!D:I,6,FALSE)</f>
        <v>#N/A</v>
      </c>
    </row>
    <row r="352" spans="1:13" x14ac:dyDescent="0.2">
      <c r="A352" s="12" t="s">
        <v>4204</v>
      </c>
      <c r="B352" s="12" t="s">
        <v>3978</v>
      </c>
      <c r="C352" s="12">
        <v>13974553</v>
      </c>
      <c r="D352" s="12">
        <v>13977408</v>
      </c>
      <c r="E352" s="12" t="s">
        <v>3943</v>
      </c>
      <c r="F352" s="12">
        <v>1</v>
      </c>
      <c r="G352" s="41" t="s">
        <v>86</v>
      </c>
      <c r="H352" s="12" t="s">
        <v>6386</v>
      </c>
      <c r="I352" s="41" t="s">
        <v>6810</v>
      </c>
      <c r="M352" s="41" t="e">
        <f>VLOOKUP(I352,错误mRNA总表!D:I,6,FALSE)</f>
        <v>#N/A</v>
      </c>
    </row>
    <row r="353" spans="1:13" x14ac:dyDescent="0.2">
      <c r="A353" s="12" t="s">
        <v>4204</v>
      </c>
      <c r="B353" s="12" t="s">
        <v>3978</v>
      </c>
      <c r="C353" s="12">
        <v>13974553</v>
      </c>
      <c r="D353" s="12">
        <v>13977528</v>
      </c>
      <c r="E353" s="12" t="s">
        <v>3943</v>
      </c>
      <c r="F353" s="12">
        <v>1</v>
      </c>
      <c r="G353" s="41" t="s">
        <v>86</v>
      </c>
      <c r="H353" s="12" t="s">
        <v>6386</v>
      </c>
      <c r="I353" s="41" t="s">
        <v>6810</v>
      </c>
      <c r="M353" s="41" t="e">
        <f>VLOOKUP(I353,错误mRNA总表!D:I,6,FALSE)</f>
        <v>#N/A</v>
      </c>
    </row>
    <row r="354" spans="1:13" x14ac:dyDescent="0.2">
      <c r="A354" s="12" t="s">
        <v>4205</v>
      </c>
      <c r="B354" s="12" t="s">
        <v>3942</v>
      </c>
      <c r="C354" s="12">
        <v>102455952</v>
      </c>
      <c r="D354" s="12">
        <v>102512571</v>
      </c>
      <c r="E354" s="12" t="s">
        <v>3940</v>
      </c>
      <c r="F354" s="12">
        <v>1</v>
      </c>
      <c r="G354" s="41" t="s">
        <v>186</v>
      </c>
      <c r="H354" s="12" t="s">
        <v>3415</v>
      </c>
      <c r="I354" s="41" t="s">
        <v>6811</v>
      </c>
      <c r="M354" s="41" t="e">
        <f>VLOOKUP(I354,错误mRNA总表!D:I,6,FALSE)</f>
        <v>#N/A</v>
      </c>
    </row>
    <row r="355" spans="1:13" x14ac:dyDescent="0.2">
      <c r="A355" s="12" t="s">
        <v>4206</v>
      </c>
      <c r="B355" s="12" t="s">
        <v>3996</v>
      </c>
      <c r="C355" s="12">
        <v>3591246</v>
      </c>
      <c r="D355" s="12">
        <v>3591358</v>
      </c>
      <c r="E355" s="12" t="s">
        <v>3943</v>
      </c>
      <c r="F355" s="12">
        <v>1</v>
      </c>
      <c r="G355" s="12" t="s">
        <v>3996</v>
      </c>
      <c r="H355" s="12" t="s">
        <v>5829</v>
      </c>
      <c r="I355" s="41" t="s">
        <v>6812</v>
      </c>
      <c r="M355" s="41" t="e">
        <f>VLOOKUP(I355,错误mRNA总表!D:I,6,FALSE)</f>
        <v>#N/A</v>
      </c>
    </row>
    <row r="356" spans="1:13" x14ac:dyDescent="0.2">
      <c r="A356" s="12" t="s">
        <v>4207</v>
      </c>
      <c r="B356" s="12" t="s">
        <v>3973</v>
      </c>
      <c r="C356" s="12">
        <v>13328196</v>
      </c>
      <c r="D356" s="12">
        <v>13331697</v>
      </c>
      <c r="E356" s="12" t="s">
        <v>3943</v>
      </c>
      <c r="F356" s="12">
        <v>2</v>
      </c>
      <c r="G356" s="41" t="s">
        <v>139</v>
      </c>
      <c r="H356" s="12" t="s">
        <v>6387</v>
      </c>
      <c r="I356" s="41" t="s">
        <v>6813</v>
      </c>
      <c r="M356" s="41" t="e">
        <f>VLOOKUP(I356,错误mRNA总表!D:I,6,FALSE)</f>
        <v>#N/A</v>
      </c>
    </row>
    <row r="357" spans="1:13" x14ac:dyDescent="0.2">
      <c r="A357" s="12" t="s">
        <v>4208</v>
      </c>
      <c r="B357" s="12" t="s">
        <v>3962</v>
      </c>
      <c r="C357" s="12">
        <v>21106624</v>
      </c>
      <c r="D357" s="12">
        <v>21186163</v>
      </c>
      <c r="E357" s="12" t="s">
        <v>3940</v>
      </c>
      <c r="F357" s="12">
        <v>1</v>
      </c>
      <c r="G357" s="41" t="s">
        <v>53</v>
      </c>
      <c r="H357" s="12" t="s">
        <v>129</v>
      </c>
      <c r="I357" s="41" t="s">
        <v>2124</v>
      </c>
      <c r="J357" s="41" t="s">
        <v>2124</v>
      </c>
      <c r="K357" s="41" t="str">
        <f>VLOOKUP(J357,错误mRNA总表!D:J,7,FALSE)</f>
        <v>纠后正确</v>
      </c>
      <c r="L357" s="41" t="s">
        <v>3763</v>
      </c>
      <c r="M357" s="41">
        <f>VLOOKUP(I357,错误mRNA总表!D:I,6,FALSE)</f>
        <v>0</v>
      </c>
    </row>
    <row r="358" spans="1:13" x14ac:dyDescent="0.2">
      <c r="A358" s="12" t="s">
        <v>4209</v>
      </c>
      <c r="B358" s="12" t="s">
        <v>3942</v>
      </c>
      <c r="C358" s="12">
        <v>175810940</v>
      </c>
      <c r="D358" s="12">
        <v>175811094</v>
      </c>
      <c r="E358" s="12" t="s">
        <v>3940</v>
      </c>
      <c r="F358" s="12">
        <v>2</v>
      </c>
      <c r="G358" s="41" t="s">
        <v>186</v>
      </c>
      <c r="H358" s="12" t="s">
        <v>6621</v>
      </c>
      <c r="I358" s="41" t="s">
        <v>6814</v>
      </c>
      <c r="M358" s="41" t="e">
        <f>VLOOKUP(I358,错误mRNA总表!D:I,6,FALSE)</f>
        <v>#N/A</v>
      </c>
    </row>
    <row r="359" spans="1:13" x14ac:dyDescent="0.2">
      <c r="A359" s="12" t="s">
        <v>4210</v>
      </c>
      <c r="B359" s="12" t="s">
        <v>3986</v>
      </c>
      <c r="C359" s="12">
        <v>15726029</v>
      </c>
      <c r="D359" s="12">
        <v>15730498</v>
      </c>
      <c r="E359" s="12" t="s">
        <v>3940</v>
      </c>
      <c r="F359" s="12">
        <v>1</v>
      </c>
      <c r="G359" s="41" t="s">
        <v>50</v>
      </c>
      <c r="H359" s="12" t="s">
        <v>66</v>
      </c>
      <c r="I359" s="41" t="s">
        <v>2090</v>
      </c>
      <c r="J359" s="41" t="s">
        <v>2090</v>
      </c>
      <c r="K359" s="41" t="str">
        <f>VLOOKUP(J359,错误mRNA总表!D:J,7,FALSE)</f>
        <v>纠后正确</v>
      </c>
      <c r="L359" s="41" t="s">
        <v>3763</v>
      </c>
      <c r="M359" s="41">
        <f>VLOOKUP(I359,错误mRNA总表!D:I,6,FALSE)</f>
        <v>0</v>
      </c>
    </row>
    <row r="360" spans="1:13" x14ac:dyDescent="0.2">
      <c r="A360" s="12" t="s">
        <v>4211</v>
      </c>
      <c r="B360" s="12" t="s">
        <v>4052</v>
      </c>
      <c r="C360" s="12">
        <v>89623195</v>
      </c>
      <c r="D360" s="12">
        <v>89623860</v>
      </c>
      <c r="E360" s="12" t="s">
        <v>3943</v>
      </c>
      <c r="F360" s="12">
        <v>1</v>
      </c>
      <c r="G360" s="41" t="s">
        <v>93</v>
      </c>
      <c r="H360" s="12" t="s">
        <v>5830</v>
      </c>
      <c r="I360" s="41" t="s">
        <v>6815</v>
      </c>
      <c r="M360" s="41" t="e">
        <f>VLOOKUP(I360,错误mRNA总表!D:I,6,FALSE)</f>
        <v>#N/A</v>
      </c>
    </row>
    <row r="361" spans="1:13" x14ac:dyDescent="0.2">
      <c r="A361" s="12" t="s">
        <v>4212</v>
      </c>
      <c r="B361" s="12" t="s">
        <v>3996</v>
      </c>
      <c r="C361" s="12">
        <v>3693660</v>
      </c>
      <c r="D361" s="12">
        <v>3693697</v>
      </c>
      <c r="E361" s="12" t="s">
        <v>3940</v>
      </c>
      <c r="F361" s="12">
        <v>6</v>
      </c>
      <c r="G361" s="12" t="s">
        <v>3996</v>
      </c>
      <c r="H361" s="12" t="s">
        <v>5831</v>
      </c>
      <c r="I361" s="41" t="s">
        <v>6816</v>
      </c>
      <c r="M361" s="41" t="e">
        <f>VLOOKUP(I361,错误mRNA总表!D:I,6,FALSE)</f>
        <v>#N/A</v>
      </c>
    </row>
    <row r="362" spans="1:13" x14ac:dyDescent="0.2">
      <c r="A362" s="12" t="s">
        <v>4213</v>
      </c>
      <c r="B362" s="12" t="s">
        <v>4098</v>
      </c>
      <c r="C362" s="12">
        <v>191396</v>
      </c>
      <c r="D362" s="12">
        <v>191591</v>
      </c>
      <c r="E362" s="12" t="s">
        <v>3940</v>
      </c>
      <c r="F362" s="12">
        <v>309</v>
      </c>
      <c r="G362" s="12" t="s">
        <v>4098</v>
      </c>
      <c r="H362" s="12" t="s">
        <v>6388</v>
      </c>
      <c r="I362" s="41" t="s">
        <v>6817</v>
      </c>
      <c r="M362" s="41" t="e">
        <f>VLOOKUP(I362,错误mRNA总表!D:I,6,FALSE)</f>
        <v>#N/A</v>
      </c>
    </row>
    <row r="363" spans="1:13" x14ac:dyDescent="0.2">
      <c r="A363" s="12" t="s">
        <v>4213</v>
      </c>
      <c r="B363" s="12" t="s">
        <v>4098</v>
      </c>
      <c r="C363" s="12">
        <v>191396</v>
      </c>
      <c r="D363" s="12">
        <v>191458</v>
      </c>
      <c r="E363" s="12" t="s">
        <v>3943</v>
      </c>
      <c r="F363" s="12">
        <v>1</v>
      </c>
      <c r="G363" s="12" t="s">
        <v>4098</v>
      </c>
      <c r="H363" s="12" t="s">
        <v>6388</v>
      </c>
      <c r="I363" s="41" t="s">
        <v>6817</v>
      </c>
      <c r="M363" s="41" t="e">
        <f>VLOOKUP(I363,错误mRNA总表!D:I,6,FALSE)</f>
        <v>#N/A</v>
      </c>
    </row>
    <row r="364" spans="1:13" x14ac:dyDescent="0.2">
      <c r="A364" s="12" t="s">
        <v>4213</v>
      </c>
      <c r="B364" s="12" t="s">
        <v>4098</v>
      </c>
      <c r="C364" s="12">
        <v>191396</v>
      </c>
      <c r="D364" s="12">
        <v>191530</v>
      </c>
      <c r="E364" s="12" t="s">
        <v>3943</v>
      </c>
      <c r="F364" s="12">
        <v>1</v>
      </c>
      <c r="G364" s="12" t="s">
        <v>4098</v>
      </c>
      <c r="H364" s="12" t="s">
        <v>6388</v>
      </c>
      <c r="I364" s="41" t="s">
        <v>6817</v>
      </c>
      <c r="M364" s="41" t="e">
        <f>VLOOKUP(I364,错误mRNA总表!D:I,6,FALSE)</f>
        <v>#N/A</v>
      </c>
    </row>
    <row r="365" spans="1:13" x14ac:dyDescent="0.2">
      <c r="A365" s="12" t="s">
        <v>4214</v>
      </c>
      <c r="B365" s="12" t="s">
        <v>4069</v>
      </c>
      <c r="C365" s="12">
        <v>9334765</v>
      </c>
      <c r="D365" s="12">
        <v>9400304</v>
      </c>
      <c r="E365" s="12" t="s">
        <v>3940</v>
      </c>
      <c r="F365" s="12">
        <v>1</v>
      </c>
      <c r="G365" s="41" t="s">
        <v>179</v>
      </c>
      <c r="H365" s="12" t="s">
        <v>6603</v>
      </c>
      <c r="I365" s="41" t="s">
        <v>6818</v>
      </c>
      <c r="M365" s="41" t="e">
        <f>VLOOKUP(I365,错误mRNA总表!D:I,6,FALSE)</f>
        <v>#N/A</v>
      </c>
    </row>
    <row r="366" spans="1:13" x14ac:dyDescent="0.2">
      <c r="A366" s="12" t="s">
        <v>4215</v>
      </c>
      <c r="B366" s="12" t="s">
        <v>3939</v>
      </c>
      <c r="C366" s="12">
        <v>48830131</v>
      </c>
      <c r="D366" s="12">
        <v>48830307</v>
      </c>
      <c r="E366" s="12" t="s">
        <v>3943</v>
      </c>
      <c r="F366" s="12">
        <v>1</v>
      </c>
      <c r="G366" s="41" t="s">
        <v>73</v>
      </c>
      <c r="H366" s="12" t="s">
        <v>3680</v>
      </c>
      <c r="I366" s="41" t="s">
        <v>6819</v>
      </c>
      <c r="M366" s="41" t="e">
        <f>VLOOKUP(I366,错误mRNA总表!D:I,6,FALSE)</f>
        <v>#N/A</v>
      </c>
    </row>
    <row r="367" spans="1:13" x14ac:dyDescent="0.2">
      <c r="A367" s="12" t="s">
        <v>4216</v>
      </c>
      <c r="B367" s="12" t="s">
        <v>4001</v>
      </c>
      <c r="C367" s="12">
        <v>873547</v>
      </c>
      <c r="D367" s="12">
        <v>904213</v>
      </c>
      <c r="E367" s="12" t="s">
        <v>3940</v>
      </c>
      <c r="F367" s="12">
        <v>1</v>
      </c>
      <c r="G367" s="12" t="s">
        <v>4001</v>
      </c>
      <c r="H367" s="12" t="s">
        <v>3521</v>
      </c>
      <c r="I367" s="41" t="s">
        <v>6820</v>
      </c>
      <c r="M367" s="41" t="e">
        <f>VLOOKUP(I367,错误mRNA总表!D:I,6,FALSE)</f>
        <v>#N/A</v>
      </c>
    </row>
    <row r="368" spans="1:13" x14ac:dyDescent="0.2">
      <c r="A368" s="12" t="s">
        <v>4217</v>
      </c>
      <c r="B368" s="12" t="s">
        <v>4182</v>
      </c>
      <c r="C368" s="12">
        <v>15815</v>
      </c>
      <c r="D368" s="12">
        <v>15843</v>
      </c>
      <c r="E368" s="12" t="s">
        <v>3940</v>
      </c>
      <c r="F368" s="12">
        <v>172</v>
      </c>
      <c r="G368" s="12" t="s">
        <v>4182</v>
      </c>
      <c r="H368" s="12" t="s">
        <v>3460</v>
      </c>
      <c r="I368" s="41" t="s">
        <v>6821</v>
      </c>
      <c r="M368" s="41" t="e">
        <f>VLOOKUP(I368,错误mRNA总表!D:I,6,FALSE)</f>
        <v>#N/A</v>
      </c>
    </row>
    <row r="369" spans="1:13" x14ac:dyDescent="0.2">
      <c r="A369" s="12" t="s">
        <v>4217</v>
      </c>
      <c r="B369" s="12" t="s">
        <v>4182</v>
      </c>
      <c r="C369" s="12">
        <v>15815</v>
      </c>
      <c r="D369" s="12">
        <v>15821</v>
      </c>
      <c r="E369" s="12" t="s">
        <v>3940</v>
      </c>
      <c r="F369" s="12">
        <v>3</v>
      </c>
      <c r="G369" s="12" t="s">
        <v>4182</v>
      </c>
      <c r="H369" s="12" t="s">
        <v>3460</v>
      </c>
      <c r="I369" s="41" t="s">
        <v>6821</v>
      </c>
      <c r="M369" s="41" t="e">
        <f>VLOOKUP(I369,错误mRNA总表!D:I,6,FALSE)</f>
        <v>#N/A</v>
      </c>
    </row>
    <row r="370" spans="1:13" x14ac:dyDescent="0.2">
      <c r="A370" s="12" t="s">
        <v>4218</v>
      </c>
      <c r="B370" s="12" t="s">
        <v>3996</v>
      </c>
      <c r="C370" s="12">
        <v>3240359</v>
      </c>
      <c r="D370" s="12">
        <v>3242133</v>
      </c>
      <c r="E370" s="12" t="s">
        <v>3943</v>
      </c>
      <c r="F370" s="12">
        <v>1</v>
      </c>
      <c r="G370" s="12" t="s">
        <v>3996</v>
      </c>
      <c r="H370" s="12" t="s">
        <v>3572</v>
      </c>
      <c r="I370" s="41" t="s">
        <v>6822</v>
      </c>
      <c r="M370" s="41" t="e">
        <f>VLOOKUP(I370,错误mRNA总表!D:I,6,FALSE)</f>
        <v>#N/A</v>
      </c>
    </row>
    <row r="371" spans="1:13" x14ac:dyDescent="0.2">
      <c r="A371" s="12" t="s">
        <v>4036</v>
      </c>
      <c r="B371" s="12" t="s">
        <v>3984</v>
      </c>
      <c r="C371" s="12">
        <v>2267156</v>
      </c>
      <c r="D371" s="12">
        <v>2291043</v>
      </c>
      <c r="E371" s="12" t="s">
        <v>3940</v>
      </c>
      <c r="F371" s="12">
        <v>30</v>
      </c>
      <c r="G371" s="12" t="s">
        <v>3984</v>
      </c>
      <c r="H371" s="12" t="s">
        <v>5789</v>
      </c>
      <c r="I371" s="41" t="s">
        <v>6823</v>
      </c>
      <c r="M371" s="41" t="e">
        <f>VLOOKUP(I371,错误mRNA总表!D:I,6,FALSE)</f>
        <v>#N/A</v>
      </c>
    </row>
    <row r="372" spans="1:13" x14ac:dyDescent="0.2">
      <c r="A372" s="12" t="s">
        <v>4219</v>
      </c>
      <c r="B372" s="12" t="s">
        <v>3978</v>
      </c>
      <c r="C372" s="12">
        <v>195241218</v>
      </c>
      <c r="D372" s="12">
        <v>195241806</v>
      </c>
      <c r="E372" s="12" t="s">
        <v>3943</v>
      </c>
      <c r="F372" s="12">
        <v>1</v>
      </c>
      <c r="G372" s="41" t="s">
        <v>86</v>
      </c>
      <c r="H372" s="12" t="s">
        <v>5832</v>
      </c>
      <c r="I372" s="41" t="s">
        <v>6824</v>
      </c>
      <c r="M372" s="41" t="e">
        <f>VLOOKUP(I372,错误mRNA总表!D:I,6,FALSE)</f>
        <v>#N/A</v>
      </c>
    </row>
    <row r="373" spans="1:13" x14ac:dyDescent="0.2">
      <c r="A373" s="12" t="s">
        <v>4219</v>
      </c>
      <c r="B373" s="12" t="s">
        <v>3978</v>
      </c>
      <c r="C373" s="12">
        <v>195241218</v>
      </c>
      <c r="D373" s="12">
        <v>195243006</v>
      </c>
      <c r="E373" s="12" t="s">
        <v>3943</v>
      </c>
      <c r="F373" s="12">
        <v>1</v>
      </c>
      <c r="G373" s="41" t="s">
        <v>86</v>
      </c>
      <c r="H373" s="12" t="s">
        <v>5832</v>
      </c>
      <c r="I373" s="41" t="s">
        <v>6824</v>
      </c>
      <c r="M373" s="41" t="e">
        <f>VLOOKUP(I373,错误mRNA总表!D:I,6,FALSE)</f>
        <v>#N/A</v>
      </c>
    </row>
    <row r="374" spans="1:13" x14ac:dyDescent="0.2">
      <c r="A374" s="12" t="s">
        <v>4220</v>
      </c>
      <c r="B374" s="12" t="s">
        <v>4185</v>
      </c>
      <c r="C374" s="12">
        <v>411511</v>
      </c>
      <c r="D374" s="12">
        <v>413267</v>
      </c>
      <c r="E374" s="12" t="s">
        <v>3940</v>
      </c>
      <c r="F374" s="12">
        <v>1</v>
      </c>
      <c r="G374" s="12" t="s">
        <v>4185</v>
      </c>
      <c r="H374" s="12" t="s">
        <v>3673</v>
      </c>
      <c r="I374" s="41" t="s">
        <v>6825</v>
      </c>
      <c r="M374" s="41" t="e">
        <f>VLOOKUP(I374,错误mRNA总表!D:I,6,FALSE)</f>
        <v>#N/A</v>
      </c>
    </row>
    <row r="375" spans="1:13" x14ac:dyDescent="0.2">
      <c r="A375" s="12" t="s">
        <v>4220</v>
      </c>
      <c r="B375" s="12" t="s">
        <v>4185</v>
      </c>
      <c r="C375" s="12">
        <v>411511</v>
      </c>
      <c r="D375" s="12">
        <v>415294</v>
      </c>
      <c r="E375" s="12" t="s">
        <v>3943</v>
      </c>
      <c r="F375" s="12">
        <v>1</v>
      </c>
      <c r="G375" s="12" t="s">
        <v>4185</v>
      </c>
      <c r="H375" s="12" t="s">
        <v>3673</v>
      </c>
      <c r="I375" s="41" t="s">
        <v>6825</v>
      </c>
      <c r="M375" s="41" t="e">
        <f>VLOOKUP(I375,错误mRNA总表!D:I,6,FALSE)</f>
        <v>#N/A</v>
      </c>
    </row>
    <row r="376" spans="1:13" x14ac:dyDescent="0.2">
      <c r="A376" s="12" t="s">
        <v>4220</v>
      </c>
      <c r="B376" s="12" t="s">
        <v>4185</v>
      </c>
      <c r="C376" s="12">
        <v>411511</v>
      </c>
      <c r="D376" s="12">
        <v>416812</v>
      </c>
      <c r="E376" s="12" t="s">
        <v>3940</v>
      </c>
      <c r="F376" s="12">
        <v>11</v>
      </c>
      <c r="G376" s="12" t="s">
        <v>4185</v>
      </c>
      <c r="H376" s="12" t="s">
        <v>3673</v>
      </c>
      <c r="I376" s="41" t="s">
        <v>6825</v>
      </c>
      <c r="M376" s="41" t="e">
        <f>VLOOKUP(I376,错误mRNA总表!D:I,6,FALSE)</f>
        <v>#N/A</v>
      </c>
    </row>
    <row r="377" spans="1:13" x14ac:dyDescent="0.2">
      <c r="A377" s="12" t="s">
        <v>4221</v>
      </c>
      <c r="B377" s="12" t="s">
        <v>3984</v>
      </c>
      <c r="C377" s="12">
        <v>928077</v>
      </c>
      <c r="D377" s="12">
        <v>943429</v>
      </c>
      <c r="E377" s="12" t="s">
        <v>3943</v>
      </c>
      <c r="F377" s="12">
        <v>4</v>
      </c>
      <c r="G377" s="12" t="s">
        <v>3984</v>
      </c>
      <c r="H377" s="12" t="s">
        <v>3527</v>
      </c>
      <c r="I377" s="41" t="s">
        <v>6826</v>
      </c>
      <c r="M377" s="41" t="e">
        <f>VLOOKUP(I377,错误mRNA总表!D:I,6,FALSE)</f>
        <v>#N/A</v>
      </c>
    </row>
    <row r="378" spans="1:13" x14ac:dyDescent="0.2">
      <c r="A378" s="12" t="s">
        <v>4222</v>
      </c>
      <c r="B378" s="12" t="s">
        <v>3957</v>
      </c>
      <c r="C378" s="12">
        <v>67758571</v>
      </c>
      <c r="D378" s="12">
        <v>67765163</v>
      </c>
      <c r="E378" s="12" t="s">
        <v>3940</v>
      </c>
      <c r="F378" s="12">
        <v>1</v>
      </c>
      <c r="G378" s="41" t="s">
        <v>36</v>
      </c>
      <c r="H378" s="12" t="s">
        <v>228</v>
      </c>
      <c r="I378" s="41" t="s">
        <v>6827</v>
      </c>
      <c r="J378" s="41" t="s">
        <v>2204</v>
      </c>
      <c r="K378" s="41" t="str">
        <f>VLOOKUP(J378,错误mRNA总表!D:J,7,FALSE)</f>
        <v>纠后正确</v>
      </c>
      <c r="M378" s="41" t="e">
        <f>VLOOKUP(I378,错误mRNA总表!D:I,6,FALSE)</f>
        <v>#N/A</v>
      </c>
    </row>
    <row r="379" spans="1:13" x14ac:dyDescent="0.2">
      <c r="A379" s="12" t="s">
        <v>4223</v>
      </c>
      <c r="B379" s="12" t="s">
        <v>3939</v>
      </c>
      <c r="C379" s="12">
        <v>152853383</v>
      </c>
      <c r="D379" s="12">
        <v>152864477</v>
      </c>
      <c r="E379" s="12" t="s">
        <v>3940</v>
      </c>
      <c r="F379" s="12">
        <v>1</v>
      </c>
      <c r="G379" s="41" t="s">
        <v>73</v>
      </c>
      <c r="H379" s="12" t="s">
        <v>74</v>
      </c>
      <c r="I379" s="41" t="s">
        <v>2094</v>
      </c>
      <c r="J379" s="41" t="s">
        <v>2094</v>
      </c>
      <c r="K379" s="41" t="str">
        <f>VLOOKUP(J379,错误mRNA总表!D:J,7,FALSE)</f>
        <v>纠后正确</v>
      </c>
      <c r="L379" s="41" t="s">
        <v>3763</v>
      </c>
      <c r="M379" s="41">
        <f>VLOOKUP(I379,错误mRNA总表!D:I,6,FALSE)</f>
        <v>0</v>
      </c>
    </row>
    <row r="380" spans="1:13" x14ac:dyDescent="0.2">
      <c r="A380" s="12" t="s">
        <v>4223</v>
      </c>
      <c r="B380" s="12" t="s">
        <v>3939</v>
      </c>
      <c r="C380" s="12">
        <v>152853383</v>
      </c>
      <c r="D380" s="12">
        <v>152864513</v>
      </c>
      <c r="E380" s="12" t="s">
        <v>3940</v>
      </c>
      <c r="F380" s="12">
        <v>1</v>
      </c>
      <c r="G380" s="41" t="s">
        <v>73</v>
      </c>
      <c r="H380" s="12" t="s">
        <v>74</v>
      </c>
      <c r="I380" s="41" t="s">
        <v>2094</v>
      </c>
      <c r="J380" s="41" t="s">
        <v>2094</v>
      </c>
      <c r="K380" s="41" t="str">
        <f>VLOOKUP(J380,错误mRNA总表!D:J,7,FALSE)</f>
        <v>纠后正确</v>
      </c>
      <c r="L380" s="41" t="s">
        <v>3763</v>
      </c>
      <c r="M380" s="41">
        <f>VLOOKUP(I380,错误mRNA总表!D:I,6,FALSE)</f>
        <v>0</v>
      </c>
    </row>
    <row r="381" spans="1:13" x14ac:dyDescent="0.2">
      <c r="A381" s="12" t="s">
        <v>4223</v>
      </c>
      <c r="B381" s="12" t="s">
        <v>3939</v>
      </c>
      <c r="C381" s="12">
        <v>152853383</v>
      </c>
      <c r="D381" s="12">
        <v>152864609</v>
      </c>
      <c r="E381" s="12" t="s">
        <v>3940</v>
      </c>
      <c r="F381" s="12">
        <v>1</v>
      </c>
      <c r="G381" s="41" t="s">
        <v>73</v>
      </c>
      <c r="H381" s="12" t="s">
        <v>74</v>
      </c>
      <c r="I381" s="41" t="s">
        <v>2094</v>
      </c>
      <c r="J381" s="41" t="s">
        <v>2094</v>
      </c>
      <c r="K381" s="41" t="str">
        <f>VLOOKUP(J381,错误mRNA总表!D:J,7,FALSE)</f>
        <v>纠后正确</v>
      </c>
      <c r="L381" s="41" t="s">
        <v>3763</v>
      </c>
      <c r="M381" s="41">
        <f>VLOOKUP(I381,错误mRNA总表!D:I,6,FALSE)</f>
        <v>0</v>
      </c>
    </row>
    <row r="382" spans="1:13" x14ac:dyDescent="0.2">
      <c r="A382" s="12" t="s">
        <v>4224</v>
      </c>
      <c r="B382" s="12" t="s">
        <v>3996</v>
      </c>
      <c r="C382" s="12">
        <v>2922078</v>
      </c>
      <c r="D382" s="12">
        <v>2926008</v>
      </c>
      <c r="E382" s="12" t="s">
        <v>3940</v>
      </c>
      <c r="F382" s="12">
        <v>1</v>
      </c>
      <c r="H382" s="12" t="s">
        <v>5833</v>
      </c>
      <c r="I382" s="41" t="s">
        <v>6828</v>
      </c>
      <c r="M382" s="41" t="e">
        <f>VLOOKUP(I382,错误mRNA总表!D:I,6,FALSE)</f>
        <v>#N/A</v>
      </c>
    </row>
    <row r="383" spans="1:13" x14ac:dyDescent="0.2">
      <c r="A383" s="12" t="s">
        <v>4224</v>
      </c>
      <c r="B383" s="12" t="s">
        <v>3996</v>
      </c>
      <c r="C383" s="12">
        <v>2922078</v>
      </c>
      <c r="D383" s="12">
        <v>2926682</v>
      </c>
      <c r="E383" s="12" t="s">
        <v>3940</v>
      </c>
      <c r="F383" s="12">
        <v>5</v>
      </c>
      <c r="H383" s="12" t="s">
        <v>5833</v>
      </c>
      <c r="I383" s="41" t="s">
        <v>6828</v>
      </c>
      <c r="M383" s="41" t="e">
        <f>VLOOKUP(I383,错误mRNA总表!D:I,6,FALSE)</f>
        <v>#N/A</v>
      </c>
    </row>
    <row r="384" spans="1:13" x14ac:dyDescent="0.2">
      <c r="A384" s="12" t="s">
        <v>4224</v>
      </c>
      <c r="B384" s="12" t="s">
        <v>3996</v>
      </c>
      <c r="C384" s="12">
        <v>2922078</v>
      </c>
      <c r="D384" s="12">
        <v>2926993</v>
      </c>
      <c r="E384" s="12" t="s">
        <v>3943</v>
      </c>
      <c r="F384" s="12">
        <v>3</v>
      </c>
      <c r="H384" s="12" t="s">
        <v>5833</v>
      </c>
      <c r="I384" s="41" t="s">
        <v>6828</v>
      </c>
      <c r="M384" s="41" t="e">
        <f>VLOOKUP(I384,错误mRNA总表!D:I,6,FALSE)</f>
        <v>#N/A</v>
      </c>
    </row>
    <row r="385" spans="1:13" x14ac:dyDescent="0.2">
      <c r="A385" s="12" t="s">
        <v>4225</v>
      </c>
      <c r="B385" s="12" t="s">
        <v>4042</v>
      </c>
      <c r="C385" s="12">
        <v>82763613</v>
      </c>
      <c r="D385" s="12">
        <v>82764724</v>
      </c>
      <c r="E385" s="12" t="s">
        <v>3943</v>
      </c>
      <c r="F385" s="12">
        <v>5</v>
      </c>
      <c r="G385" s="41" t="s">
        <v>113</v>
      </c>
      <c r="H385" s="12" t="s">
        <v>6389</v>
      </c>
      <c r="I385" s="41" t="s">
        <v>6829</v>
      </c>
      <c r="M385" s="41" t="e">
        <f>VLOOKUP(I385,错误mRNA总表!D:I,6,FALSE)</f>
        <v>#N/A</v>
      </c>
    </row>
    <row r="386" spans="1:13" x14ac:dyDescent="0.2">
      <c r="A386" s="12" t="s">
        <v>4226</v>
      </c>
      <c r="B386" s="12" t="s">
        <v>3948</v>
      </c>
      <c r="C386" s="12">
        <v>74298092</v>
      </c>
      <c r="D386" s="12">
        <v>74306708</v>
      </c>
      <c r="E386" s="12" t="s">
        <v>3940</v>
      </c>
      <c r="F386" s="12">
        <v>2</v>
      </c>
      <c r="G386" s="41" t="s">
        <v>40</v>
      </c>
      <c r="H386" s="12" t="s">
        <v>6390</v>
      </c>
      <c r="I386" s="41" t="s">
        <v>6830</v>
      </c>
      <c r="M386" s="41" t="e">
        <f>VLOOKUP(I386,错误mRNA总表!D:I,6,FALSE)</f>
        <v>#N/A</v>
      </c>
    </row>
    <row r="387" spans="1:13" x14ac:dyDescent="0.2">
      <c r="A387" s="12" t="s">
        <v>4226</v>
      </c>
      <c r="B387" s="12" t="s">
        <v>3948</v>
      </c>
      <c r="C387" s="12">
        <v>74298092</v>
      </c>
      <c r="D387" s="12">
        <v>74300556</v>
      </c>
      <c r="E387" s="12" t="s">
        <v>3943</v>
      </c>
      <c r="F387" s="12">
        <v>8</v>
      </c>
      <c r="G387" s="41" t="s">
        <v>40</v>
      </c>
      <c r="H387" s="12" t="s">
        <v>6390</v>
      </c>
      <c r="I387" s="41" t="s">
        <v>6830</v>
      </c>
      <c r="M387" s="41" t="e">
        <f>VLOOKUP(I387,错误mRNA总表!D:I,6,FALSE)</f>
        <v>#N/A</v>
      </c>
    </row>
    <row r="388" spans="1:13" x14ac:dyDescent="0.2">
      <c r="A388" s="12" t="s">
        <v>4226</v>
      </c>
      <c r="B388" s="12" t="s">
        <v>3948</v>
      </c>
      <c r="C388" s="12">
        <v>74298092</v>
      </c>
      <c r="D388" s="12">
        <v>74298343</v>
      </c>
      <c r="E388" s="12" t="s">
        <v>3943</v>
      </c>
      <c r="F388" s="12">
        <v>4</v>
      </c>
      <c r="G388" s="41" t="s">
        <v>40</v>
      </c>
      <c r="H388" s="12" t="s">
        <v>6390</v>
      </c>
      <c r="I388" s="41" t="s">
        <v>6830</v>
      </c>
      <c r="M388" s="41" t="e">
        <f>VLOOKUP(I388,错误mRNA总表!D:I,6,FALSE)</f>
        <v>#N/A</v>
      </c>
    </row>
    <row r="389" spans="1:13" x14ac:dyDescent="0.2">
      <c r="A389" s="12" t="s">
        <v>4227</v>
      </c>
      <c r="B389" s="12" t="s">
        <v>4052</v>
      </c>
      <c r="C389" s="12">
        <v>97890037</v>
      </c>
      <c r="D389" s="12">
        <v>97920100</v>
      </c>
      <c r="E389" s="12" t="s">
        <v>3940</v>
      </c>
      <c r="F389" s="12">
        <v>1</v>
      </c>
      <c r="G389" s="41" t="s">
        <v>93</v>
      </c>
      <c r="H389" s="12" t="s">
        <v>5834</v>
      </c>
      <c r="I389" s="41" t="s">
        <v>6831</v>
      </c>
      <c r="M389" s="41" t="e">
        <f>VLOOKUP(I389,错误mRNA总表!D:I,6,FALSE)</f>
        <v>#N/A</v>
      </c>
    </row>
    <row r="390" spans="1:13" x14ac:dyDescent="0.2">
      <c r="A390" s="12" t="s">
        <v>4228</v>
      </c>
      <c r="B390" s="12" t="s">
        <v>3957</v>
      </c>
      <c r="C390" s="12">
        <v>46638826</v>
      </c>
      <c r="D390" s="12">
        <v>46694313</v>
      </c>
      <c r="E390" s="12" t="s">
        <v>3943</v>
      </c>
      <c r="F390" s="12">
        <v>2</v>
      </c>
      <c r="G390" s="41" t="s">
        <v>36</v>
      </c>
      <c r="H390" s="12" t="s">
        <v>5835</v>
      </c>
      <c r="I390" s="41" t="s">
        <v>6832</v>
      </c>
      <c r="M390" s="41" t="e">
        <f>VLOOKUP(I390,错误mRNA总表!D:I,6,FALSE)</f>
        <v>#N/A</v>
      </c>
    </row>
    <row r="391" spans="1:13" x14ac:dyDescent="0.2">
      <c r="A391" s="12" t="s">
        <v>4229</v>
      </c>
      <c r="B391" s="12" t="s">
        <v>3989</v>
      </c>
      <c r="C391" s="12">
        <v>3038543</v>
      </c>
      <c r="D391" s="12">
        <v>3039908</v>
      </c>
      <c r="E391" s="12" t="s">
        <v>3940</v>
      </c>
      <c r="F391" s="12">
        <v>223</v>
      </c>
      <c r="H391" s="12" t="s">
        <v>3427</v>
      </c>
      <c r="I391" s="41" t="s">
        <v>6833</v>
      </c>
      <c r="M391" s="41" t="e">
        <f>VLOOKUP(I391,错误mRNA总表!D:I,6,FALSE)</f>
        <v>#N/A</v>
      </c>
    </row>
    <row r="392" spans="1:13" x14ac:dyDescent="0.2">
      <c r="A392" s="12" t="s">
        <v>4229</v>
      </c>
      <c r="B392" s="12" t="s">
        <v>3989</v>
      </c>
      <c r="C392" s="12">
        <v>3038543</v>
      </c>
      <c r="D392" s="12">
        <v>3039896</v>
      </c>
      <c r="E392" s="12" t="s">
        <v>3943</v>
      </c>
      <c r="F392" s="12">
        <v>3</v>
      </c>
      <c r="H392" s="12" t="s">
        <v>3427</v>
      </c>
      <c r="I392" s="41" t="s">
        <v>6833</v>
      </c>
      <c r="M392" s="41" t="e">
        <f>VLOOKUP(I392,错误mRNA总表!D:I,6,FALSE)</f>
        <v>#N/A</v>
      </c>
    </row>
    <row r="393" spans="1:13" x14ac:dyDescent="0.2">
      <c r="A393" s="12" t="s">
        <v>4229</v>
      </c>
      <c r="B393" s="12" t="s">
        <v>3989</v>
      </c>
      <c r="C393" s="12">
        <v>3038543</v>
      </c>
      <c r="D393" s="12">
        <v>3039904</v>
      </c>
      <c r="E393" s="12" t="s">
        <v>3940</v>
      </c>
      <c r="F393" s="12">
        <v>3</v>
      </c>
      <c r="H393" s="12" t="s">
        <v>3427</v>
      </c>
      <c r="I393" s="41" t="s">
        <v>6833</v>
      </c>
      <c r="M393" s="41" t="e">
        <f>VLOOKUP(I393,错误mRNA总表!D:I,6,FALSE)</f>
        <v>#N/A</v>
      </c>
    </row>
    <row r="394" spans="1:13" x14ac:dyDescent="0.2">
      <c r="A394" s="12" t="s">
        <v>4229</v>
      </c>
      <c r="B394" s="12" t="s">
        <v>3989</v>
      </c>
      <c r="C394" s="12">
        <v>3038543</v>
      </c>
      <c r="D394" s="12">
        <v>3055309</v>
      </c>
      <c r="E394" s="12" t="s">
        <v>3940</v>
      </c>
      <c r="F394" s="12">
        <v>467</v>
      </c>
      <c r="H394" s="12" t="s">
        <v>3427</v>
      </c>
      <c r="I394" s="41" t="s">
        <v>6833</v>
      </c>
      <c r="M394" s="41" t="e">
        <f>VLOOKUP(I394,错误mRNA总表!D:I,6,FALSE)</f>
        <v>#N/A</v>
      </c>
    </row>
    <row r="395" spans="1:13" x14ac:dyDescent="0.2">
      <c r="A395" s="12" t="s">
        <v>4230</v>
      </c>
      <c r="B395" s="12" t="s">
        <v>3973</v>
      </c>
      <c r="C395" s="12">
        <v>206516197</v>
      </c>
      <c r="D395" s="12">
        <v>206635270</v>
      </c>
      <c r="E395" s="12" t="s">
        <v>3940</v>
      </c>
      <c r="F395" s="12">
        <v>4</v>
      </c>
      <c r="G395" s="41" t="s">
        <v>139</v>
      </c>
      <c r="H395" s="12" t="s">
        <v>219</v>
      </c>
      <c r="I395" s="41" t="s">
        <v>3310</v>
      </c>
      <c r="J395" s="41" t="s">
        <v>3310</v>
      </c>
      <c r="K395" s="41" t="str">
        <f>VLOOKUP(J395,错误mRNA总表!D:J,7,FALSE)</f>
        <v/>
      </c>
      <c r="L395" s="41" t="s">
        <v>3866</v>
      </c>
      <c r="M395" s="41">
        <f>VLOOKUP(I395,错误mRNA总表!D:I,6,FALSE)</f>
        <v>0</v>
      </c>
    </row>
    <row r="396" spans="1:13" x14ac:dyDescent="0.2">
      <c r="A396" s="12" t="s">
        <v>4230</v>
      </c>
      <c r="B396" s="12" t="s">
        <v>3973</v>
      </c>
      <c r="C396" s="12">
        <v>206516197</v>
      </c>
      <c r="D396" s="12">
        <v>206636501</v>
      </c>
      <c r="E396" s="12" t="s">
        <v>3940</v>
      </c>
      <c r="F396" s="12">
        <v>1</v>
      </c>
      <c r="G396" s="41" t="s">
        <v>139</v>
      </c>
      <c r="H396" s="12" t="s">
        <v>219</v>
      </c>
      <c r="I396" s="41" t="s">
        <v>3310</v>
      </c>
      <c r="J396" s="41" t="s">
        <v>3310</v>
      </c>
      <c r="K396" s="41" t="str">
        <f>VLOOKUP(J396,错误mRNA总表!D:J,7,FALSE)</f>
        <v/>
      </c>
      <c r="L396" s="41" t="s">
        <v>3866</v>
      </c>
      <c r="M396" s="41">
        <f>VLOOKUP(I396,错误mRNA总表!D:I,6,FALSE)</f>
        <v>0</v>
      </c>
    </row>
    <row r="397" spans="1:13" x14ac:dyDescent="0.2">
      <c r="A397" s="12" t="s">
        <v>4231</v>
      </c>
      <c r="B397" s="12" t="s">
        <v>3948</v>
      </c>
      <c r="C397" s="12">
        <v>130417382</v>
      </c>
      <c r="D397" s="12">
        <v>130417497</v>
      </c>
      <c r="E397" s="12" t="s">
        <v>3940</v>
      </c>
      <c r="F397" s="12">
        <v>1</v>
      </c>
      <c r="G397" s="41" t="s">
        <v>40</v>
      </c>
      <c r="H397" s="12" t="s">
        <v>3596</v>
      </c>
      <c r="I397" s="41" t="s">
        <v>6834</v>
      </c>
      <c r="M397" s="41" t="e">
        <f>VLOOKUP(I397,错误mRNA总表!D:I,6,FALSE)</f>
        <v>#N/A</v>
      </c>
    </row>
    <row r="398" spans="1:13" x14ac:dyDescent="0.2">
      <c r="A398" s="12" t="s">
        <v>4232</v>
      </c>
      <c r="B398" s="12" t="s">
        <v>3996</v>
      </c>
      <c r="C398" s="12">
        <v>3633298</v>
      </c>
      <c r="D398" s="12">
        <v>3662328</v>
      </c>
      <c r="E398" s="12" t="s">
        <v>3943</v>
      </c>
      <c r="F398" s="12">
        <v>6</v>
      </c>
      <c r="H398" s="12" t="s">
        <v>5836</v>
      </c>
      <c r="I398" s="41" t="s">
        <v>6835</v>
      </c>
      <c r="M398" s="41" t="e">
        <f>VLOOKUP(I398,错误mRNA总表!D:I,6,FALSE)</f>
        <v>#N/A</v>
      </c>
    </row>
    <row r="399" spans="1:13" x14ac:dyDescent="0.2">
      <c r="A399" s="12" t="s">
        <v>4233</v>
      </c>
      <c r="B399" s="12" t="s">
        <v>3978</v>
      </c>
      <c r="C399" s="12">
        <v>44754135</v>
      </c>
      <c r="D399" s="12">
        <v>44765016</v>
      </c>
      <c r="E399" s="12" t="s">
        <v>3940</v>
      </c>
      <c r="F399" s="12">
        <v>1</v>
      </c>
      <c r="G399" s="41" t="s">
        <v>86</v>
      </c>
      <c r="H399" s="12" t="s">
        <v>6568</v>
      </c>
      <c r="I399" s="41" t="s">
        <v>6836</v>
      </c>
      <c r="M399" s="41" t="e">
        <f>VLOOKUP(I399,错误mRNA总表!D:I,6,FALSE)</f>
        <v>#N/A</v>
      </c>
    </row>
    <row r="400" spans="1:13" x14ac:dyDescent="0.2">
      <c r="A400" s="12" t="s">
        <v>4147</v>
      </c>
      <c r="B400" s="12" t="s">
        <v>3964</v>
      </c>
      <c r="C400" s="12">
        <v>1361742</v>
      </c>
      <c r="D400" s="12">
        <v>1363141</v>
      </c>
      <c r="E400" s="12" t="s">
        <v>3943</v>
      </c>
      <c r="F400" s="12">
        <v>19</v>
      </c>
      <c r="H400" s="12" t="s">
        <v>5814</v>
      </c>
      <c r="I400" s="41" t="s">
        <v>6837</v>
      </c>
      <c r="M400" s="41" t="e">
        <f>VLOOKUP(I400,错误mRNA总表!D:I,6,FALSE)</f>
        <v>#N/A</v>
      </c>
    </row>
    <row r="401" spans="1:13" x14ac:dyDescent="0.2">
      <c r="A401" s="12" t="s">
        <v>4234</v>
      </c>
      <c r="B401" s="12" t="s">
        <v>4124</v>
      </c>
      <c r="C401" s="12">
        <v>55774428</v>
      </c>
      <c r="D401" s="12">
        <v>55844616</v>
      </c>
      <c r="E401" s="12" t="s">
        <v>3940</v>
      </c>
      <c r="F401" s="12">
        <v>1</v>
      </c>
      <c r="G401" s="41" t="s">
        <v>1</v>
      </c>
      <c r="H401" s="12" t="s">
        <v>6501</v>
      </c>
      <c r="I401" s="41" t="s">
        <v>6838</v>
      </c>
      <c r="M401" s="41" t="e">
        <f>VLOOKUP(I401,错误mRNA总表!D:I,6,FALSE)</f>
        <v>#N/A</v>
      </c>
    </row>
    <row r="402" spans="1:13" x14ac:dyDescent="0.2">
      <c r="A402" s="12" t="s">
        <v>4235</v>
      </c>
      <c r="B402" s="12" t="s">
        <v>4012</v>
      </c>
      <c r="C402" s="12">
        <v>76311115</v>
      </c>
      <c r="D402" s="12">
        <v>76311603</v>
      </c>
      <c r="E402" s="12" t="s">
        <v>3940</v>
      </c>
      <c r="F402" s="12">
        <v>1</v>
      </c>
      <c r="G402" s="41" t="s">
        <v>121</v>
      </c>
      <c r="H402" s="12" t="s">
        <v>5837</v>
      </c>
      <c r="I402" s="41" t="s">
        <v>6839</v>
      </c>
      <c r="M402" s="41" t="e">
        <f>VLOOKUP(I402,错误mRNA总表!D:I,6,FALSE)</f>
        <v>#N/A</v>
      </c>
    </row>
    <row r="403" spans="1:13" x14ac:dyDescent="0.2">
      <c r="A403" s="12" t="s">
        <v>4236</v>
      </c>
      <c r="B403" s="12" t="s">
        <v>3986</v>
      </c>
      <c r="C403" s="12">
        <v>2328629</v>
      </c>
      <c r="D403" s="12">
        <v>2340156</v>
      </c>
      <c r="E403" s="12" t="s">
        <v>3940</v>
      </c>
      <c r="F403" s="12">
        <v>1</v>
      </c>
      <c r="G403" s="41" t="s">
        <v>50</v>
      </c>
      <c r="H403" s="12" t="s">
        <v>158</v>
      </c>
      <c r="I403" s="41" t="s">
        <v>2142</v>
      </c>
      <c r="J403" s="41" t="s">
        <v>2142</v>
      </c>
      <c r="K403" s="41" t="str">
        <f>VLOOKUP(J403,错误mRNA总表!D:J,7,FALSE)</f>
        <v>纠后正确</v>
      </c>
      <c r="L403" s="41" t="s">
        <v>3763</v>
      </c>
      <c r="M403" s="41">
        <f>VLOOKUP(I403,错误mRNA总表!D:I,6,FALSE)</f>
        <v>0</v>
      </c>
    </row>
    <row r="404" spans="1:13" x14ac:dyDescent="0.2">
      <c r="A404" s="12" t="s">
        <v>4237</v>
      </c>
      <c r="B404" s="12" t="s">
        <v>3978</v>
      </c>
      <c r="C404" s="12">
        <v>195241218</v>
      </c>
      <c r="D404" s="12">
        <v>195241806</v>
      </c>
      <c r="E404" s="12" t="s">
        <v>3943</v>
      </c>
      <c r="F404" s="12">
        <v>1</v>
      </c>
      <c r="G404" s="41" t="s">
        <v>86</v>
      </c>
      <c r="H404" s="12" t="s">
        <v>5838</v>
      </c>
      <c r="I404" s="41" t="s">
        <v>6840</v>
      </c>
      <c r="M404" s="41" t="e">
        <f>VLOOKUP(I404,错误mRNA总表!D:I,6,FALSE)</f>
        <v>#N/A</v>
      </c>
    </row>
    <row r="405" spans="1:13" x14ac:dyDescent="0.2">
      <c r="A405" s="12" t="s">
        <v>4237</v>
      </c>
      <c r="B405" s="12" t="s">
        <v>3978</v>
      </c>
      <c r="C405" s="12">
        <v>195241218</v>
      </c>
      <c r="D405" s="12">
        <v>195243006</v>
      </c>
      <c r="E405" s="12" t="s">
        <v>3943</v>
      </c>
      <c r="F405" s="12">
        <v>1</v>
      </c>
      <c r="G405" s="41" t="s">
        <v>86</v>
      </c>
      <c r="H405" s="12" t="s">
        <v>5838</v>
      </c>
      <c r="I405" s="41" t="s">
        <v>6840</v>
      </c>
      <c r="M405" s="41" t="e">
        <f>VLOOKUP(I405,错误mRNA总表!D:I,6,FALSE)</f>
        <v>#N/A</v>
      </c>
    </row>
    <row r="406" spans="1:13" x14ac:dyDescent="0.2">
      <c r="A406" s="12" t="s">
        <v>4238</v>
      </c>
      <c r="B406" s="12" t="s">
        <v>3989</v>
      </c>
      <c r="C406" s="12">
        <v>4224129</v>
      </c>
      <c r="D406" s="12">
        <v>4226445</v>
      </c>
      <c r="E406" s="12" t="s">
        <v>3940</v>
      </c>
      <c r="F406" s="12">
        <v>177</v>
      </c>
      <c r="H406" s="12" t="s">
        <v>5839</v>
      </c>
      <c r="I406" s="41" t="s">
        <v>6841</v>
      </c>
      <c r="M406" s="41" t="e">
        <f>VLOOKUP(I406,错误mRNA总表!D:I,6,FALSE)</f>
        <v>#N/A</v>
      </c>
    </row>
    <row r="407" spans="1:13" x14ac:dyDescent="0.2">
      <c r="A407" s="12" t="s">
        <v>4238</v>
      </c>
      <c r="B407" s="12" t="s">
        <v>3989</v>
      </c>
      <c r="C407" s="12">
        <v>4224129</v>
      </c>
      <c r="D407" s="12">
        <v>4227218</v>
      </c>
      <c r="E407" s="12" t="s">
        <v>3943</v>
      </c>
      <c r="F407" s="12">
        <v>10</v>
      </c>
      <c r="H407" s="12" t="s">
        <v>5839</v>
      </c>
      <c r="I407" s="41" t="s">
        <v>6841</v>
      </c>
      <c r="M407" s="41" t="e">
        <f>VLOOKUP(I407,错误mRNA总表!D:I,6,FALSE)</f>
        <v>#N/A</v>
      </c>
    </row>
    <row r="408" spans="1:13" x14ac:dyDescent="0.2">
      <c r="A408" s="12" t="s">
        <v>4239</v>
      </c>
      <c r="B408" s="12" t="s">
        <v>4004</v>
      </c>
      <c r="C408" s="12">
        <v>120220610</v>
      </c>
      <c r="D408" s="12">
        <v>120220778</v>
      </c>
      <c r="E408" s="12" t="s">
        <v>3943</v>
      </c>
      <c r="F408" s="12">
        <v>1</v>
      </c>
      <c r="G408" s="41" t="s">
        <v>103</v>
      </c>
      <c r="H408" s="12" t="s">
        <v>102</v>
      </c>
      <c r="I408" s="41" t="s">
        <v>2108</v>
      </c>
      <c r="J408" s="41" t="s">
        <v>2108</v>
      </c>
      <c r="K408" s="41" t="str">
        <f>VLOOKUP(J408,错误mRNA总表!D:J,7,FALSE)</f>
        <v>纠后正确</v>
      </c>
      <c r="L408" s="41" t="s">
        <v>3763</v>
      </c>
      <c r="M408" s="41">
        <f>VLOOKUP(I408,错误mRNA总表!D:I,6,FALSE)</f>
        <v>0</v>
      </c>
    </row>
    <row r="409" spans="1:13" x14ac:dyDescent="0.2">
      <c r="A409" s="12" t="s">
        <v>4101</v>
      </c>
      <c r="B409" s="12" t="s">
        <v>3994</v>
      </c>
      <c r="C409" s="12">
        <v>2480458</v>
      </c>
      <c r="D409" s="12">
        <v>2482796</v>
      </c>
      <c r="E409" s="12" t="s">
        <v>3940</v>
      </c>
      <c r="F409" s="12">
        <v>1</v>
      </c>
      <c r="H409" s="12" t="s">
        <v>670</v>
      </c>
      <c r="I409" s="41" t="s">
        <v>6842</v>
      </c>
      <c r="J409" s="41" t="s">
        <v>2607</v>
      </c>
      <c r="K409" s="41" t="str">
        <f>VLOOKUP(J409,错误mRNA总表!D:J,7,FALSE)</f>
        <v/>
      </c>
      <c r="M409" s="41" t="e">
        <f>VLOOKUP(I409,错误mRNA总表!D:I,6,FALSE)</f>
        <v>#N/A</v>
      </c>
    </row>
    <row r="410" spans="1:13" x14ac:dyDescent="0.2">
      <c r="A410" s="12" t="s">
        <v>4240</v>
      </c>
      <c r="B410" s="12" t="s">
        <v>3948</v>
      </c>
      <c r="C410" s="12">
        <v>153749503</v>
      </c>
      <c r="D410" s="12">
        <v>154264004</v>
      </c>
      <c r="E410" s="12" t="s">
        <v>3943</v>
      </c>
      <c r="F410" s="12">
        <v>2</v>
      </c>
      <c r="G410" s="41" t="s">
        <v>40</v>
      </c>
      <c r="H410" s="12" t="s">
        <v>264</v>
      </c>
      <c r="I410" s="41" t="s">
        <v>6843</v>
      </c>
      <c r="J410" s="41" t="s">
        <v>2256</v>
      </c>
      <c r="K410" s="41" t="str">
        <f>VLOOKUP(J410,错误mRNA总表!D:J,7,FALSE)</f>
        <v>无变化</v>
      </c>
      <c r="M410" s="41" t="e">
        <f>VLOOKUP(I410,错误mRNA总表!D:I,6,FALSE)</f>
        <v>#N/A</v>
      </c>
    </row>
    <row r="411" spans="1:13" x14ac:dyDescent="0.2">
      <c r="A411" s="12" t="s">
        <v>4240</v>
      </c>
      <c r="B411" s="12" t="s">
        <v>3948</v>
      </c>
      <c r="C411" s="12">
        <v>153749503</v>
      </c>
      <c r="D411" s="12">
        <v>154264011</v>
      </c>
      <c r="E411" s="12" t="s">
        <v>3940</v>
      </c>
      <c r="F411" s="12">
        <v>4</v>
      </c>
      <c r="G411" s="41" t="s">
        <v>40</v>
      </c>
      <c r="H411" s="12" t="s">
        <v>264</v>
      </c>
      <c r="I411" s="41" t="s">
        <v>6843</v>
      </c>
      <c r="J411" s="41" t="s">
        <v>2256</v>
      </c>
      <c r="K411" s="41" t="str">
        <f>VLOOKUP(J411,错误mRNA总表!D:J,7,FALSE)</f>
        <v>无变化</v>
      </c>
      <c r="M411" s="41" t="e">
        <f>VLOOKUP(I411,错误mRNA总表!D:I,6,FALSE)</f>
        <v>#N/A</v>
      </c>
    </row>
    <row r="412" spans="1:13" x14ac:dyDescent="0.2">
      <c r="A412" s="12" t="s">
        <v>4241</v>
      </c>
      <c r="B412" s="12" t="s">
        <v>4098</v>
      </c>
      <c r="C412" s="12">
        <v>248816</v>
      </c>
      <c r="D412" s="12">
        <v>248851</v>
      </c>
      <c r="E412" s="12" t="s">
        <v>3940</v>
      </c>
      <c r="F412" s="12">
        <v>2</v>
      </c>
      <c r="H412" s="12" t="s">
        <v>5908</v>
      </c>
      <c r="I412" s="41" t="s">
        <v>6844</v>
      </c>
      <c r="M412" s="41" t="e">
        <f>VLOOKUP(I412,错误mRNA总表!D:I,6,FALSE)</f>
        <v>#N/A</v>
      </c>
    </row>
    <row r="413" spans="1:13" x14ac:dyDescent="0.2">
      <c r="A413" s="12" t="s">
        <v>4242</v>
      </c>
      <c r="B413" s="12" t="s">
        <v>3948</v>
      </c>
      <c r="C413" s="12">
        <v>50344378</v>
      </c>
      <c r="D413" s="12">
        <v>50344382</v>
      </c>
      <c r="E413" s="12" t="s">
        <v>3940</v>
      </c>
      <c r="F413" s="12">
        <v>1</v>
      </c>
      <c r="G413" s="41" t="s">
        <v>40</v>
      </c>
      <c r="H413" s="12" t="s">
        <v>256</v>
      </c>
      <c r="I413" s="41" t="s">
        <v>3329</v>
      </c>
      <c r="J413" s="41" t="s">
        <v>3329</v>
      </c>
      <c r="K413" s="41" t="str">
        <f>VLOOKUP(J413,错误mRNA总表!D:J,7,FALSE)</f>
        <v>无变化</v>
      </c>
      <c r="L413" s="41" t="s">
        <v>3762</v>
      </c>
      <c r="M413" s="41">
        <f>VLOOKUP(I413,错误mRNA总表!D:I,6,FALSE)</f>
        <v>0</v>
      </c>
    </row>
    <row r="414" spans="1:13" x14ac:dyDescent="0.2">
      <c r="A414" s="12" t="s">
        <v>4243</v>
      </c>
      <c r="B414" s="12" t="s">
        <v>3964</v>
      </c>
      <c r="C414" s="12">
        <v>2617063</v>
      </c>
      <c r="D414" s="12">
        <v>2617252</v>
      </c>
      <c r="E414" s="12" t="s">
        <v>3940</v>
      </c>
      <c r="F414" s="12">
        <v>1</v>
      </c>
      <c r="H414" s="12" t="s">
        <v>3555</v>
      </c>
      <c r="I414" s="41" t="s">
        <v>6845</v>
      </c>
      <c r="M414" s="41" t="e">
        <f>VLOOKUP(I414,错误mRNA总表!D:I,6,FALSE)</f>
        <v>#N/A</v>
      </c>
    </row>
    <row r="415" spans="1:13" x14ac:dyDescent="0.2">
      <c r="A415" s="12" t="s">
        <v>4244</v>
      </c>
      <c r="B415" s="12" t="s">
        <v>3957</v>
      </c>
      <c r="C415" s="12">
        <v>70313961</v>
      </c>
      <c r="D415" s="12">
        <v>70785659</v>
      </c>
      <c r="E415" s="12" t="s">
        <v>3940</v>
      </c>
      <c r="F415" s="12">
        <v>25</v>
      </c>
      <c r="G415" s="41" t="s">
        <v>36</v>
      </c>
      <c r="H415" s="12" t="s">
        <v>962</v>
      </c>
      <c r="I415" s="41" t="s">
        <v>3359</v>
      </c>
      <c r="J415" s="41" t="s">
        <v>3359</v>
      </c>
      <c r="K415" s="41" t="str">
        <f>VLOOKUP(J415,错误mRNA总表!D:J,7,FALSE)</f>
        <v>纠后正确，区间略有变化</v>
      </c>
      <c r="L415" s="41" t="s">
        <v>3866</v>
      </c>
      <c r="M415" s="41" t="str">
        <f>VLOOKUP(I415,错误mRNA总表!D:I,6,FALSE)</f>
        <v>纠后正确，区间略有变化</v>
      </c>
    </row>
    <row r="416" spans="1:13" x14ac:dyDescent="0.2">
      <c r="A416" s="12" t="s">
        <v>4244</v>
      </c>
      <c r="B416" s="12" t="s">
        <v>3957</v>
      </c>
      <c r="C416" s="12">
        <v>70313961</v>
      </c>
      <c r="D416" s="12">
        <v>70766144</v>
      </c>
      <c r="E416" s="12" t="s">
        <v>3940</v>
      </c>
      <c r="F416" s="12">
        <v>64</v>
      </c>
      <c r="G416" s="41" t="s">
        <v>36</v>
      </c>
      <c r="H416" s="12" t="s">
        <v>962</v>
      </c>
      <c r="I416" s="41" t="s">
        <v>3359</v>
      </c>
      <c r="J416" s="41" t="s">
        <v>3359</v>
      </c>
      <c r="K416" s="41" t="str">
        <f>VLOOKUP(J416,错误mRNA总表!D:J,7,FALSE)</f>
        <v>纠后正确，区间略有变化</v>
      </c>
      <c r="L416" s="41" t="s">
        <v>3866</v>
      </c>
      <c r="M416" s="41" t="str">
        <f>VLOOKUP(I416,错误mRNA总表!D:I,6,FALSE)</f>
        <v>纠后正确，区间略有变化</v>
      </c>
    </row>
    <row r="417" spans="1:13" x14ac:dyDescent="0.2">
      <c r="A417" s="12" t="s">
        <v>4244</v>
      </c>
      <c r="B417" s="12" t="s">
        <v>3957</v>
      </c>
      <c r="C417" s="12">
        <v>70313961</v>
      </c>
      <c r="D417" s="12">
        <v>70776136</v>
      </c>
      <c r="E417" s="12" t="s">
        <v>3943</v>
      </c>
      <c r="F417" s="12">
        <v>1</v>
      </c>
      <c r="G417" s="41" t="s">
        <v>36</v>
      </c>
      <c r="H417" s="12" t="s">
        <v>962</v>
      </c>
      <c r="I417" s="41" t="s">
        <v>3359</v>
      </c>
      <c r="J417" s="41" t="s">
        <v>3359</v>
      </c>
      <c r="K417" s="41" t="str">
        <f>VLOOKUP(J417,错误mRNA总表!D:J,7,FALSE)</f>
        <v>纠后正确，区间略有变化</v>
      </c>
      <c r="L417" s="41" t="s">
        <v>3866</v>
      </c>
      <c r="M417" s="41" t="str">
        <f>VLOOKUP(I417,错误mRNA总表!D:I,6,FALSE)</f>
        <v>纠后正确，区间略有变化</v>
      </c>
    </row>
    <row r="418" spans="1:13" x14ac:dyDescent="0.2">
      <c r="A418" s="12" t="s">
        <v>4244</v>
      </c>
      <c r="B418" s="12" t="s">
        <v>3957</v>
      </c>
      <c r="C418" s="12">
        <v>70313961</v>
      </c>
      <c r="D418" s="12">
        <v>70742678</v>
      </c>
      <c r="E418" s="12" t="s">
        <v>3940</v>
      </c>
      <c r="F418" s="12">
        <v>52</v>
      </c>
      <c r="G418" s="41" t="s">
        <v>36</v>
      </c>
      <c r="H418" s="12" t="s">
        <v>962</v>
      </c>
      <c r="I418" s="41" t="s">
        <v>3359</v>
      </c>
      <c r="J418" s="41" t="s">
        <v>3359</v>
      </c>
      <c r="K418" s="41" t="str">
        <f>VLOOKUP(J418,错误mRNA总表!D:J,7,FALSE)</f>
        <v>纠后正确，区间略有变化</v>
      </c>
      <c r="L418" s="41" t="s">
        <v>3866</v>
      </c>
      <c r="M418" s="41" t="str">
        <f>VLOOKUP(I418,错误mRNA总表!D:I,6,FALSE)</f>
        <v>纠后正确，区间略有变化</v>
      </c>
    </row>
    <row r="419" spans="1:13" x14ac:dyDescent="0.2">
      <c r="A419" s="12" t="s">
        <v>4245</v>
      </c>
      <c r="B419" s="12" t="s">
        <v>3984</v>
      </c>
      <c r="C419" s="12">
        <v>1980909</v>
      </c>
      <c r="D419" s="12">
        <v>1985232</v>
      </c>
      <c r="E419" s="12" t="s">
        <v>3943</v>
      </c>
      <c r="F419" s="12">
        <v>1</v>
      </c>
      <c r="H419" s="12" t="s">
        <v>3549</v>
      </c>
      <c r="I419" s="41" t="s">
        <v>6846</v>
      </c>
      <c r="M419" s="41" t="e">
        <f>VLOOKUP(I419,错误mRNA总表!D:I,6,FALSE)</f>
        <v>#N/A</v>
      </c>
    </row>
    <row r="420" spans="1:13" x14ac:dyDescent="0.2">
      <c r="A420" s="12" t="s">
        <v>4246</v>
      </c>
      <c r="B420" s="12" t="s">
        <v>3978</v>
      </c>
      <c r="C420" s="12">
        <v>195241218</v>
      </c>
      <c r="D420" s="12">
        <v>195241806</v>
      </c>
      <c r="E420" s="12" t="s">
        <v>3943</v>
      </c>
      <c r="F420" s="12">
        <v>1</v>
      </c>
      <c r="G420" s="41" t="s">
        <v>86</v>
      </c>
      <c r="H420" s="12" t="s">
        <v>5840</v>
      </c>
      <c r="I420" s="41" t="s">
        <v>6847</v>
      </c>
      <c r="M420" s="41" t="e">
        <f>VLOOKUP(I420,错误mRNA总表!D:I,6,FALSE)</f>
        <v>#N/A</v>
      </c>
    </row>
    <row r="421" spans="1:13" x14ac:dyDescent="0.2">
      <c r="A421" s="12" t="s">
        <v>4246</v>
      </c>
      <c r="B421" s="12" t="s">
        <v>3978</v>
      </c>
      <c r="C421" s="12">
        <v>195241218</v>
      </c>
      <c r="D421" s="12">
        <v>195243006</v>
      </c>
      <c r="E421" s="12" t="s">
        <v>3943</v>
      </c>
      <c r="F421" s="12">
        <v>1</v>
      </c>
      <c r="G421" s="41" t="s">
        <v>86</v>
      </c>
      <c r="H421" s="12" t="s">
        <v>5840</v>
      </c>
      <c r="I421" s="41" t="s">
        <v>6847</v>
      </c>
      <c r="M421" s="41" t="e">
        <f>VLOOKUP(I421,错误mRNA总表!D:I,6,FALSE)</f>
        <v>#N/A</v>
      </c>
    </row>
    <row r="422" spans="1:13" x14ac:dyDescent="0.2">
      <c r="A422" s="12" t="s">
        <v>4247</v>
      </c>
      <c r="B422" s="12" t="s">
        <v>3957</v>
      </c>
      <c r="C422" s="12">
        <v>112831969</v>
      </c>
      <c r="D422" s="12">
        <v>112832308</v>
      </c>
      <c r="E422" s="12" t="s">
        <v>3940</v>
      </c>
      <c r="F422" s="12">
        <v>1</v>
      </c>
      <c r="G422" s="41" t="s">
        <v>36</v>
      </c>
      <c r="H422" s="12" t="s">
        <v>982</v>
      </c>
      <c r="I422" s="41" t="s">
        <v>3362</v>
      </c>
      <c r="J422" s="41" t="s">
        <v>3362</v>
      </c>
      <c r="K422" s="41" t="str">
        <f>VLOOKUP(J422,错误mRNA总表!D:J,7,FALSE)</f>
        <v>纠后正确</v>
      </c>
      <c r="L422" s="41" t="s">
        <v>3763</v>
      </c>
      <c r="M422" s="41">
        <f>VLOOKUP(I422,错误mRNA总表!D:I,6,FALSE)</f>
        <v>0</v>
      </c>
    </row>
    <row r="423" spans="1:13" x14ac:dyDescent="0.2">
      <c r="A423" s="12" t="s">
        <v>4247</v>
      </c>
      <c r="B423" s="12" t="s">
        <v>3957</v>
      </c>
      <c r="C423" s="12">
        <v>112831969</v>
      </c>
      <c r="D423" s="12">
        <v>112832339</v>
      </c>
      <c r="E423" s="12" t="s">
        <v>3943</v>
      </c>
      <c r="F423" s="12">
        <v>1</v>
      </c>
      <c r="G423" s="41" t="s">
        <v>36</v>
      </c>
      <c r="H423" s="12" t="s">
        <v>982</v>
      </c>
      <c r="I423" s="41" t="s">
        <v>3362</v>
      </c>
      <c r="J423" s="41" t="s">
        <v>3362</v>
      </c>
      <c r="K423" s="41" t="str">
        <f>VLOOKUP(J423,错误mRNA总表!D:J,7,FALSE)</f>
        <v>纠后正确</v>
      </c>
      <c r="L423" s="41" t="s">
        <v>3763</v>
      </c>
      <c r="M423" s="41">
        <f>VLOOKUP(I423,错误mRNA总表!D:I,6,FALSE)</f>
        <v>0</v>
      </c>
    </row>
    <row r="424" spans="1:13" x14ac:dyDescent="0.2">
      <c r="A424" s="12" t="s">
        <v>4248</v>
      </c>
      <c r="B424" s="12" t="s">
        <v>4042</v>
      </c>
      <c r="C424" s="12">
        <v>101923953</v>
      </c>
      <c r="D424" s="12">
        <v>102029685</v>
      </c>
      <c r="E424" s="12" t="s">
        <v>3940</v>
      </c>
      <c r="F424" s="12">
        <v>2</v>
      </c>
      <c r="G424" s="41" t="s">
        <v>113</v>
      </c>
      <c r="H424" s="12" t="s">
        <v>115</v>
      </c>
      <c r="I424" s="41" t="s">
        <v>2115</v>
      </c>
      <c r="J424" s="41" t="s">
        <v>2115</v>
      </c>
      <c r="K424" s="41" t="str">
        <f>VLOOKUP(J424,错误mRNA总表!D:J,7,FALSE)</f>
        <v>纠后正确</v>
      </c>
      <c r="L424" s="41" t="s">
        <v>3763</v>
      </c>
      <c r="M424" s="41">
        <f>VLOOKUP(I424,错误mRNA总表!D:I,6,FALSE)</f>
        <v>0</v>
      </c>
    </row>
    <row r="425" spans="1:13" x14ac:dyDescent="0.2">
      <c r="A425" s="12" t="s">
        <v>4249</v>
      </c>
      <c r="B425" s="12" t="s">
        <v>3957</v>
      </c>
      <c r="C425" s="12">
        <v>46638826</v>
      </c>
      <c r="D425" s="12">
        <v>46694313</v>
      </c>
      <c r="E425" s="12" t="s">
        <v>3943</v>
      </c>
      <c r="F425" s="12">
        <v>2</v>
      </c>
      <c r="G425" s="41" t="s">
        <v>36</v>
      </c>
      <c r="H425" s="12" t="s">
        <v>5841</v>
      </c>
      <c r="I425" s="41" t="s">
        <v>6848</v>
      </c>
      <c r="M425" s="41" t="e">
        <f>VLOOKUP(I425,错误mRNA总表!D:I,6,FALSE)</f>
        <v>#N/A</v>
      </c>
    </row>
    <row r="426" spans="1:13" x14ac:dyDescent="0.2">
      <c r="A426" s="12" t="s">
        <v>4250</v>
      </c>
      <c r="B426" s="12" t="s">
        <v>3962</v>
      </c>
      <c r="C426" s="12">
        <v>21106624</v>
      </c>
      <c r="D426" s="12">
        <v>21186163</v>
      </c>
      <c r="E426" s="12" t="s">
        <v>3940</v>
      </c>
      <c r="F426" s="12">
        <v>1</v>
      </c>
      <c r="G426" s="41" t="s">
        <v>53</v>
      </c>
      <c r="H426" s="12" t="s">
        <v>127</v>
      </c>
      <c r="I426" s="41" t="s">
        <v>2122</v>
      </c>
      <c r="J426" s="41" t="s">
        <v>2122</v>
      </c>
      <c r="K426" s="41" t="str">
        <f>VLOOKUP(J426,错误mRNA总表!D:J,7,FALSE)</f>
        <v>纠后正确</v>
      </c>
      <c r="L426" s="41" t="s">
        <v>3763</v>
      </c>
      <c r="M426" s="41">
        <f>VLOOKUP(I426,错误mRNA总表!D:I,6,FALSE)</f>
        <v>0</v>
      </c>
    </row>
    <row r="427" spans="1:13" x14ac:dyDescent="0.2">
      <c r="A427" s="12" t="s">
        <v>4251</v>
      </c>
      <c r="B427" s="12" t="s">
        <v>4074</v>
      </c>
      <c r="C427" s="12">
        <v>727</v>
      </c>
      <c r="D427" s="12">
        <v>733</v>
      </c>
      <c r="E427" s="12" t="s">
        <v>3940</v>
      </c>
      <c r="F427" s="12">
        <v>1</v>
      </c>
      <c r="H427" s="12" t="s">
        <v>3481</v>
      </c>
      <c r="I427" s="41" t="s">
        <v>6849</v>
      </c>
      <c r="M427" s="41" t="e">
        <f>VLOOKUP(I427,错误mRNA总表!D:I,6,FALSE)</f>
        <v>#N/A</v>
      </c>
    </row>
    <row r="428" spans="1:13" x14ac:dyDescent="0.2">
      <c r="A428" s="12" t="s">
        <v>4252</v>
      </c>
      <c r="B428" s="12" t="s">
        <v>4087</v>
      </c>
      <c r="C428" s="12">
        <v>33041</v>
      </c>
      <c r="D428" s="12">
        <v>33912</v>
      </c>
      <c r="E428" s="12" t="s">
        <v>3940</v>
      </c>
      <c r="F428" s="12">
        <v>2</v>
      </c>
      <c r="H428" s="12" t="s">
        <v>6391</v>
      </c>
      <c r="I428" s="41" t="s">
        <v>6850</v>
      </c>
      <c r="M428" s="41" t="e">
        <f>VLOOKUP(I428,错误mRNA总表!D:I,6,FALSE)</f>
        <v>#N/A</v>
      </c>
    </row>
    <row r="429" spans="1:13" x14ac:dyDescent="0.2">
      <c r="A429" s="12" t="s">
        <v>4252</v>
      </c>
      <c r="B429" s="12" t="s">
        <v>4087</v>
      </c>
      <c r="C429" s="12">
        <v>33041</v>
      </c>
      <c r="D429" s="12">
        <v>34583</v>
      </c>
      <c r="E429" s="12" t="s">
        <v>3940</v>
      </c>
      <c r="F429" s="12">
        <v>21</v>
      </c>
      <c r="H429" s="12" t="s">
        <v>6391</v>
      </c>
      <c r="I429" s="41" t="s">
        <v>6850</v>
      </c>
      <c r="M429" s="41" t="e">
        <f>VLOOKUP(I429,错误mRNA总表!D:I,6,FALSE)</f>
        <v>#N/A</v>
      </c>
    </row>
    <row r="430" spans="1:13" x14ac:dyDescent="0.2">
      <c r="A430" s="12" t="s">
        <v>4253</v>
      </c>
      <c r="B430" s="12" t="s">
        <v>3939</v>
      </c>
      <c r="C430" s="12">
        <v>1314869</v>
      </c>
      <c r="D430" s="12">
        <v>1314883</v>
      </c>
      <c r="E430" s="12" t="s">
        <v>3940</v>
      </c>
      <c r="F430" s="12">
        <v>2</v>
      </c>
      <c r="G430" s="41" t="s">
        <v>73</v>
      </c>
      <c r="H430" s="12" t="s">
        <v>1362</v>
      </c>
      <c r="I430" s="41" t="s">
        <v>6851</v>
      </c>
      <c r="J430" s="41" t="s">
        <v>3403</v>
      </c>
      <c r="K430" s="41" t="str">
        <f>VLOOKUP(J430,错误mRNA总表!D:J,7,FALSE)</f>
        <v/>
      </c>
      <c r="M430" s="41" t="e">
        <f>VLOOKUP(I430,错误mRNA总表!D:I,6,FALSE)</f>
        <v>#N/A</v>
      </c>
    </row>
    <row r="431" spans="1:13" x14ac:dyDescent="0.2">
      <c r="A431" s="12" t="s">
        <v>4253</v>
      </c>
      <c r="B431" s="12" t="s">
        <v>3939</v>
      </c>
      <c r="C431" s="12">
        <v>1314869</v>
      </c>
      <c r="D431" s="12">
        <v>1314893</v>
      </c>
      <c r="E431" s="12" t="s">
        <v>3940</v>
      </c>
      <c r="F431" s="12">
        <v>1</v>
      </c>
      <c r="G431" s="41" t="s">
        <v>73</v>
      </c>
      <c r="H431" s="12" t="s">
        <v>1362</v>
      </c>
      <c r="I431" s="41" t="s">
        <v>6851</v>
      </c>
      <c r="J431" s="41" t="s">
        <v>3403</v>
      </c>
      <c r="K431" s="41" t="str">
        <f>VLOOKUP(J431,错误mRNA总表!D:J,7,FALSE)</f>
        <v/>
      </c>
      <c r="M431" s="41" t="e">
        <f>VLOOKUP(I431,错误mRNA总表!D:I,6,FALSE)</f>
        <v>#N/A</v>
      </c>
    </row>
    <row r="432" spans="1:13" x14ac:dyDescent="0.2">
      <c r="A432" s="12" t="s">
        <v>4254</v>
      </c>
      <c r="B432" s="12" t="s">
        <v>3957</v>
      </c>
      <c r="C432" s="12">
        <v>46638826</v>
      </c>
      <c r="D432" s="12">
        <v>46694313</v>
      </c>
      <c r="E432" s="12" t="s">
        <v>3943</v>
      </c>
      <c r="F432" s="12">
        <v>2</v>
      </c>
      <c r="G432" s="41" t="s">
        <v>36</v>
      </c>
      <c r="H432" s="12" t="s">
        <v>5842</v>
      </c>
      <c r="I432" s="41" t="s">
        <v>6852</v>
      </c>
      <c r="M432" s="41" t="e">
        <f>VLOOKUP(I432,错误mRNA总表!D:I,6,FALSE)</f>
        <v>#N/A</v>
      </c>
    </row>
    <row r="433" spans="1:13" x14ac:dyDescent="0.2">
      <c r="A433" s="12" t="s">
        <v>4255</v>
      </c>
      <c r="B433" s="12" t="s">
        <v>3973</v>
      </c>
      <c r="C433" s="12">
        <v>1570603</v>
      </c>
      <c r="D433" s="12">
        <v>1580625</v>
      </c>
      <c r="E433" s="12" t="s">
        <v>3940</v>
      </c>
      <c r="F433" s="12">
        <v>260</v>
      </c>
      <c r="G433" s="41" t="s">
        <v>139</v>
      </c>
      <c r="H433" s="12" t="s">
        <v>316</v>
      </c>
      <c r="I433" s="41" t="s">
        <v>6853</v>
      </c>
      <c r="J433" s="41" t="s">
        <v>2222</v>
      </c>
      <c r="K433" s="41" t="str">
        <f>VLOOKUP(J433,错误mRNA总表!D:J,7,FALSE)</f>
        <v>纠后正确，区间略有变化，加77个氨基酸chr1:1571126-1586818</v>
      </c>
      <c r="M433" s="41" t="e">
        <f>VLOOKUP(I433,错误mRNA总表!D:I,6,FALSE)</f>
        <v>#N/A</v>
      </c>
    </row>
    <row r="434" spans="1:13" x14ac:dyDescent="0.2">
      <c r="A434" s="12" t="s">
        <v>4255</v>
      </c>
      <c r="B434" s="12" t="s">
        <v>3973</v>
      </c>
      <c r="C434" s="12">
        <v>1570603</v>
      </c>
      <c r="D434" s="12">
        <v>1570917</v>
      </c>
      <c r="E434" s="12" t="s">
        <v>3940</v>
      </c>
      <c r="F434" s="12">
        <v>13</v>
      </c>
      <c r="G434" s="41" t="s">
        <v>139</v>
      </c>
      <c r="H434" s="12" t="s">
        <v>316</v>
      </c>
      <c r="I434" s="41" t="s">
        <v>6853</v>
      </c>
      <c r="J434" s="41" t="s">
        <v>2222</v>
      </c>
      <c r="K434" s="41" t="str">
        <f>VLOOKUP(J434,错误mRNA总表!D:J,7,FALSE)</f>
        <v>纠后正确，区间略有变化，加77个氨基酸chr1:1571126-1586818</v>
      </c>
      <c r="M434" s="41" t="e">
        <f>VLOOKUP(I434,错误mRNA总表!D:I,6,FALSE)</f>
        <v>#N/A</v>
      </c>
    </row>
    <row r="435" spans="1:13" x14ac:dyDescent="0.2">
      <c r="A435" s="12" t="s">
        <v>4255</v>
      </c>
      <c r="B435" s="12" t="s">
        <v>3973</v>
      </c>
      <c r="C435" s="12">
        <v>1570603</v>
      </c>
      <c r="D435" s="12">
        <v>1570922</v>
      </c>
      <c r="E435" s="12" t="s">
        <v>3940</v>
      </c>
      <c r="F435" s="12">
        <v>1</v>
      </c>
      <c r="G435" s="41" t="s">
        <v>139</v>
      </c>
      <c r="H435" s="12" t="s">
        <v>316</v>
      </c>
      <c r="I435" s="41" t="s">
        <v>6853</v>
      </c>
      <c r="J435" s="41" t="s">
        <v>2222</v>
      </c>
      <c r="K435" s="41" t="str">
        <f>VLOOKUP(J435,错误mRNA总表!D:J,7,FALSE)</f>
        <v>纠后正确，区间略有变化，加77个氨基酸chr1:1571126-1586818</v>
      </c>
      <c r="M435" s="41" t="e">
        <f>VLOOKUP(I435,错误mRNA总表!D:I,6,FALSE)</f>
        <v>#N/A</v>
      </c>
    </row>
    <row r="436" spans="1:13" x14ac:dyDescent="0.2">
      <c r="A436" s="12" t="s">
        <v>4256</v>
      </c>
      <c r="B436" s="12" t="s">
        <v>4257</v>
      </c>
      <c r="C436" s="12">
        <v>28164</v>
      </c>
      <c r="D436" s="12">
        <v>50734</v>
      </c>
      <c r="E436" s="12" t="s">
        <v>3940</v>
      </c>
      <c r="F436" s="12">
        <v>509</v>
      </c>
      <c r="H436" s="12" t="s">
        <v>3510</v>
      </c>
      <c r="I436" s="41" t="s">
        <v>6854</v>
      </c>
      <c r="M436" s="41" t="e">
        <f>VLOOKUP(I436,错误mRNA总表!D:I,6,FALSE)</f>
        <v>#N/A</v>
      </c>
    </row>
    <row r="437" spans="1:13" x14ac:dyDescent="0.2">
      <c r="A437" s="12" t="s">
        <v>4256</v>
      </c>
      <c r="B437" s="12" t="s">
        <v>4257</v>
      </c>
      <c r="C437" s="12">
        <v>28164</v>
      </c>
      <c r="D437" s="12">
        <v>55847</v>
      </c>
      <c r="E437" s="12" t="s">
        <v>3940</v>
      </c>
      <c r="F437" s="12">
        <v>69</v>
      </c>
      <c r="H437" s="12" t="s">
        <v>3510</v>
      </c>
      <c r="I437" s="41" t="s">
        <v>6854</v>
      </c>
      <c r="M437" s="41" t="e">
        <f>VLOOKUP(I437,错误mRNA总表!D:I,6,FALSE)</f>
        <v>#N/A</v>
      </c>
    </row>
    <row r="438" spans="1:13" x14ac:dyDescent="0.2">
      <c r="A438" s="12" t="s">
        <v>4256</v>
      </c>
      <c r="B438" s="12" t="s">
        <v>4257</v>
      </c>
      <c r="C438" s="12">
        <v>28164</v>
      </c>
      <c r="D438" s="12">
        <v>55836</v>
      </c>
      <c r="E438" s="12" t="s">
        <v>3943</v>
      </c>
      <c r="F438" s="12">
        <v>3</v>
      </c>
      <c r="H438" s="12" t="s">
        <v>3510</v>
      </c>
      <c r="I438" s="41" t="s">
        <v>6854</v>
      </c>
      <c r="M438" s="41" t="e">
        <f>VLOOKUP(I438,错误mRNA总表!D:I,6,FALSE)</f>
        <v>#N/A</v>
      </c>
    </row>
    <row r="439" spans="1:13" x14ac:dyDescent="0.2">
      <c r="A439" s="12" t="s">
        <v>4256</v>
      </c>
      <c r="B439" s="12" t="s">
        <v>4257</v>
      </c>
      <c r="C439" s="12">
        <v>28164</v>
      </c>
      <c r="D439" s="12">
        <v>56411</v>
      </c>
      <c r="E439" s="12" t="s">
        <v>3940</v>
      </c>
      <c r="F439" s="12">
        <v>392</v>
      </c>
      <c r="H439" s="12" t="s">
        <v>3510</v>
      </c>
      <c r="I439" s="41" t="s">
        <v>6854</v>
      </c>
      <c r="M439" s="41" t="e">
        <f>VLOOKUP(I439,错误mRNA总表!D:I,6,FALSE)</f>
        <v>#N/A</v>
      </c>
    </row>
    <row r="440" spans="1:13" x14ac:dyDescent="0.2">
      <c r="A440" s="12" t="s">
        <v>4256</v>
      </c>
      <c r="B440" s="12" t="s">
        <v>4257</v>
      </c>
      <c r="C440" s="12">
        <v>28164</v>
      </c>
      <c r="D440" s="12">
        <v>56402</v>
      </c>
      <c r="E440" s="12" t="s">
        <v>3940</v>
      </c>
      <c r="F440" s="12">
        <v>1</v>
      </c>
      <c r="H440" s="12" t="s">
        <v>3510</v>
      </c>
      <c r="I440" s="41" t="s">
        <v>6854</v>
      </c>
      <c r="M440" s="41" t="e">
        <f>VLOOKUP(I440,错误mRNA总表!D:I,6,FALSE)</f>
        <v>#N/A</v>
      </c>
    </row>
    <row r="441" spans="1:13" x14ac:dyDescent="0.2">
      <c r="A441" s="12" t="s">
        <v>4258</v>
      </c>
      <c r="B441" s="12" t="s">
        <v>3978</v>
      </c>
      <c r="C441" s="12">
        <v>4938493</v>
      </c>
      <c r="D441" s="12">
        <v>4940288</v>
      </c>
      <c r="E441" s="12" t="s">
        <v>3943</v>
      </c>
      <c r="F441" s="12">
        <v>1</v>
      </c>
      <c r="G441" s="41" t="s">
        <v>86</v>
      </c>
      <c r="H441" s="12" t="s">
        <v>5843</v>
      </c>
      <c r="I441" s="41" t="s">
        <v>6855</v>
      </c>
      <c r="M441" s="41" t="e">
        <f>VLOOKUP(I441,错误mRNA总表!D:I,6,FALSE)</f>
        <v>#N/A</v>
      </c>
    </row>
    <row r="442" spans="1:13" x14ac:dyDescent="0.2">
      <c r="A442" s="12" t="s">
        <v>4259</v>
      </c>
      <c r="B442" s="12" t="s">
        <v>4052</v>
      </c>
      <c r="C442" s="12">
        <v>51026433</v>
      </c>
      <c r="D442" s="12">
        <v>51371103</v>
      </c>
      <c r="E442" s="12" t="s">
        <v>3943</v>
      </c>
      <c r="F442" s="12">
        <v>1</v>
      </c>
      <c r="G442" s="41" t="s">
        <v>93</v>
      </c>
      <c r="H442" s="12" t="s">
        <v>5844</v>
      </c>
      <c r="I442" s="41" t="s">
        <v>6856</v>
      </c>
      <c r="M442" s="41" t="e">
        <f>VLOOKUP(I442,错误mRNA总表!D:I,6,FALSE)</f>
        <v>#N/A</v>
      </c>
    </row>
    <row r="443" spans="1:13" x14ac:dyDescent="0.2">
      <c r="A443" s="12" t="s">
        <v>4259</v>
      </c>
      <c r="B443" s="12" t="s">
        <v>4052</v>
      </c>
      <c r="C443" s="12">
        <v>51026433</v>
      </c>
      <c r="D443" s="12">
        <v>51371122</v>
      </c>
      <c r="E443" s="12" t="s">
        <v>3943</v>
      </c>
      <c r="F443" s="12">
        <v>1</v>
      </c>
      <c r="G443" s="41" t="s">
        <v>93</v>
      </c>
      <c r="H443" s="12" t="s">
        <v>5844</v>
      </c>
      <c r="I443" s="41" t="s">
        <v>6856</v>
      </c>
      <c r="M443" s="41" t="e">
        <f>VLOOKUP(I443,错误mRNA总表!D:I,6,FALSE)</f>
        <v>#N/A</v>
      </c>
    </row>
    <row r="444" spans="1:13" x14ac:dyDescent="0.2">
      <c r="A444" s="12" t="s">
        <v>4259</v>
      </c>
      <c r="B444" s="12" t="s">
        <v>4052</v>
      </c>
      <c r="C444" s="12">
        <v>51026433</v>
      </c>
      <c r="D444" s="12">
        <v>51371131</v>
      </c>
      <c r="E444" s="12" t="s">
        <v>3940</v>
      </c>
      <c r="F444" s="12">
        <v>1</v>
      </c>
      <c r="G444" s="41" t="s">
        <v>93</v>
      </c>
      <c r="H444" s="12" t="s">
        <v>5844</v>
      </c>
      <c r="I444" s="41" t="s">
        <v>6856</v>
      </c>
      <c r="M444" s="41" t="e">
        <f>VLOOKUP(I444,错误mRNA总表!D:I,6,FALSE)</f>
        <v>#N/A</v>
      </c>
    </row>
    <row r="445" spans="1:13" x14ac:dyDescent="0.2">
      <c r="A445" s="12" t="s">
        <v>4260</v>
      </c>
      <c r="B445" s="12" t="s">
        <v>3948</v>
      </c>
      <c r="C445" s="12">
        <v>100472701</v>
      </c>
      <c r="D445" s="12">
        <v>100472933</v>
      </c>
      <c r="E445" s="12" t="s">
        <v>3940</v>
      </c>
      <c r="F445" s="12">
        <v>1</v>
      </c>
      <c r="G445" s="41" t="s">
        <v>40</v>
      </c>
      <c r="H445" s="12" t="s">
        <v>5845</v>
      </c>
      <c r="I445" s="41" t="s">
        <v>6857</v>
      </c>
      <c r="M445" s="41" t="e">
        <f>VLOOKUP(I445,错误mRNA总表!D:I,6,FALSE)</f>
        <v>#N/A</v>
      </c>
    </row>
    <row r="446" spans="1:13" x14ac:dyDescent="0.2">
      <c r="A446" s="12" t="s">
        <v>4261</v>
      </c>
      <c r="B446" s="12" t="s">
        <v>4042</v>
      </c>
      <c r="C446" s="12">
        <v>101886947</v>
      </c>
      <c r="D446" s="12">
        <v>102029685</v>
      </c>
      <c r="E446" s="12" t="s">
        <v>3940</v>
      </c>
      <c r="F446" s="12">
        <v>2</v>
      </c>
      <c r="G446" s="41" t="s">
        <v>113</v>
      </c>
      <c r="H446" s="12" t="s">
        <v>116</v>
      </c>
      <c r="I446" s="41" t="s">
        <v>2116</v>
      </c>
      <c r="J446" s="41" t="s">
        <v>2116</v>
      </c>
      <c r="K446" s="41" t="str">
        <f>VLOOKUP(J446,错误mRNA总表!D:J,7,FALSE)</f>
        <v>纠后正确</v>
      </c>
      <c r="L446" s="41" t="s">
        <v>3763</v>
      </c>
      <c r="M446" s="41">
        <f>VLOOKUP(I446,错误mRNA总表!D:I,6,FALSE)</f>
        <v>0</v>
      </c>
    </row>
    <row r="447" spans="1:13" x14ac:dyDescent="0.2">
      <c r="A447" s="12" t="s">
        <v>4262</v>
      </c>
      <c r="B447" s="12" t="s">
        <v>3962</v>
      </c>
      <c r="C447" s="12">
        <v>35201876</v>
      </c>
      <c r="D447" s="12">
        <v>35221684</v>
      </c>
      <c r="E447" s="12" t="s">
        <v>3943</v>
      </c>
      <c r="F447" s="12">
        <v>4</v>
      </c>
      <c r="G447" s="41" t="s">
        <v>53</v>
      </c>
      <c r="H447" s="12" t="s">
        <v>5846</v>
      </c>
      <c r="I447" s="41" t="s">
        <v>6858</v>
      </c>
      <c r="M447" s="41" t="e">
        <f>VLOOKUP(I447,错误mRNA总表!D:I,6,FALSE)</f>
        <v>#N/A</v>
      </c>
    </row>
    <row r="448" spans="1:13" x14ac:dyDescent="0.2">
      <c r="A448" s="12" t="s">
        <v>4263</v>
      </c>
      <c r="B448" s="12" t="s">
        <v>3973</v>
      </c>
      <c r="C448" s="12">
        <v>156338980</v>
      </c>
      <c r="D448" s="12">
        <v>156354354</v>
      </c>
      <c r="E448" s="12" t="s">
        <v>3943</v>
      </c>
      <c r="F448" s="12">
        <v>1</v>
      </c>
      <c r="G448" s="41" t="s">
        <v>139</v>
      </c>
      <c r="H448" s="12" t="s">
        <v>138</v>
      </c>
      <c r="I448" s="41" t="s">
        <v>2129</v>
      </c>
      <c r="J448" s="41" t="s">
        <v>2129</v>
      </c>
      <c r="K448" s="41" t="str">
        <f>VLOOKUP(J448,错误mRNA总表!D:J,7,FALSE)</f>
        <v>纠后正确</v>
      </c>
      <c r="L448" s="41" t="s">
        <v>3763</v>
      </c>
      <c r="M448" s="41">
        <f>VLOOKUP(I448,错误mRNA总表!D:I,6,FALSE)</f>
        <v>0</v>
      </c>
    </row>
    <row r="449" spans="1:13" x14ac:dyDescent="0.2">
      <c r="A449" s="12" t="s">
        <v>4212</v>
      </c>
      <c r="B449" s="12" t="s">
        <v>3969</v>
      </c>
      <c r="C449" s="12">
        <v>3502148</v>
      </c>
      <c r="D449" s="12">
        <v>3502185</v>
      </c>
      <c r="E449" s="12" t="s">
        <v>3940</v>
      </c>
      <c r="F449" s="12">
        <v>6</v>
      </c>
      <c r="H449" s="12" t="s">
        <v>5831</v>
      </c>
      <c r="I449" s="41" t="s">
        <v>6859</v>
      </c>
      <c r="M449" s="41" t="e">
        <f>VLOOKUP(I449,错误mRNA总表!D:I,6,FALSE)</f>
        <v>#N/A</v>
      </c>
    </row>
    <row r="450" spans="1:13" x14ac:dyDescent="0.2">
      <c r="A450" s="12" t="s">
        <v>4264</v>
      </c>
      <c r="B450" s="12" t="s">
        <v>3978</v>
      </c>
      <c r="C450" s="12">
        <v>51433298</v>
      </c>
      <c r="D450" s="12">
        <v>51467664</v>
      </c>
      <c r="E450" s="12" t="s">
        <v>3940</v>
      </c>
      <c r="F450" s="12">
        <v>159</v>
      </c>
      <c r="G450" s="41" t="s">
        <v>86</v>
      </c>
      <c r="H450" s="12" t="s">
        <v>527</v>
      </c>
      <c r="I450" s="41" t="s">
        <v>2235</v>
      </c>
      <c r="J450" s="41" t="s">
        <v>2235</v>
      </c>
      <c r="K450" s="41" t="str">
        <f>VLOOKUP(J450,错误mRNA总表!D:J,7,FALSE)</f>
        <v>纠后正确，加53个氨基酸chr3:51436200-51467663</v>
      </c>
      <c r="L450" s="41" t="s">
        <v>8336</v>
      </c>
      <c r="M450" s="41">
        <f>VLOOKUP(I450,错误mRNA总表!D:I,6,FALSE)</f>
        <v>0</v>
      </c>
    </row>
    <row r="451" spans="1:13" x14ac:dyDescent="0.2">
      <c r="A451" s="12" t="s">
        <v>4265</v>
      </c>
      <c r="B451" s="12" t="s">
        <v>3948</v>
      </c>
      <c r="C451" s="12">
        <v>142552776</v>
      </c>
      <c r="D451" s="12">
        <v>142562076</v>
      </c>
      <c r="E451" s="12" t="s">
        <v>3940</v>
      </c>
      <c r="F451" s="12">
        <v>3</v>
      </c>
      <c r="G451" s="41" t="s">
        <v>40</v>
      </c>
      <c r="H451" s="12" t="s">
        <v>3597</v>
      </c>
      <c r="I451" s="41" t="s">
        <v>6860</v>
      </c>
      <c r="M451" s="41" t="e">
        <f>VLOOKUP(I451,错误mRNA总表!D:I,6,FALSE)</f>
        <v>#N/A</v>
      </c>
    </row>
    <row r="452" spans="1:13" x14ac:dyDescent="0.2">
      <c r="A452" s="12" t="s">
        <v>4266</v>
      </c>
      <c r="B452" s="12" t="s">
        <v>4018</v>
      </c>
      <c r="C452" s="12">
        <v>17791523</v>
      </c>
      <c r="D452" s="12">
        <v>17981988</v>
      </c>
      <c r="E452" s="12" t="s">
        <v>3940</v>
      </c>
      <c r="F452" s="12">
        <v>1</v>
      </c>
      <c r="G452" s="41" t="s">
        <v>241</v>
      </c>
      <c r="H452" s="12" t="s">
        <v>5847</v>
      </c>
      <c r="I452" s="41" t="s">
        <v>6861</v>
      </c>
      <c r="M452" s="41" t="e">
        <f>VLOOKUP(I452,错误mRNA总表!D:I,6,FALSE)</f>
        <v>#N/A</v>
      </c>
    </row>
    <row r="453" spans="1:13" x14ac:dyDescent="0.2">
      <c r="A453" s="12" t="s">
        <v>4267</v>
      </c>
      <c r="B453" s="12" t="s">
        <v>3984</v>
      </c>
      <c r="C453" s="12">
        <v>928077</v>
      </c>
      <c r="D453" s="12">
        <v>943429</v>
      </c>
      <c r="E453" s="12" t="s">
        <v>3943</v>
      </c>
      <c r="F453" s="12">
        <v>4</v>
      </c>
      <c r="H453" s="12" t="s">
        <v>3528</v>
      </c>
      <c r="I453" s="41" t="s">
        <v>6862</v>
      </c>
      <c r="M453" s="41" t="e">
        <f>VLOOKUP(I453,错误mRNA总表!D:I,6,FALSE)</f>
        <v>#N/A</v>
      </c>
    </row>
    <row r="454" spans="1:13" x14ac:dyDescent="0.2">
      <c r="A454" s="12" t="s">
        <v>4019</v>
      </c>
      <c r="B454" s="12" t="s">
        <v>3984</v>
      </c>
      <c r="C454" s="12">
        <v>2427966</v>
      </c>
      <c r="D454" s="12">
        <v>2430304</v>
      </c>
      <c r="E454" s="12" t="s">
        <v>3940</v>
      </c>
      <c r="F454" s="12">
        <v>1</v>
      </c>
      <c r="H454" s="12" t="s">
        <v>670</v>
      </c>
      <c r="I454" s="41" t="s">
        <v>6863</v>
      </c>
      <c r="J454" s="41" t="s">
        <v>2607</v>
      </c>
      <c r="K454" s="41" t="str">
        <f>VLOOKUP(J454,错误mRNA总表!D:J,7,FALSE)</f>
        <v/>
      </c>
      <c r="M454" s="41" t="e">
        <f>VLOOKUP(I454,错误mRNA总表!D:I,6,FALSE)</f>
        <v>#N/A</v>
      </c>
    </row>
    <row r="455" spans="1:13" x14ac:dyDescent="0.2">
      <c r="A455" s="12" t="s">
        <v>4019</v>
      </c>
      <c r="B455" s="12" t="s">
        <v>3984</v>
      </c>
      <c r="C455" s="12">
        <v>2427966</v>
      </c>
      <c r="D455" s="12">
        <v>2430585</v>
      </c>
      <c r="E455" s="12" t="s">
        <v>3943</v>
      </c>
      <c r="F455" s="12">
        <v>3</v>
      </c>
      <c r="H455" s="12" t="s">
        <v>670</v>
      </c>
      <c r="I455" s="41" t="s">
        <v>6863</v>
      </c>
      <c r="J455" s="41" t="s">
        <v>2607</v>
      </c>
      <c r="K455" s="41" t="str">
        <f>VLOOKUP(J455,错误mRNA总表!D:J,7,FALSE)</f>
        <v/>
      </c>
      <c r="M455" s="41" t="e">
        <f>VLOOKUP(I455,错误mRNA总表!D:I,6,FALSE)</f>
        <v>#N/A</v>
      </c>
    </row>
    <row r="456" spans="1:13" x14ac:dyDescent="0.2">
      <c r="A456" s="12" t="s">
        <v>4268</v>
      </c>
      <c r="B456" s="12" t="s">
        <v>4045</v>
      </c>
      <c r="C456" s="12">
        <v>288421</v>
      </c>
      <c r="D456" s="12">
        <v>288593</v>
      </c>
      <c r="E456" s="12" t="s">
        <v>3940</v>
      </c>
      <c r="F456" s="12">
        <v>2</v>
      </c>
      <c r="H456" s="12" t="s">
        <v>3659</v>
      </c>
      <c r="I456" s="41" t="s">
        <v>6864</v>
      </c>
      <c r="M456" s="41" t="e">
        <f>VLOOKUP(I456,错误mRNA总表!D:I,6,FALSE)</f>
        <v>#N/A</v>
      </c>
    </row>
    <row r="457" spans="1:13" x14ac:dyDescent="0.2">
      <c r="A457" s="12" t="s">
        <v>4269</v>
      </c>
      <c r="B457" s="12" t="s">
        <v>3989</v>
      </c>
      <c r="C457" s="12">
        <v>3180279</v>
      </c>
      <c r="D457" s="12">
        <v>3190126</v>
      </c>
      <c r="E457" s="12" t="s">
        <v>3940</v>
      </c>
      <c r="F457" s="12">
        <v>2</v>
      </c>
      <c r="H457" s="12" t="s">
        <v>5848</v>
      </c>
      <c r="I457" s="41" t="s">
        <v>6865</v>
      </c>
      <c r="M457" s="41" t="e">
        <f>VLOOKUP(I457,错误mRNA总表!D:I,6,FALSE)</f>
        <v>#N/A</v>
      </c>
    </row>
    <row r="458" spans="1:13" x14ac:dyDescent="0.2">
      <c r="A458" s="12" t="s">
        <v>4269</v>
      </c>
      <c r="B458" s="12" t="s">
        <v>3989</v>
      </c>
      <c r="C458" s="12">
        <v>3180279</v>
      </c>
      <c r="D458" s="12">
        <v>3190136</v>
      </c>
      <c r="E458" s="12" t="s">
        <v>3943</v>
      </c>
      <c r="F458" s="12">
        <v>2</v>
      </c>
      <c r="H458" s="12" t="s">
        <v>5848</v>
      </c>
      <c r="I458" s="41" t="s">
        <v>6865</v>
      </c>
      <c r="M458" s="41" t="e">
        <f>VLOOKUP(I458,错误mRNA总表!D:I,6,FALSE)</f>
        <v>#N/A</v>
      </c>
    </row>
    <row r="459" spans="1:13" x14ac:dyDescent="0.2">
      <c r="A459" s="12" t="s">
        <v>4269</v>
      </c>
      <c r="B459" s="12" t="s">
        <v>3989</v>
      </c>
      <c r="C459" s="12">
        <v>3180279</v>
      </c>
      <c r="D459" s="12">
        <v>3190170</v>
      </c>
      <c r="E459" s="12" t="s">
        <v>3943</v>
      </c>
      <c r="F459" s="12">
        <v>4</v>
      </c>
      <c r="H459" s="12" t="s">
        <v>5848</v>
      </c>
      <c r="I459" s="41" t="s">
        <v>6865</v>
      </c>
      <c r="M459" s="41" t="e">
        <f>VLOOKUP(I459,错误mRNA总表!D:I,6,FALSE)</f>
        <v>#N/A</v>
      </c>
    </row>
    <row r="460" spans="1:13" x14ac:dyDescent="0.2">
      <c r="A460" s="12" t="s">
        <v>4270</v>
      </c>
      <c r="B460" s="12" t="s">
        <v>3973</v>
      </c>
      <c r="C460" s="12">
        <v>144811743</v>
      </c>
      <c r="D460" s="12">
        <v>144825526</v>
      </c>
      <c r="E460" s="12" t="s">
        <v>3940</v>
      </c>
      <c r="F460" s="12">
        <v>509</v>
      </c>
      <c r="G460" s="41" t="s">
        <v>139</v>
      </c>
      <c r="H460" s="12" t="s">
        <v>3408</v>
      </c>
      <c r="I460" s="41" t="s">
        <v>6866</v>
      </c>
      <c r="M460" s="41" t="e">
        <f>VLOOKUP(I460,错误mRNA总表!D:I,6,FALSE)</f>
        <v>#N/A</v>
      </c>
    </row>
    <row r="461" spans="1:13" x14ac:dyDescent="0.2">
      <c r="A461" s="12" t="s">
        <v>4271</v>
      </c>
      <c r="B461" s="12" t="s">
        <v>3942</v>
      </c>
      <c r="C461" s="12">
        <v>175819456</v>
      </c>
      <c r="D461" s="12">
        <v>175843461</v>
      </c>
      <c r="E461" s="12" t="s">
        <v>3943</v>
      </c>
      <c r="F461" s="12">
        <v>1</v>
      </c>
      <c r="G461" s="41" t="s">
        <v>186</v>
      </c>
      <c r="H461" s="12" t="s">
        <v>6502</v>
      </c>
      <c r="I461" s="41" t="s">
        <v>6867</v>
      </c>
      <c r="M461" s="41" t="e">
        <f>VLOOKUP(I461,错误mRNA总表!D:I,6,FALSE)</f>
        <v>#N/A</v>
      </c>
    </row>
    <row r="462" spans="1:13" x14ac:dyDescent="0.2">
      <c r="A462" s="12" t="s">
        <v>4272</v>
      </c>
      <c r="B462" s="12" t="s">
        <v>4052</v>
      </c>
      <c r="C462" s="12">
        <v>61005889</v>
      </c>
      <c r="D462" s="12">
        <v>61122268</v>
      </c>
      <c r="E462" s="12" t="s">
        <v>3940</v>
      </c>
      <c r="F462" s="12">
        <v>2</v>
      </c>
      <c r="G462" s="41" t="s">
        <v>93</v>
      </c>
      <c r="H462" s="12" t="s">
        <v>5849</v>
      </c>
      <c r="I462" s="41" t="s">
        <v>6868</v>
      </c>
      <c r="M462" s="41" t="e">
        <f>VLOOKUP(I462,错误mRNA总表!D:I,6,FALSE)</f>
        <v>#N/A</v>
      </c>
    </row>
    <row r="463" spans="1:13" x14ac:dyDescent="0.2">
      <c r="A463" s="12" t="s">
        <v>4272</v>
      </c>
      <c r="B463" s="12" t="s">
        <v>4052</v>
      </c>
      <c r="C463" s="12">
        <v>61005889</v>
      </c>
      <c r="D463" s="12">
        <v>61006802</v>
      </c>
      <c r="E463" s="12" t="s">
        <v>3940</v>
      </c>
      <c r="F463" s="12">
        <v>1</v>
      </c>
      <c r="G463" s="41" t="s">
        <v>93</v>
      </c>
      <c r="H463" s="12" t="s">
        <v>5849</v>
      </c>
      <c r="I463" s="41" t="s">
        <v>6868</v>
      </c>
      <c r="M463" s="41" t="e">
        <f>VLOOKUP(I463,错误mRNA总表!D:I,6,FALSE)</f>
        <v>#N/A</v>
      </c>
    </row>
    <row r="464" spans="1:13" x14ac:dyDescent="0.2">
      <c r="A464" s="12" t="s">
        <v>4060</v>
      </c>
      <c r="B464" s="12" t="s">
        <v>4273</v>
      </c>
      <c r="C464" s="12">
        <v>819632</v>
      </c>
      <c r="D464" s="12">
        <v>821432</v>
      </c>
      <c r="E464" s="12" t="s">
        <v>3940</v>
      </c>
      <c r="F464" s="12">
        <v>22</v>
      </c>
      <c r="H464" s="12" t="s">
        <v>214</v>
      </c>
      <c r="I464" s="41" t="s">
        <v>6869</v>
      </c>
      <c r="J464" s="41" t="s">
        <v>2170</v>
      </c>
      <c r="K464" s="41" t="str">
        <f>VLOOKUP(J464,错误mRNA总表!D:J,7,FALSE)</f>
        <v>Browser与原结果匹配，纠后与rs匹配(rs746499983)chr19:55350966-55359398</v>
      </c>
      <c r="M464" s="41" t="e">
        <f>VLOOKUP(I464,错误mRNA总表!D:I,6,FALSE)</f>
        <v>#N/A</v>
      </c>
    </row>
    <row r="465" spans="1:13" x14ac:dyDescent="0.2">
      <c r="A465" s="12" t="s">
        <v>4274</v>
      </c>
      <c r="B465" s="12" t="s">
        <v>3939</v>
      </c>
      <c r="C465" s="12">
        <v>50111879</v>
      </c>
      <c r="D465" s="12">
        <v>50121146</v>
      </c>
      <c r="E465" s="12" t="s">
        <v>3940</v>
      </c>
      <c r="F465" s="12">
        <v>1</v>
      </c>
      <c r="G465" s="41" t="s">
        <v>73</v>
      </c>
      <c r="H465" s="12" t="s">
        <v>190</v>
      </c>
      <c r="I465" s="41" t="s">
        <v>2163</v>
      </c>
      <c r="J465" s="41" t="s">
        <v>2163</v>
      </c>
      <c r="K465" s="41" t="str">
        <f>VLOOKUP(J465,错误mRNA总表!D:J,7,FALSE)</f>
        <v>纠后正确</v>
      </c>
      <c r="L465" s="41" t="s">
        <v>3763</v>
      </c>
      <c r="M465" s="41">
        <f>VLOOKUP(I465,错误mRNA总表!D:I,6,FALSE)</f>
        <v>0</v>
      </c>
    </row>
    <row r="466" spans="1:13" x14ac:dyDescent="0.2">
      <c r="A466" s="12" t="s">
        <v>4275</v>
      </c>
      <c r="B466" s="12" t="s">
        <v>3984</v>
      </c>
      <c r="C466" s="12">
        <v>1261702</v>
      </c>
      <c r="D466" s="12">
        <v>1262244</v>
      </c>
      <c r="E466" s="12" t="s">
        <v>3943</v>
      </c>
      <c r="F466" s="12">
        <v>1</v>
      </c>
      <c r="H466" s="12" t="s">
        <v>5850</v>
      </c>
      <c r="I466" s="41" t="s">
        <v>6870</v>
      </c>
      <c r="M466" s="41" t="e">
        <f>VLOOKUP(I466,错误mRNA总表!D:I,6,FALSE)</f>
        <v>#N/A</v>
      </c>
    </row>
    <row r="467" spans="1:13" x14ac:dyDescent="0.2">
      <c r="A467" s="12" t="s">
        <v>4276</v>
      </c>
      <c r="B467" s="12" t="s">
        <v>4038</v>
      </c>
      <c r="C467" s="12">
        <v>389911</v>
      </c>
      <c r="D467" s="12">
        <v>390682</v>
      </c>
      <c r="E467" s="12" t="s">
        <v>3943</v>
      </c>
      <c r="F467" s="12">
        <v>2</v>
      </c>
      <c r="H467" s="12" t="s">
        <v>110</v>
      </c>
      <c r="I467" s="41" t="s">
        <v>6871</v>
      </c>
      <c r="J467" s="41" t="s">
        <v>2112</v>
      </c>
      <c r="K467" s="41" t="str">
        <f>VLOOKUP(J467,错误mRNA总表!D:J,7,FALSE)</f>
        <v>纠后正确</v>
      </c>
      <c r="M467" s="41" t="e">
        <f>VLOOKUP(I467,错误mRNA总表!D:I,6,FALSE)</f>
        <v>#N/A</v>
      </c>
    </row>
    <row r="468" spans="1:13" x14ac:dyDescent="0.2">
      <c r="A468" s="12" t="s">
        <v>4277</v>
      </c>
      <c r="B468" s="12" t="s">
        <v>4199</v>
      </c>
      <c r="C468" s="12">
        <v>103102</v>
      </c>
      <c r="D468" s="12">
        <v>104519</v>
      </c>
      <c r="E468" s="12" t="s">
        <v>3943</v>
      </c>
      <c r="F468" s="12">
        <v>1</v>
      </c>
      <c r="H468" s="12" t="s">
        <v>5925</v>
      </c>
      <c r="I468" s="41" t="s">
        <v>6872</v>
      </c>
      <c r="M468" s="41" t="e">
        <f>VLOOKUP(I468,错误mRNA总表!D:I,6,FALSE)</f>
        <v>#N/A</v>
      </c>
    </row>
    <row r="469" spans="1:13" x14ac:dyDescent="0.2">
      <c r="A469" s="12" t="s">
        <v>4278</v>
      </c>
      <c r="B469" s="12" t="s">
        <v>3973</v>
      </c>
      <c r="C469" s="12">
        <v>147228332</v>
      </c>
      <c r="D469" s="12">
        <v>147229628</v>
      </c>
      <c r="E469" s="12" t="s">
        <v>3940</v>
      </c>
      <c r="F469" s="12">
        <v>25</v>
      </c>
      <c r="G469" s="41" t="s">
        <v>139</v>
      </c>
      <c r="H469" s="12" t="s">
        <v>3497</v>
      </c>
      <c r="I469" s="41" t="s">
        <v>6873</v>
      </c>
      <c r="M469" s="41" t="e">
        <f>VLOOKUP(I469,错误mRNA总表!D:I,6,FALSE)</f>
        <v>#N/A</v>
      </c>
    </row>
    <row r="470" spans="1:13" x14ac:dyDescent="0.2">
      <c r="A470" s="12" t="s">
        <v>4279</v>
      </c>
      <c r="B470" s="12" t="s">
        <v>3984</v>
      </c>
      <c r="C470" s="12">
        <v>1322018</v>
      </c>
      <c r="D470" s="12">
        <v>1322175</v>
      </c>
      <c r="E470" s="12" t="s">
        <v>3943</v>
      </c>
      <c r="F470" s="12">
        <v>1</v>
      </c>
      <c r="H470" s="12" t="s">
        <v>5851</v>
      </c>
      <c r="I470" s="41" t="s">
        <v>6874</v>
      </c>
      <c r="M470" s="41" t="e">
        <f>VLOOKUP(I470,错误mRNA总表!D:I,6,FALSE)</f>
        <v>#N/A</v>
      </c>
    </row>
    <row r="471" spans="1:13" x14ac:dyDescent="0.2">
      <c r="A471" s="12" t="s">
        <v>4280</v>
      </c>
      <c r="B471" s="12" t="s">
        <v>3948</v>
      </c>
      <c r="C471" s="12">
        <v>2514772</v>
      </c>
      <c r="D471" s="12">
        <v>2515382</v>
      </c>
      <c r="E471" s="12" t="s">
        <v>3940</v>
      </c>
      <c r="F471" s="12">
        <v>1</v>
      </c>
      <c r="G471" s="41" t="s">
        <v>40</v>
      </c>
      <c r="H471" s="12" t="s">
        <v>5852</v>
      </c>
      <c r="I471" s="41" t="s">
        <v>6875</v>
      </c>
      <c r="M471" s="41" t="e">
        <f>VLOOKUP(I471,错误mRNA总表!D:I,6,FALSE)</f>
        <v>#N/A</v>
      </c>
    </row>
    <row r="472" spans="1:13" x14ac:dyDescent="0.2">
      <c r="A472" s="12" t="s">
        <v>4281</v>
      </c>
      <c r="B472" s="12" t="s">
        <v>3946</v>
      </c>
      <c r="C472" s="12">
        <v>73232694</v>
      </c>
      <c r="D472" s="12">
        <v>73234010</v>
      </c>
      <c r="E472" s="12" t="s">
        <v>3940</v>
      </c>
      <c r="F472" s="12">
        <v>14</v>
      </c>
      <c r="G472" s="41" t="s">
        <v>47</v>
      </c>
      <c r="H472" s="12" t="s">
        <v>5853</v>
      </c>
      <c r="I472" s="41" t="s">
        <v>6876</v>
      </c>
      <c r="M472" s="41" t="e">
        <f>VLOOKUP(I472,错误mRNA总表!D:I,6,FALSE)</f>
        <v>#N/A</v>
      </c>
    </row>
    <row r="473" spans="1:13" x14ac:dyDescent="0.2">
      <c r="A473" s="12" t="s">
        <v>4282</v>
      </c>
      <c r="B473" s="12" t="s">
        <v>3994</v>
      </c>
      <c r="C473" s="12">
        <v>4618677</v>
      </c>
      <c r="D473" s="12">
        <v>4618975</v>
      </c>
      <c r="E473" s="12" t="s">
        <v>3943</v>
      </c>
      <c r="F473" s="12">
        <v>1</v>
      </c>
      <c r="H473" s="12" t="s">
        <v>5854</v>
      </c>
      <c r="I473" s="41" t="s">
        <v>6877</v>
      </c>
      <c r="M473" s="41" t="e">
        <f>VLOOKUP(I473,错误mRNA总表!D:I,6,FALSE)</f>
        <v>#N/A</v>
      </c>
    </row>
    <row r="474" spans="1:13" x14ac:dyDescent="0.2">
      <c r="A474" s="12" t="s">
        <v>4283</v>
      </c>
      <c r="B474" s="12" t="s">
        <v>4004</v>
      </c>
      <c r="C474" s="12">
        <v>1244294</v>
      </c>
      <c r="D474" s="12">
        <v>1248515</v>
      </c>
      <c r="E474" s="12" t="s">
        <v>3943</v>
      </c>
      <c r="F474" s="12">
        <v>2</v>
      </c>
      <c r="G474" s="41" t="s">
        <v>103</v>
      </c>
      <c r="H474" s="12" t="s">
        <v>5855</v>
      </c>
      <c r="I474" s="41" t="s">
        <v>6878</v>
      </c>
      <c r="M474" s="41" t="e">
        <f>VLOOKUP(I474,错误mRNA总表!D:I,6,FALSE)</f>
        <v>#N/A</v>
      </c>
    </row>
    <row r="475" spans="1:13" x14ac:dyDescent="0.2">
      <c r="A475" s="12" t="s">
        <v>4283</v>
      </c>
      <c r="B475" s="12" t="s">
        <v>4004</v>
      </c>
      <c r="C475" s="12">
        <v>1244294</v>
      </c>
      <c r="D475" s="12">
        <v>1249714</v>
      </c>
      <c r="E475" s="12" t="s">
        <v>3940</v>
      </c>
      <c r="F475" s="12">
        <v>2</v>
      </c>
      <c r="G475" s="41" t="s">
        <v>103</v>
      </c>
      <c r="H475" s="12" t="s">
        <v>5855</v>
      </c>
      <c r="I475" s="41" t="s">
        <v>6878</v>
      </c>
      <c r="M475" s="41" t="e">
        <f>VLOOKUP(I475,错误mRNA总表!D:I,6,FALSE)</f>
        <v>#N/A</v>
      </c>
    </row>
    <row r="476" spans="1:13" x14ac:dyDescent="0.2">
      <c r="A476" s="12" t="s">
        <v>4284</v>
      </c>
      <c r="B476" s="12" t="s">
        <v>3954</v>
      </c>
      <c r="C476" s="12">
        <v>39046451</v>
      </c>
      <c r="D476" s="12">
        <v>39046586</v>
      </c>
      <c r="E476" s="12" t="s">
        <v>3943</v>
      </c>
      <c r="F476" s="12">
        <v>1</v>
      </c>
      <c r="G476" s="41" t="s">
        <v>569</v>
      </c>
      <c r="H476" s="12" t="s">
        <v>5856</v>
      </c>
      <c r="I476" s="41" t="s">
        <v>6879</v>
      </c>
      <c r="M476" s="41" t="e">
        <f>VLOOKUP(I476,错误mRNA总表!D:I,6,FALSE)</f>
        <v>#N/A</v>
      </c>
    </row>
    <row r="477" spans="1:13" x14ac:dyDescent="0.2">
      <c r="A477" s="12" t="s">
        <v>4285</v>
      </c>
      <c r="B477" s="12" t="s">
        <v>3939</v>
      </c>
      <c r="C477" s="12">
        <v>122318096</v>
      </c>
      <c r="D477" s="12">
        <v>122318386</v>
      </c>
      <c r="E477" s="12" t="s">
        <v>3940</v>
      </c>
      <c r="F477" s="12">
        <v>1</v>
      </c>
      <c r="G477" s="41" t="s">
        <v>73</v>
      </c>
      <c r="H477" s="12" t="s">
        <v>1394</v>
      </c>
      <c r="I477" s="41" t="s">
        <v>3196</v>
      </c>
      <c r="J477" s="41" t="s">
        <v>3196</v>
      </c>
      <c r="K477" s="41" t="str">
        <f>VLOOKUP(J477,错误mRNA总表!D:J,7,FALSE)</f>
        <v/>
      </c>
      <c r="L477" s="41" t="s">
        <v>3762</v>
      </c>
      <c r="M477" s="41">
        <f>VLOOKUP(I477,错误mRNA总表!D:I,6,FALSE)</f>
        <v>0</v>
      </c>
    </row>
    <row r="478" spans="1:13" x14ac:dyDescent="0.2">
      <c r="A478" s="12" t="s">
        <v>4286</v>
      </c>
      <c r="B478" s="12" t="s">
        <v>3973</v>
      </c>
      <c r="C478" s="12">
        <v>41827603</v>
      </c>
      <c r="D478" s="12">
        <v>41847875</v>
      </c>
      <c r="E478" s="12" t="s">
        <v>3943</v>
      </c>
      <c r="F478" s="12">
        <v>1</v>
      </c>
      <c r="G478" s="41" t="s">
        <v>139</v>
      </c>
      <c r="H478" s="12" t="s">
        <v>5857</v>
      </c>
      <c r="I478" s="41" t="s">
        <v>6880</v>
      </c>
      <c r="M478" s="41" t="e">
        <f>VLOOKUP(I478,错误mRNA总表!D:I,6,FALSE)</f>
        <v>#N/A</v>
      </c>
    </row>
    <row r="479" spans="1:13" x14ac:dyDescent="0.2">
      <c r="A479" s="12" t="s">
        <v>4287</v>
      </c>
      <c r="B479" s="12" t="s">
        <v>3962</v>
      </c>
      <c r="C479" s="12">
        <v>35201876</v>
      </c>
      <c r="D479" s="12">
        <v>35221684</v>
      </c>
      <c r="E479" s="12" t="s">
        <v>3943</v>
      </c>
      <c r="F479" s="12">
        <v>4</v>
      </c>
      <c r="G479" s="41" t="s">
        <v>53</v>
      </c>
      <c r="H479" s="12" t="s">
        <v>5858</v>
      </c>
      <c r="I479" s="41" t="s">
        <v>6881</v>
      </c>
      <c r="M479" s="41" t="e">
        <f>VLOOKUP(I479,错误mRNA总表!D:I,6,FALSE)</f>
        <v>#N/A</v>
      </c>
    </row>
    <row r="480" spans="1:13" x14ac:dyDescent="0.2">
      <c r="A480" s="12" t="s">
        <v>4288</v>
      </c>
      <c r="B480" s="12" t="s">
        <v>4289</v>
      </c>
      <c r="C480" s="12">
        <v>16574</v>
      </c>
      <c r="D480" s="12">
        <v>16589</v>
      </c>
      <c r="E480" s="12" t="s">
        <v>3943</v>
      </c>
      <c r="F480" s="12">
        <v>6</v>
      </c>
      <c r="H480" s="12" t="s">
        <v>3511</v>
      </c>
      <c r="I480" s="41" t="s">
        <v>6882</v>
      </c>
      <c r="M480" s="41" t="e">
        <f>VLOOKUP(I480,错误mRNA总表!D:I,6,FALSE)</f>
        <v>#N/A</v>
      </c>
    </row>
    <row r="481" spans="1:13" x14ac:dyDescent="0.2">
      <c r="A481" s="12" t="s">
        <v>4288</v>
      </c>
      <c r="B481" s="12" t="s">
        <v>4289</v>
      </c>
      <c r="C481" s="12">
        <v>16574</v>
      </c>
      <c r="D481" s="12">
        <v>16613</v>
      </c>
      <c r="E481" s="12" t="s">
        <v>3940</v>
      </c>
      <c r="F481" s="12">
        <v>1</v>
      </c>
      <c r="H481" s="12" t="s">
        <v>3511</v>
      </c>
      <c r="I481" s="41" t="s">
        <v>6882</v>
      </c>
      <c r="M481" s="41" t="e">
        <f>VLOOKUP(I481,错误mRNA总表!D:I,6,FALSE)</f>
        <v>#N/A</v>
      </c>
    </row>
    <row r="482" spans="1:13" x14ac:dyDescent="0.2">
      <c r="A482" s="12" t="s">
        <v>4288</v>
      </c>
      <c r="B482" s="12" t="s">
        <v>4289</v>
      </c>
      <c r="C482" s="12">
        <v>16574</v>
      </c>
      <c r="D482" s="12">
        <v>16619</v>
      </c>
      <c r="E482" s="12" t="s">
        <v>3940</v>
      </c>
      <c r="F482" s="12">
        <v>2</v>
      </c>
      <c r="H482" s="12" t="s">
        <v>3511</v>
      </c>
      <c r="I482" s="41" t="s">
        <v>6882</v>
      </c>
      <c r="M482" s="41" t="e">
        <f>VLOOKUP(I482,错误mRNA总表!D:I,6,FALSE)</f>
        <v>#N/A</v>
      </c>
    </row>
    <row r="483" spans="1:13" x14ac:dyDescent="0.2">
      <c r="A483" s="12" t="s">
        <v>4288</v>
      </c>
      <c r="B483" s="12" t="s">
        <v>4289</v>
      </c>
      <c r="C483" s="12">
        <v>16574</v>
      </c>
      <c r="D483" s="12">
        <v>16633</v>
      </c>
      <c r="E483" s="12" t="s">
        <v>3940</v>
      </c>
      <c r="F483" s="12">
        <v>1</v>
      </c>
      <c r="H483" s="12" t="s">
        <v>3511</v>
      </c>
      <c r="I483" s="41" t="s">
        <v>6882</v>
      </c>
      <c r="M483" s="41" t="e">
        <f>VLOOKUP(I483,错误mRNA总表!D:I,6,FALSE)</f>
        <v>#N/A</v>
      </c>
    </row>
    <row r="484" spans="1:13" x14ac:dyDescent="0.2">
      <c r="A484" s="12" t="s">
        <v>4290</v>
      </c>
      <c r="B484" s="12" t="s">
        <v>3954</v>
      </c>
      <c r="C484" s="12">
        <v>76649829</v>
      </c>
      <c r="D484" s="12">
        <v>76650069</v>
      </c>
      <c r="E484" s="12" t="s">
        <v>3940</v>
      </c>
      <c r="F484" s="12">
        <v>23</v>
      </c>
      <c r="G484" s="41" t="s">
        <v>569</v>
      </c>
      <c r="H484" s="12" t="s">
        <v>596</v>
      </c>
      <c r="I484" s="41" t="s">
        <v>2241</v>
      </c>
      <c r="J484" s="41" t="s">
        <v>2241</v>
      </c>
      <c r="K484" s="41" t="str">
        <f>VLOOKUP(J484,错误mRNA总表!D:J,7,FALSE)</f>
        <v>纠后正确，区间略有变化，加41个氨基酸chr4:76657491-76735366</v>
      </c>
      <c r="L484" s="41" t="s">
        <v>3866</v>
      </c>
      <c r="M484" s="41" t="str">
        <f>VLOOKUP(I484,错误mRNA总表!D:I,6,FALSE)</f>
        <v>纠后正确，区间略有变化，加41个氨基酸chr4:76657491-76735366</v>
      </c>
    </row>
    <row r="485" spans="1:13" x14ac:dyDescent="0.2">
      <c r="A485" s="12" t="s">
        <v>4290</v>
      </c>
      <c r="B485" s="12" t="s">
        <v>3954</v>
      </c>
      <c r="C485" s="12">
        <v>76649829</v>
      </c>
      <c r="D485" s="12">
        <v>76657500</v>
      </c>
      <c r="E485" s="12" t="s">
        <v>3940</v>
      </c>
      <c r="F485" s="12">
        <v>96</v>
      </c>
      <c r="G485" s="41" t="s">
        <v>569</v>
      </c>
      <c r="H485" s="12" t="s">
        <v>596</v>
      </c>
      <c r="I485" s="41" t="s">
        <v>2241</v>
      </c>
      <c r="J485" s="41" t="s">
        <v>2241</v>
      </c>
      <c r="K485" s="41" t="str">
        <f>VLOOKUP(J485,错误mRNA总表!D:J,7,FALSE)</f>
        <v>纠后正确，区间略有变化，加41个氨基酸chr4:76657491-76735366</v>
      </c>
      <c r="L485" s="41" t="s">
        <v>3866</v>
      </c>
      <c r="M485" s="41" t="str">
        <f>VLOOKUP(I485,错误mRNA总表!D:I,6,FALSE)</f>
        <v>纠后正确，区间略有变化，加41个氨基酸chr4:76657491-76735366</v>
      </c>
    </row>
    <row r="486" spans="1:13" x14ac:dyDescent="0.2">
      <c r="A486" s="12" t="s">
        <v>4291</v>
      </c>
      <c r="B486" s="12" t="s">
        <v>4182</v>
      </c>
      <c r="C486" s="12">
        <v>7488</v>
      </c>
      <c r="D486" s="12">
        <v>7606</v>
      </c>
      <c r="E486" s="12" t="s">
        <v>3940</v>
      </c>
      <c r="F486" s="12">
        <v>315</v>
      </c>
      <c r="H486" s="12" t="s">
        <v>3458</v>
      </c>
      <c r="I486" s="41" t="s">
        <v>6883</v>
      </c>
      <c r="M486" s="41" t="e">
        <f>VLOOKUP(I486,错误mRNA总表!D:I,6,FALSE)</f>
        <v>#N/A</v>
      </c>
    </row>
    <row r="487" spans="1:13" x14ac:dyDescent="0.2">
      <c r="A487" s="12" t="s">
        <v>4291</v>
      </c>
      <c r="B487" s="12" t="s">
        <v>4182</v>
      </c>
      <c r="C487" s="12">
        <v>7488</v>
      </c>
      <c r="D487" s="12">
        <v>11613</v>
      </c>
      <c r="E487" s="12" t="s">
        <v>3940</v>
      </c>
      <c r="F487" s="12">
        <v>502</v>
      </c>
      <c r="H487" s="12" t="s">
        <v>3458</v>
      </c>
      <c r="I487" s="41" t="s">
        <v>6883</v>
      </c>
      <c r="M487" s="41" t="e">
        <f>VLOOKUP(I487,错误mRNA总表!D:I,6,FALSE)</f>
        <v>#N/A</v>
      </c>
    </row>
    <row r="488" spans="1:13" x14ac:dyDescent="0.2">
      <c r="A488" s="12" t="s">
        <v>4291</v>
      </c>
      <c r="B488" s="12" t="s">
        <v>4182</v>
      </c>
      <c r="C488" s="12">
        <v>7488</v>
      </c>
      <c r="D488" s="12">
        <v>11603</v>
      </c>
      <c r="E488" s="12" t="s">
        <v>3943</v>
      </c>
      <c r="F488" s="12">
        <v>1</v>
      </c>
      <c r="H488" s="12" t="s">
        <v>3458</v>
      </c>
      <c r="I488" s="41" t="s">
        <v>6883</v>
      </c>
      <c r="M488" s="41" t="e">
        <f>VLOOKUP(I488,错误mRNA总表!D:I,6,FALSE)</f>
        <v>#N/A</v>
      </c>
    </row>
    <row r="489" spans="1:13" x14ac:dyDescent="0.2">
      <c r="A489" s="12" t="s">
        <v>4291</v>
      </c>
      <c r="B489" s="12" t="s">
        <v>4182</v>
      </c>
      <c r="C489" s="12">
        <v>7488</v>
      </c>
      <c r="D489" s="12">
        <v>14720</v>
      </c>
      <c r="E489" s="12" t="s">
        <v>3940</v>
      </c>
      <c r="F489" s="12">
        <v>307</v>
      </c>
      <c r="H489" s="12" t="s">
        <v>3458</v>
      </c>
      <c r="I489" s="41" t="s">
        <v>6883</v>
      </c>
      <c r="M489" s="41" t="e">
        <f>VLOOKUP(I489,错误mRNA总表!D:I,6,FALSE)</f>
        <v>#N/A</v>
      </c>
    </row>
    <row r="490" spans="1:13" x14ac:dyDescent="0.2">
      <c r="A490" s="12" t="s">
        <v>4291</v>
      </c>
      <c r="B490" s="12" t="s">
        <v>4182</v>
      </c>
      <c r="C490" s="12">
        <v>7488</v>
      </c>
      <c r="D490" s="12">
        <v>15843</v>
      </c>
      <c r="E490" s="12" t="s">
        <v>3940</v>
      </c>
      <c r="F490" s="12">
        <v>172</v>
      </c>
      <c r="H490" s="12" t="s">
        <v>3458</v>
      </c>
      <c r="I490" s="41" t="s">
        <v>6883</v>
      </c>
      <c r="M490" s="41" t="e">
        <f>VLOOKUP(I490,错误mRNA总表!D:I,6,FALSE)</f>
        <v>#N/A</v>
      </c>
    </row>
    <row r="491" spans="1:13" x14ac:dyDescent="0.2">
      <c r="A491" s="12" t="s">
        <v>4291</v>
      </c>
      <c r="B491" s="12" t="s">
        <v>4182</v>
      </c>
      <c r="C491" s="12">
        <v>7488</v>
      </c>
      <c r="D491" s="12">
        <v>15821</v>
      </c>
      <c r="E491" s="12" t="s">
        <v>3940</v>
      </c>
      <c r="F491" s="12">
        <v>3</v>
      </c>
      <c r="H491" s="12" t="s">
        <v>3458</v>
      </c>
      <c r="I491" s="41" t="s">
        <v>6883</v>
      </c>
      <c r="M491" s="41" t="e">
        <f>VLOOKUP(I491,错误mRNA总表!D:I,6,FALSE)</f>
        <v>#N/A</v>
      </c>
    </row>
    <row r="492" spans="1:13" x14ac:dyDescent="0.2">
      <c r="A492" s="12" t="s">
        <v>4002</v>
      </c>
      <c r="B492" s="12" t="s">
        <v>3969</v>
      </c>
      <c r="C492" s="12">
        <v>1019459</v>
      </c>
      <c r="D492" s="12">
        <v>1019626</v>
      </c>
      <c r="E492" s="12" t="s">
        <v>3943</v>
      </c>
      <c r="F492" s="12">
        <v>1</v>
      </c>
      <c r="H492" s="12" t="s">
        <v>5781</v>
      </c>
      <c r="I492" s="41" t="s">
        <v>6884</v>
      </c>
      <c r="M492" s="41" t="e">
        <f>VLOOKUP(I492,错误mRNA总表!D:I,6,FALSE)</f>
        <v>#N/A</v>
      </c>
    </row>
    <row r="493" spans="1:13" x14ac:dyDescent="0.2">
      <c r="A493" s="12" t="s">
        <v>4292</v>
      </c>
      <c r="B493" s="12" t="s">
        <v>3986</v>
      </c>
      <c r="C493" s="12">
        <v>45010211</v>
      </c>
      <c r="D493" s="12">
        <v>45016990</v>
      </c>
      <c r="E493" s="12" t="s">
        <v>3943</v>
      </c>
      <c r="F493" s="12">
        <v>1</v>
      </c>
      <c r="G493" s="41" t="s">
        <v>50</v>
      </c>
      <c r="H493" s="12" t="s">
        <v>58</v>
      </c>
      <c r="I493" s="41" t="s">
        <v>2085</v>
      </c>
      <c r="J493" s="41" t="s">
        <v>2085</v>
      </c>
      <c r="K493" s="41" t="str">
        <f>VLOOKUP(J493,错误mRNA总表!D:J,7,FALSE)</f>
        <v>纠后正确</v>
      </c>
      <c r="L493" s="41" t="s">
        <v>3763</v>
      </c>
      <c r="M493" s="41">
        <f>VLOOKUP(I493,错误mRNA总表!D:I,6,FALSE)</f>
        <v>0</v>
      </c>
    </row>
    <row r="494" spans="1:13" x14ac:dyDescent="0.2">
      <c r="A494" s="12" t="s">
        <v>4268</v>
      </c>
      <c r="B494" s="12" t="s">
        <v>4098</v>
      </c>
      <c r="C494" s="12">
        <v>288602</v>
      </c>
      <c r="D494" s="12">
        <v>288774</v>
      </c>
      <c r="E494" s="12" t="s">
        <v>3940</v>
      </c>
      <c r="F494" s="12">
        <v>2</v>
      </c>
      <c r="H494" s="12" t="s">
        <v>3659</v>
      </c>
      <c r="I494" s="41" t="s">
        <v>6885</v>
      </c>
      <c r="M494" s="41" t="e">
        <f>VLOOKUP(I494,错误mRNA总表!D:I,6,FALSE)</f>
        <v>#N/A</v>
      </c>
    </row>
    <row r="495" spans="1:13" x14ac:dyDescent="0.2">
      <c r="A495" s="12" t="s">
        <v>4293</v>
      </c>
      <c r="B495" s="12" t="s">
        <v>3986</v>
      </c>
      <c r="C495" s="12">
        <v>4909442</v>
      </c>
      <c r="D495" s="12">
        <v>4954680</v>
      </c>
      <c r="E495" s="12" t="s">
        <v>3940</v>
      </c>
      <c r="F495" s="12">
        <v>1</v>
      </c>
      <c r="G495" s="41" t="s">
        <v>50</v>
      </c>
      <c r="H495" s="12" t="s">
        <v>193</v>
      </c>
      <c r="I495" s="41" t="s">
        <v>6886</v>
      </c>
      <c r="J495" s="41" t="s">
        <v>2202</v>
      </c>
      <c r="K495" s="41" t="str">
        <f>VLOOKUP(J495,错误mRNA总表!D:J,7,FALSE)</f>
        <v>纠后正确</v>
      </c>
      <c r="M495" s="41" t="e">
        <f>VLOOKUP(I495,错误mRNA总表!D:I,6,FALSE)</f>
        <v>#N/A</v>
      </c>
    </row>
    <row r="496" spans="1:13" x14ac:dyDescent="0.2">
      <c r="A496" s="12" t="s">
        <v>4294</v>
      </c>
      <c r="B496" s="12" t="s">
        <v>3984</v>
      </c>
      <c r="C496" s="12">
        <v>928077</v>
      </c>
      <c r="D496" s="12">
        <v>943429</v>
      </c>
      <c r="E496" s="12" t="s">
        <v>3943</v>
      </c>
      <c r="F496" s="12">
        <v>4</v>
      </c>
      <c r="H496" s="12" t="s">
        <v>3525</v>
      </c>
      <c r="I496" s="41" t="s">
        <v>6887</v>
      </c>
      <c r="M496" s="41" t="e">
        <f>VLOOKUP(I496,错误mRNA总表!D:I,6,FALSE)</f>
        <v>#N/A</v>
      </c>
    </row>
    <row r="497" spans="1:13" x14ac:dyDescent="0.2">
      <c r="A497" s="12" t="s">
        <v>4295</v>
      </c>
      <c r="B497" s="12" t="s">
        <v>3984</v>
      </c>
      <c r="C497" s="12">
        <v>2922643</v>
      </c>
      <c r="D497" s="12">
        <v>2922659</v>
      </c>
      <c r="E497" s="12" t="s">
        <v>3943</v>
      </c>
      <c r="F497" s="12">
        <v>5</v>
      </c>
      <c r="H497" s="12" t="s">
        <v>3565</v>
      </c>
      <c r="I497" s="41" t="s">
        <v>6888</v>
      </c>
      <c r="M497" s="41" t="e">
        <f>VLOOKUP(I497,错误mRNA总表!D:I,6,FALSE)</f>
        <v>#N/A</v>
      </c>
    </row>
    <row r="498" spans="1:13" x14ac:dyDescent="0.2">
      <c r="A498" s="12" t="s">
        <v>4295</v>
      </c>
      <c r="B498" s="12" t="s">
        <v>3984</v>
      </c>
      <c r="C498" s="12">
        <v>2922643</v>
      </c>
      <c r="D498" s="12">
        <v>2923119</v>
      </c>
      <c r="E498" s="12" t="s">
        <v>3943</v>
      </c>
      <c r="F498" s="12">
        <v>1</v>
      </c>
      <c r="H498" s="12" t="s">
        <v>3565</v>
      </c>
      <c r="I498" s="41" t="s">
        <v>6888</v>
      </c>
      <c r="M498" s="41" t="e">
        <f>VLOOKUP(I498,错误mRNA总表!D:I,6,FALSE)</f>
        <v>#N/A</v>
      </c>
    </row>
    <row r="499" spans="1:13" x14ac:dyDescent="0.2">
      <c r="A499" s="12" t="s">
        <v>4295</v>
      </c>
      <c r="B499" s="12" t="s">
        <v>3984</v>
      </c>
      <c r="C499" s="12">
        <v>2922643</v>
      </c>
      <c r="D499" s="12">
        <v>2923239</v>
      </c>
      <c r="E499" s="12" t="s">
        <v>3940</v>
      </c>
      <c r="F499" s="12">
        <v>1</v>
      </c>
      <c r="H499" s="12" t="s">
        <v>3565</v>
      </c>
      <c r="I499" s="41" t="s">
        <v>6888</v>
      </c>
      <c r="M499" s="41" t="e">
        <f>VLOOKUP(I499,错误mRNA总表!D:I,6,FALSE)</f>
        <v>#N/A</v>
      </c>
    </row>
    <row r="500" spans="1:13" x14ac:dyDescent="0.2">
      <c r="A500" s="12" t="s">
        <v>4296</v>
      </c>
      <c r="B500" s="12" t="s">
        <v>4042</v>
      </c>
      <c r="C500" s="12">
        <v>78396948</v>
      </c>
      <c r="D500" s="12">
        <v>78397349</v>
      </c>
      <c r="E500" s="12" t="s">
        <v>3943</v>
      </c>
      <c r="F500" s="12">
        <v>1</v>
      </c>
      <c r="G500" s="41" t="s">
        <v>113</v>
      </c>
      <c r="H500" s="12" t="s">
        <v>5859</v>
      </c>
      <c r="I500" s="41" t="s">
        <v>6889</v>
      </c>
      <c r="M500" s="41" t="e">
        <f>VLOOKUP(I500,错误mRNA总表!D:I,6,FALSE)</f>
        <v>#N/A</v>
      </c>
    </row>
    <row r="501" spans="1:13" x14ac:dyDescent="0.2">
      <c r="A501" s="12" t="s">
        <v>4297</v>
      </c>
      <c r="B501" s="12" t="s">
        <v>3989</v>
      </c>
      <c r="C501" s="12">
        <v>205231</v>
      </c>
      <c r="D501" s="12">
        <v>205290</v>
      </c>
      <c r="E501" s="12" t="s">
        <v>3940</v>
      </c>
      <c r="F501" s="12">
        <v>2</v>
      </c>
      <c r="H501" s="12" t="s">
        <v>5860</v>
      </c>
      <c r="I501" s="41" t="s">
        <v>6890</v>
      </c>
      <c r="M501" s="41" t="e">
        <f>VLOOKUP(I501,错误mRNA总表!D:I,6,FALSE)</f>
        <v>#N/A</v>
      </c>
    </row>
    <row r="502" spans="1:13" x14ac:dyDescent="0.2">
      <c r="A502" s="12" t="s">
        <v>4298</v>
      </c>
      <c r="B502" s="12" t="s">
        <v>4001</v>
      </c>
      <c r="C502" s="12">
        <v>3604982</v>
      </c>
      <c r="D502" s="12">
        <v>3604983</v>
      </c>
      <c r="E502" s="12" t="s">
        <v>3940</v>
      </c>
      <c r="F502" s="12">
        <v>2</v>
      </c>
      <c r="H502" s="12" t="s">
        <v>3432</v>
      </c>
      <c r="I502" s="41" t="s">
        <v>6891</v>
      </c>
      <c r="M502" s="41" t="e">
        <f>VLOOKUP(I502,错误mRNA总表!D:I,6,FALSE)</f>
        <v>#N/A</v>
      </c>
    </row>
    <row r="503" spans="1:13" x14ac:dyDescent="0.2">
      <c r="A503" s="12" t="s">
        <v>4299</v>
      </c>
      <c r="B503" s="12" t="s">
        <v>3957</v>
      </c>
      <c r="C503" s="12">
        <v>118914896</v>
      </c>
      <c r="D503" s="12">
        <v>118915757</v>
      </c>
      <c r="E503" s="12" t="s">
        <v>3943</v>
      </c>
      <c r="F503" s="12">
        <v>1</v>
      </c>
      <c r="G503" s="41" t="s">
        <v>36</v>
      </c>
      <c r="H503" s="12" t="s">
        <v>3613</v>
      </c>
      <c r="I503" s="41" t="s">
        <v>6892</v>
      </c>
      <c r="M503" s="41" t="e">
        <f>VLOOKUP(I503,错误mRNA总表!D:I,6,FALSE)</f>
        <v>#N/A</v>
      </c>
    </row>
    <row r="504" spans="1:13" x14ac:dyDescent="0.2">
      <c r="A504" s="12" t="s">
        <v>4300</v>
      </c>
      <c r="B504" s="12" t="s">
        <v>3939</v>
      </c>
      <c r="C504" s="12">
        <v>47915699</v>
      </c>
      <c r="D504" s="12">
        <v>47925726</v>
      </c>
      <c r="E504" s="12" t="s">
        <v>3940</v>
      </c>
      <c r="F504" s="12">
        <v>1</v>
      </c>
      <c r="G504" s="41" t="s">
        <v>73</v>
      </c>
      <c r="H504" s="12" t="s">
        <v>5861</v>
      </c>
      <c r="I504" s="41" t="s">
        <v>6893</v>
      </c>
      <c r="M504" s="41" t="e">
        <f>VLOOKUP(I504,错误mRNA总表!D:I,6,FALSE)</f>
        <v>#N/A</v>
      </c>
    </row>
    <row r="505" spans="1:13" x14ac:dyDescent="0.2">
      <c r="A505" s="12" t="s">
        <v>4301</v>
      </c>
      <c r="B505" s="12" t="s">
        <v>3984</v>
      </c>
      <c r="C505" s="12">
        <v>4591540</v>
      </c>
      <c r="D505" s="12">
        <v>4609736</v>
      </c>
      <c r="E505" s="12" t="s">
        <v>3940</v>
      </c>
      <c r="F505" s="12">
        <v>12</v>
      </c>
      <c r="H505" s="12" t="s">
        <v>3595</v>
      </c>
      <c r="I505" s="41" t="s">
        <v>6894</v>
      </c>
      <c r="M505" s="41" t="e">
        <f>VLOOKUP(I505,错误mRNA总表!D:I,6,FALSE)</f>
        <v>#N/A</v>
      </c>
    </row>
    <row r="506" spans="1:13" x14ac:dyDescent="0.2">
      <c r="A506" s="12" t="s">
        <v>4302</v>
      </c>
      <c r="B506" s="12" t="s">
        <v>4052</v>
      </c>
      <c r="C506" s="12">
        <v>61005889</v>
      </c>
      <c r="D506" s="12">
        <v>61122268</v>
      </c>
      <c r="E506" s="12" t="s">
        <v>3940</v>
      </c>
      <c r="F506" s="12">
        <v>2</v>
      </c>
      <c r="G506" s="41" t="s">
        <v>93</v>
      </c>
      <c r="H506" s="12" t="s">
        <v>6503</v>
      </c>
      <c r="I506" s="41" t="s">
        <v>6895</v>
      </c>
      <c r="M506" s="41" t="e">
        <f>VLOOKUP(I506,错误mRNA总表!D:I,6,FALSE)</f>
        <v>#N/A</v>
      </c>
    </row>
    <row r="507" spans="1:13" x14ac:dyDescent="0.2">
      <c r="A507" s="12" t="s">
        <v>4302</v>
      </c>
      <c r="B507" s="12" t="s">
        <v>4052</v>
      </c>
      <c r="C507" s="12">
        <v>61005889</v>
      </c>
      <c r="D507" s="12">
        <v>61006802</v>
      </c>
      <c r="E507" s="12" t="s">
        <v>3940</v>
      </c>
      <c r="F507" s="12">
        <v>1</v>
      </c>
      <c r="G507" s="41" t="s">
        <v>93</v>
      </c>
      <c r="H507" s="12" t="s">
        <v>6503</v>
      </c>
      <c r="I507" s="41" t="s">
        <v>6895</v>
      </c>
      <c r="M507" s="41" t="e">
        <f>VLOOKUP(I507,错误mRNA总表!D:I,6,FALSE)</f>
        <v>#N/A</v>
      </c>
    </row>
    <row r="508" spans="1:13" x14ac:dyDescent="0.2">
      <c r="A508" s="12" t="s">
        <v>4303</v>
      </c>
      <c r="B508" s="12" t="s">
        <v>3946</v>
      </c>
      <c r="C508" s="12">
        <v>43189008</v>
      </c>
      <c r="D508" s="12">
        <v>43192549</v>
      </c>
      <c r="E508" s="12" t="s">
        <v>3940</v>
      </c>
      <c r="F508" s="12">
        <v>1</v>
      </c>
      <c r="G508" s="41" t="s">
        <v>47</v>
      </c>
      <c r="H508" s="12" t="s">
        <v>123</v>
      </c>
      <c r="I508" s="41" t="s">
        <v>2120</v>
      </c>
      <c r="J508" s="41" t="s">
        <v>2120</v>
      </c>
      <c r="K508" s="41" t="str">
        <f>VLOOKUP(J508,错误mRNA总表!D:J,7,FALSE)</f>
        <v>纠后正确</v>
      </c>
      <c r="L508" s="41" t="s">
        <v>3763</v>
      </c>
      <c r="M508" s="41">
        <f>VLOOKUP(I508,错误mRNA总表!D:I,6,FALSE)</f>
        <v>0</v>
      </c>
    </row>
    <row r="509" spans="1:13" x14ac:dyDescent="0.2">
      <c r="A509" s="12" t="s">
        <v>4304</v>
      </c>
      <c r="B509" s="12" t="s">
        <v>3946</v>
      </c>
      <c r="C509" s="12">
        <v>48211101</v>
      </c>
      <c r="D509" s="12">
        <v>48227384</v>
      </c>
      <c r="E509" s="12" t="s">
        <v>3940</v>
      </c>
      <c r="F509" s="12">
        <v>2</v>
      </c>
      <c r="G509" s="41" t="s">
        <v>47</v>
      </c>
      <c r="H509" s="12" t="s">
        <v>1187</v>
      </c>
      <c r="I509" s="41" t="s">
        <v>3388</v>
      </c>
      <c r="J509" s="41" t="s">
        <v>3388</v>
      </c>
      <c r="K509" s="41" t="str">
        <f>VLOOKUP(J509,错误mRNA总表!D:J,7,FALSE)</f>
        <v>纠后正确</v>
      </c>
      <c r="L509" s="41" t="s">
        <v>3763</v>
      </c>
      <c r="M509" s="41">
        <f>VLOOKUP(I509,错误mRNA总表!D:I,6,FALSE)</f>
        <v>0</v>
      </c>
    </row>
    <row r="510" spans="1:13" x14ac:dyDescent="0.2">
      <c r="A510" s="12" t="s">
        <v>4304</v>
      </c>
      <c r="B510" s="12" t="s">
        <v>3946</v>
      </c>
      <c r="C510" s="12">
        <v>48211101</v>
      </c>
      <c r="D510" s="12">
        <v>48227403</v>
      </c>
      <c r="E510" s="12" t="s">
        <v>3940</v>
      </c>
      <c r="F510" s="12">
        <v>2</v>
      </c>
      <c r="G510" s="41" t="s">
        <v>47</v>
      </c>
      <c r="H510" s="12" t="s">
        <v>1187</v>
      </c>
      <c r="I510" s="41" t="s">
        <v>3388</v>
      </c>
      <c r="J510" s="41" t="s">
        <v>3388</v>
      </c>
      <c r="K510" s="41" t="str">
        <f>VLOOKUP(J510,错误mRNA总表!D:J,7,FALSE)</f>
        <v>纠后正确</v>
      </c>
      <c r="L510" s="41" t="s">
        <v>3763</v>
      </c>
      <c r="M510" s="41">
        <f>VLOOKUP(I510,错误mRNA总表!D:I,6,FALSE)</f>
        <v>0</v>
      </c>
    </row>
    <row r="511" spans="1:13" x14ac:dyDescent="0.2">
      <c r="A511" s="12" t="s">
        <v>4304</v>
      </c>
      <c r="B511" s="12" t="s">
        <v>3946</v>
      </c>
      <c r="C511" s="12">
        <v>48211101</v>
      </c>
      <c r="D511" s="12">
        <v>48212647</v>
      </c>
      <c r="E511" s="12" t="s">
        <v>3943</v>
      </c>
      <c r="F511" s="12">
        <v>1</v>
      </c>
      <c r="G511" s="41" t="s">
        <v>47</v>
      </c>
      <c r="H511" s="12" t="s">
        <v>1187</v>
      </c>
      <c r="I511" s="41" t="s">
        <v>3388</v>
      </c>
      <c r="J511" s="41" t="s">
        <v>3388</v>
      </c>
      <c r="K511" s="41" t="str">
        <f>VLOOKUP(J511,错误mRNA总表!D:J,7,FALSE)</f>
        <v>纠后正确</v>
      </c>
      <c r="L511" s="41" t="s">
        <v>3763</v>
      </c>
      <c r="M511" s="41">
        <f>VLOOKUP(I511,错误mRNA总表!D:I,6,FALSE)</f>
        <v>0</v>
      </c>
    </row>
    <row r="512" spans="1:13" x14ac:dyDescent="0.2">
      <c r="A512" s="12" t="s">
        <v>4241</v>
      </c>
      <c r="B512" s="12" t="s">
        <v>3950</v>
      </c>
      <c r="C512" s="12">
        <v>248562</v>
      </c>
      <c r="D512" s="12">
        <v>248597</v>
      </c>
      <c r="E512" s="12" t="s">
        <v>3940</v>
      </c>
      <c r="F512" s="12">
        <v>2</v>
      </c>
      <c r="H512" s="12" t="s">
        <v>5908</v>
      </c>
      <c r="I512" s="41" t="s">
        <v>6896</v>
      </c>
      <c r="M512" s="41" t="e">
        <f>VLOOKUP(I512,错误mRNA总表!D:I,6,FALSE)</f>
        <v>#N/A</v>
      </c>
    </row>
    <row r="513" spans="1:13" x14ac:dyDescent="0.2">
      <c r="A513" s="12" t="s">
        <v>4305</v>
      </c>
      <c r="B513" s="12" t="s">
        <v>4306</v>
      </c>
      <c r="C513" s="12">
        <v>6428</v>
      </c>
      <c r="D513" s="12">
        <v>6459</v>
      </c>
      <c r="E513" s="12" t="s">
        <v>3940</v>
      </c>
      <c r="F513" s="12">
        <v>74</v>
      </c>
      <c r="H513" s="12" t="s">
        <v>805</v>
      </c>
      <c r="I513" s="41" t="s">
        <v>6897</v>
      </c>
      <c r="J513" s="41" t="s">
        <v>2718</v>
      </c>
      <c r="K513" s="41" t="str">
        <f>VLOOKUP(J513,错误mRNA总表!D:J,7,FALSE)</f>
        <v/>
      </c>
      <c r="M513" s="41" t="e">
        <f>VLOOKUP(I513,错误mRNA总表!D:I,6,FALSE)</f>
        <v>#N/A</v>
      </c>
    </row>
    <row r="514" spans="1:13" x14ac:dyDescent="0.2">
      <c r="A514" s="12" t="s">
        <v>4305</v>
      </c>
      <c r="B514" s="12" t="s">
        <v>4306</v>
      </c>
      <c r="C514" s="12">
        <v>6428</v>
      </c>
      <c r="D514" s="12">
        <v>6433</v>
      </c>
      <c r="E514" s="12" t="s">
        <v>3940</v>
      </c>
      <c r="F514" s="12">
        <v>1</v>
      </c>
      <c r="H514" s="12" t="s">
        <v>805</v>
      </c>
      <c r="I514" s="41" t="s">
        <v>6897</v>
      </c>
      <c r="J514" s="41" t="s">
        <v>2718</v>
      </c>
      <c r="K514" s="41" t="str">
        <f>VLOOKUP(J514,错误mRNA总表!D:J,7,FALSE)</f>
        <v/>
      </c>
      <c r="M514" s="41" t="e">
        <f>VLOOKUP(I514,错误mRNA总表!D:I,6,FALSE)</f>
        <v>#N/A</v>
      </c>
    </row>
    <row r="515" spans="1:13" x14ac:dyDescent="0.2">
      <c r="A515" s="12" t="s">
        <v>4307</v>
      </c>
      <c r="B515" s="12" t="s">
        <v>3994</v>
      </c>
      <c r="C515" s="12">
        <v>4429151</v>
      </c>
      <c r="D515" s="12">
        <v>4431177</v>
      </c>
      <c r="E515" s="12" t="s">
        <v>3940</v>
      </c>
      <c r="F515" s="12">
        <v>1</v>
      </c>
      <c r="H515" s="12" t="s">
        <v>3585</v>
      </c>
      <c r="I515" s="41" t="s">
        <v>6898</v>
      </c>
      <c r="M515" s="41" t="e">
        <f>VLOOKUP(I515,错误mRNA总表!D:I,6,FALSE)</f>
        <v>#N/A</v>
      </c>
    </row>
    <row r="516" spans="1:13" x14ac:dyDescent="0.2">
      <c r="A516" s="12" t="s">
        <v>4308</v>
      </c>
      <c r="B516" s="12" t="s">
        <v>3984</v>
      </c>
      <c r="C516" s="12">
        <v>2422152</v>
      </c>
      <c r="D516" s="12">
        <v>2427462</v>
      </c>
      <c r="E516" s="12" t="s">
        <v>3943</v>
      </c>
      <c r="F516" s="12">
        <v>1</v>
      </c>
      <c r="H516" s="12" t="s">
        <v>5862</v>
      </c>
      <c r="I516" s="41" t="s">
        <v>6899</v>
      </c>
      <c r="M516" s="41" t="e">
        <f>VLOOKUP(I516,错误mRNA总表!D:I,6,FALSE)</f>
        <v>#N/A</v>
      </c>
    </row>
    <row r="517" spans="1:13" x14ac:dyDescent="0.2">
      <c r="A517" s="12" t="s">
        <v>4309</v>
      </c>
      <c r="B517" s="12" t="s">
        <v>4023</v>
      </c>
      <c r="C517" s="12">
        <v>1151952</v>
      </c>
      <c r="D517" s="12">
        <v>1153090</v>
      </c>
      <c r="E517" s="12" t="s">
        <v>3943</v>
      </c>
      <c r="F517" s="12">
        <v>1</v>
      </c>
      <c r="H517" s="12" t="s">
        <v>6373</v>
      </c>
      <c r="I517" s="41" t="s">
        <v>6678</v>
      </c>
      <c r="M517" s="41" t="e">
        <f>VLOOKUP(I517,错误mRNA总表!D:I,6,FALSE)</f>
        <v>#N/A</v>
      </c>
    </row>
    <row r="518" spans="1:13" x14ac:dyDescent="0.2">
      <c r="A518" s="12" t="s">
        <v>4310</v>
      </c>
      <c r="B518" s="12" t="s">
        <v>3973</v>
      </c>
      <c r="C518" s="12">
        <v>223714972</v>
      </c>
      <c r="D518" s="12">
        <v>223743132</v>
      </c>
      <c r="E518" s="12" t="s">
        <v>3940</v>
      </c>
      <c r="F518" s="12">
        <v>95</v>
      </c>
      <c r="G518" s="41" t="s">
        <v>139</v>
      </c>
      <c r="H518" s="12" t="s">
        <v>399</v>
      </c>
      <c r="I518" s="41" t="s">
        <v>2226</v>
      </c>
      <c r="J518" s="41" t="s">
        <v>2226</v>
      </c>
      <c r="K518" s="41" t="str">
        <f>VLOOKUP(J518,错误mRNA总表!D:J,7,FALSE)</f>
        <v>多98个氨基酸，但无法验证哪个正确，NCBIrs无氨基酸注释信息chr1:223715199-223743130</v>
      </c>
      <c r="L518" s="41" t="s">
        <v>8337</v>
      </c>
      <c r="M518" s="41">
        <f>VLOOKUP(I518,错误mRNA总表!D:I,6,FALSE)</f>
        <v>0</v>
      </c>
    </row>
    <row r="519" spans="1:13" x14ac:dyDescent="0.2">
      <c r="A519" s="12" t="s">
        <v>4310</v>
      </c>
      <c r="B519" s="12" t="s">
        <v>3973</v>
      </c>
      <c r="C519" s="12">
        <v>223714972</v>
      </c>
      <c r="D519" s="12">
        <v>223724382</v>
      </c>
      <c r="E519" s="12" t="s">
        <v>3940</v>
      </c>
      <c r="F519" s="12">
        <v>199</v>
      </c>
      <c r="G519" s="41" t="s">
        <v>139</v>
      </c>
      <c r="H519" s="12" t="s">
        <v>399</v>
      </c>
      <c r="I519" s="41" t="s">
        <v>2226</v>
      </c>
      <c r="J519" s="41" t="s">
        <v>2226</v>
      </c>
      <c r="K519" s="41" t="str">
        <f>VLOOKUP(J519,错误mRNA总表!D:J,7,FALSE)</f>
        <v>多98个氨基酸，但无法验证哪个正确，NCBIrs无氨基酸注释信息chr1:223715199-223743130</v>
      </c>
      <c r="L519" s="41" t="s">
        <v>8337</v>
      </c>
      <c r="M519" s="41">
        <f>VLOOKUP(I519,错误mRNA总表!D:I,6,FALSE)</f>
        <v>0</v>
      </c>
    </row>
    <row r="520" spans="1:13" x14ac:dyDescent="0.2">
      <c r="A520" s="12" t="s">
        <v>4311</v>
      </c>
      <c r="B520" s="12" t="s">
        <v>4004</v>
      </c>
      <c r="C520" s="12">
        <v>30601682</v>
      </c>
      <c r="D520" s="12">
        <v>30620844</v>
      </c>
      <c r="E520" s="12" t="s">
        <v>3940</v>
      </c>
      <c r="F520" s="12">
        <v>1</v>
      </c>
      <c r="G520" s="41" t="s">
        <v>103</v>
      </c>
      <c r="H520" s="12" t="s">
        <v>5863</v>
      </c>
      <c r="I520" s="41" t="s">
        <v>6900</v>
      </c>
      <c r="M520" s="41" t="e">
        <f>VLOOKUP(I520,错误mRNA总表!D:I,6,FALSE)</f>
        <v>#N/A</v>
      </c>
    </row>
    <row r="521" spans="1:13" x14ac:dyDescent="0.2">
      <c r="A521" s="12" t="s">
        <v>4312</v>
      </c>
      <c r="B521" s="12" t="s">
        <v>3978</v>
      </c>
      <c r="C521" s="12">
        <v>133875978</v>
      </c>
      <c r="D521" s="12">
        <v>133969437</v>
      </c>
      <c r="E521" s="12" t="s">
        <v>3940</v>
      </c>
      <c r="F521" s="12">
        <v>1</v>
      </c>
      <c r="G521" s="41" t="s">
        <v>86</v>
      </c>
      <c r="H521" s="12" t="s">
        <v>143</v>
      </c>
      <c r="I521" s="41" t="s">
        <v>2132</v>
      </c>
      <c r="J521" s="41" t="s">
        <v>2132</v>
      </c>
      <c r="K521" s="41" t="str">
        <f>VLOOKUP(J521,错误mRNA总表!D:J,7,FALSE)</f>
        <v>纠后正确</v>
      </c>
      <c r="L521" s="41" t="s">
        <v>3763</v>
      </c>
      <c r="M521" s="41">
        <f>VLOOKUP(I521,错误mRNA总表!D:I,6,FALSE)</f>
        <v>0</v>
      </c>
    </row>
    <row r="522" spans="1:13" x14ac:dyDescent="0.2">
      <c r="A522" s="12" t="s">
        <v>4312</v>
      </c>
      <c r="B522" s="12" t="s">
        <v>3978</v>
      </c>
      <c r="C522" s="12">
        <v>133875978</v>
      </c>
      <c r="D522" s="12">
        <v>133969487</v>
      </c>
      <c r="E522" s="12" t="s">
        <v>3940</v>
      </c>
      <c r="F522" s="12">
        <v>1</v>
      </c>
      <c r="G522" s="41" t="s">
        <v>86</v>
      </c>
      <c r="H522" s="12" t="s">
        <v>143</v>
      </c>
      <c r="I522" s="41" t="s">
        <v>2132</v>
      </c>
      <c r="J522" s="41" t="s">
        <v>2132</v>
      </c>
      <c r="K522" s="41" t="str">
        <f>VLOOKUP(J522,错误mRNA总表!D:J,7,FALSE)</f>
        <v>纠后正确</v>
      </c>
      <c r="L522" s="41" t="s">
        <v>3763</v>
      </c>
      <c r="M522" s="41">
        <f>VLOOKUP(I522,错误mRNA总表!D:I,6,FALSE)</f>
        <v>0</v>
      </c>
    </row>
    <row r="523" spans="1:13" x14ac:dyDescent="0.2">
      <c r="A523" s="12" t="s">
        <v>4313</v>
      </c>
      <c r="B523" s="12" t="s">
        <v>4023</v>
      </c>
      <c r="C523" s="12">
        <v>1461296</v>
      </c>
      <c r="D523" s="12">
        <v>1462945</v>
      </c>
      <c r="E523" s="12" t="s">
        <v>3943</v>
      </c>
      <c r="F523" s="12">
        <v>21</v>
      </c>
      <c r="H523" s="12" t="s">
        <v>5864</v>
      </c>
      <c r="I523" s="41" t="s">
        <v>6901</v>
      </c>
      <c r="M523" s="41" t="e">
        <f>VLOOKUP(I523,错误mRNA总表!D:I,6,FALSE)</f>
        <v>#N/A</v>
      </c>
    </row>
    <row r="524" spans="1:13" x14ac:dyDescent="0.2">
      <c r="A524" s="12" t="s">
        <v>4314</v>
      </c>
      <c r="B524" s="12" t="s">
        <v>4004</v>
      </c>
      <c r="C524" s="12">
        <v>17396286</v>
      </c>
      <c r="D524" s="12">
        <v>17425539</v>
      </c>
      <c r="E524" s="12" t="s">
        <v>3940</v>
      </c>
      <c r="F524" s="12">
        <v>1</v>
      </c>
      <c r="G524" s="41" t="s">
        <v>103</v>
      </c>
      <c r="H524" s="12" t="s">
        <v>5865</v>
      </c>
      <c r="I524" s="41" t="s">
        <v>6902</v>
      </c>
      <c r="M524" s="41" t="e">
        <f>VLOOKUP(I524,错误mRNA总表!D:I,6,FALSE)</f>
        <v>#N/A</v>
      </c>
    </row>
    <row r="525" spans="1:13" x14ac:dyDescent="0.2">
      <c r="A525" s="12" t="s">
        <v>4315</v>
      </c>
      <c r="B525" s="12" t="s">
        <v>3989</v>
      </c>
      <c r="C525" s="12">
        <v>3038543</v>
      </c>
      <c r="D525" s="12">
        <v>3039908</v>
      </c>
      <c r="E525" s="12" t="s">
        <v>3940</v>
      </c>
      <c r="F525" s="12">
        <v>223</v>
      </c>
      <c r="H525" s="12" t="s">
        <v>3428</v>
      </c>
      <c r="I525" s="41" t="s">
        <v>6903</v>
      </c>
      <c r="M525" s="41" t="e">
        <f>VLOOKUP(I525,错误mRNA总表!D:I,6,FALSE)</f>
        <v>#N/A</v>
      </c>
    </row>
    <row r="526" spans="1:13" x14ac:dyDescent="0.2">
      <c r="A526" s="12" t="s">
        <v>4315</v>
      </c>
      <c r="B526" s="12" t="s">
        <v>3989</v>
      </c>
      <c r="C526" s="12">
        <v>3038543</v>
      </c>
      <c r="D526" s="12">
        <v>3039896</v>
      </c>
      <c r="E526" s="12" t="s">
        <v>3943</v>
      </c>
      <c r="F526" s="12">
        <v>3</v>
      </c>
      <c r="H526" s="12" t="s">
        <v>3428</v>
      </c>
      <c r="I526" s="41" t="s">
        <v>6903</v>
      </c>
      <c r="M526" s="41" t="e">
        <f>VLOOKUP(I526,错误mRNA总表!D:I,6,FALSE)</f>
        <v>#N/A</v>
      </c>
    </row>
    <row r="527" spans="1:13" x14ac:dyDescent="0.2">
      <c r="A527" s="12" t="s">
        <v>4315</v>
      </c>
      <c r="B527" s="12" t="s">
        <v>3989</v>
      </c>
      <c r="C527" s="12">
        <v>3038543</v>
      </c>
      <c r="D527" s="12">
        <v>3039904</v>
      </c>
      <c r="E527" s="12" t="s">
        <v>3940</v>
      </c>
      <c r="F527" s="12">
        <v>3</v>
      </c>
      <c r="H527" s="12" t="s">
        <v>3428</v>
      </c>
      <c r="I527" s="41" t="s">
        <v>6903</v>
      </c>
      <c r="M527" s="41" t="e">
        <f>VLOOKUP(I527,错误mRNA总表!D:I,6,FALSE)</f>
        <v>#N/A</v>
      </c>
    </row>
    <row r="528" spans="1:13" x14ac:dyDescent="0.2">
      <c r="A528" s="12" t="s">
        <v>4315</v>
      </c>
      <c r="B528" s="12" t="s">
        <v>3989</v>
      </c>
      <c r="C528" s="12">
        <v>3038543</v>
      </c>
      <c r="D528" s="12">
        <v>3055309</v>
      </c>
      <c r="E528" s="12" t="s">
        <v>3940</v>
      </c>
      <c r="F528" s="12">
        <v>467</v>
      </c>
      <c r="H528" s="12" t="s">
        <v>3428</v>
      </c>
      <c r="I528" s="41" t="s">
        <v>6903</v>
      </c>
      <c r="M528" s="41" t="e">
        <f>VLOOKUP(I528,错误mRNA总表!D:I,6,FALSE)</f>
        <v>#N/A</v>
      </c>
    </row>
    <row r="529" spans="1:13" x14ac:dyDescent="0.2">
      <c r="A529" s="12" t="s">
        <v>4316</v>
      </c>
      <c r="B529" s="12" t="s">
        <v>4018</v>
      </c>
      <c r="C529" s="12">
        <v>38595721</v>
      </c>
      <c r="D529" s="12">
        <v>38639763</v>
      </c>
      <c r="E529" s="12" t="s">
        <v>3940</v>
      </c>
      <c r="F529" s="12">
        <v>1</v>
      </c>
      <c r="G529" s="41" t="s">
        <v>241</v>
      </c>
      <c r="H529" s="12" t="s">
        <v>5866</v>
      </c>
      <c r="I529" s="41" t="s">
        <v>6904</v>
      </c>
      <c r="M529" s="41" t="e">
        <f>VLOOKUP(I529,错误mRNA总表!D:I,6,FALSE)</f>
        <v>#N/A</v>
      </c>
    </row>
    <row r="530" spans="1:13" x14ac:dyDescent="0.2">
      <c r="A530" s="12" t="s">
        <v>4086</v>
      </c>
      <c r="B530" s="12" t="s">
        <v>3969</v>
      </c>
      <c r="C530" s="12">
        <v>1187371</v>
      </c>
      <c r="D530" s="12">
        <v>1188656</v>
      </c>
      <c r="E530" s="12" t="s">
        <v>3940</v>
      </c>
      <c r="F530" s="12">
        <v>38</v>
      </c>
      <c r="H530" s="12" t="s">
        <v>6374</v>
      </c>
      <c r="I530" s="41" t="s">
        <v>6905</v>
      </c>
      <c r="M530" s="41" t="e">
        <f>VLOOKUP(I530,错误mRNA总表!D:I,6,FALSE)</f>
        <v>#N/A</v>
      </c>
    </row>
    <row r="531" spans="1:13" x14ac:dyDescent="0.2">
      <c r="A531" s="12" t="s">
        <v>4086</v>
      </c>
      <c r="B531" s="12" t="s">
        <v>3969</v>
      </c>
      <c r="C531" s="12">
        <v>1187371</v>
      </c>
      <c r="D531" s="12">
        <v>1187573</v>
      </c>
      <c r="E531" s="12" t="s">
        <v>3943</v>
      </c>
      <c r="F531" s="12">
        <v>4</v>
      </c>
      <c r="H531" s="12" t="s">
        <v>6374</v>
      </c>
      <c r="I531" s="41" t="s">
        <v>6905</v>
      </c>
      <c r="M531" s="41" t="e">
        <f>VLOOKUP(I531,错误mRNA总表!D:I,6,FALSE)</f>
        <v>#N/A</v>
      </c>
    </row>
    <row r="532" spans="1:13" x14ac:dyDescent="0.2">
      <c r="A532" s="12" t="s">
        <v>4086</v>
      </c>
      <c r="B532" s="12" t="s">
        <v>3969</v>
      </c>
      <c r="C532" s="12">
        <v>1187371</v>
      </c>
      <c r="D532" s="12">
        <v>1188488</v>
      </c>
      <c r="E532" s="12" t="s">
        <v>3940</v>
      </c>
      <c r="F532" s="12">
        <v>1</v>
      </c>
      <c r="H532" s="12" t="s">
        <v>6374</v>
      </c>
      <c r="I532" s="41" t="s">
        <v>6905</v>
      </c>
      <c r="M532" s="41" t="e">
        <f>VLOOKUP(I532,错误mRNA总表!D:I,6,FALSE)</f>
        <v>#N/A</v>
      </c>
    </row>
    <row r="533" spans="1:13" x14ac:dyDescent="0.2">
      <c r="A533" s="12" t="s">
        <v>4086</v>
      </c>
      <c r="B533" s="12" t="s">
        <v>3969</v>
      </c>
      <c r="C533" s="12">
        <v>1187371</v>
      </c>
      <c r="D533" s="12">
        <v>1188626</v>
      </c>
      <c r="E533" s="12" t="s">
        <v>3940</v>
      </c>
      <c r="F533" s="12">
        <v>5</v>
      </c>
      <c r="H533" s="12" t="s">
        <v>6374</v>
      </c>
      <c r="I533" s="41" t="s">
        <v>6905</v>
      </c>
      <c r="M533" s="41" t="e">
        <f>VLOOKUP(I533,错误mRNA总表!D:I,6,FALSE)</f>
        <v>#N/A</v>
      </c>
    </row>
    <row r="534" spans="1:13" x14ac:dyDescent="0.2">
      <c r="A534" s="12" t="s">
        <v>4317</v>
      </c>
      <c r="B534" s="12" t="s">
        <v>4018</v>
      </c>
      <c r="C534" s="12">
        <v>17566699</v>
      </c>
      <c r="D534" s="12">
        <v>17981988</v>
      </c>
      <c r="E534" s="12" t="s">
        <v>3940</v>
      </c>
      <c r="F534" s="12">
        <v>1</v>
      </c>
      <c r="G534" s="41" t="s">
        <v>241</v>
      </c>
      <c r="H534" s="12" t="s">
        <v>6392</v>
      </c>
      <c r="I534" s="41" t="s">
        <v>6906</v>
      </c>
      <c r="M534" s="41" t="e">
        <f>VLOOKUP(I534,错误mRNA总表!D:I,6,FALSE)</f>
        <v>#N/A</v>
      </c>
    </row>
    <row r="535" spans="1:13" x14ac:dyDescent="0.2">
      <c r="A535" s="12" t="s">
        <v>4000</v>
      </c>
      <c r="B535" s="12" t="s">
        <v>3969</v>
      </c>
      <c r="C535" s="12">
        <v>2245603</v>
      </c>
      <c r="D535" s="12">
        <v>2248461</v>
      </c>
      <c r="E535" s="12" t="s">
        <v>3940</v>
      </c>
      <c r="F535" s="12">
        <v>90</v>
      </c>
      <c r="H535" s="12" t="s">
        <v>5780</v>
      </c>
      <c r="I535" s="41" t="s">
        <v>6907</v>
      </c>
      <c r="M535" s="41" t="e">
        <f>VLOOKUP(I535,错误mRNA总表!D:I,6,FALSE)</f>
        <v>#N/A</v>
      </c>
    </row>
    <row r="536" spans="1:13" x14ac:dyDescent="0.2">
      <c r="A536" s="12" t="s">
        <v>4000</v>
      </c>
      <c r="B536" s="12" t="s">
        <v>3969</v>
      </c>
      <c r="C536" s="12">
        <v>2245603</v>
      </c>
      <c r="D536" s="12">
        <v>2249294</v>
      </c>
      <c r="E536" s="12" t="s">
        <v>3940</v>
      </c>
      <c r="F536" s="12">
        <v>90</v>
      </c>
      <c r="H536" s="12" t="s">
        <v>5780</v>
      </c>
      <c r="I536" s="41" t="s">
        <v>6907</v>
      </c>
      <c r="M536" s="41" t="e">
        <f>VLOOKUP(I536,错误mRNA总表!D:I,6,FALSE)</f>
        <v>#N/A</v>
      </c>
    </row>
    <row r="537" spans="1:13" x14ac:dyDescent="0.2">
      <c r="A537" s="12" t="s">
        <v>4318</v>
      </c>
      <c r="B537" s="12" t="s">
        <v>3986</v>
      </c>
      <c r="C537" s="12">
        <v>51670585</v>
      </c>
      <c r="D537" s="12">
        <v>51676685</v>
      </c>
      <c r="E537" s="12" t="s">
        <v>3940</v>
      </c>
      <c r="F537" s="12">
        <v>1</v>
      </c>
      <c r="G537" s="41" t="s">
        <v>50</v>
      </c>
      <c r="H537" s="12" t="s">
        <v>6393</v>
      </c>
      <c r="I537" s="41" t="s">
        <v>6908</v>
      </c>
      <c r="M537" s="41" t="e">
        <f>VLOOKUP(I537,错误mRNA总表!D:I,6,FALSE)</f>
        <v>#N/A</v>
      </c>
    </row>
    <row r="538" spans="1:13" x14ac:dyDescent="0.2">
      <c r="A538" s="12" t="s">
        <v>4319</v>
      </c>
      <c r="B538" s="12" t="s">
        <v>4055</v>
      </c>
      <c r="C538" s="12">
        <v>54366910</v>
      </c>
      <c r="D538" s="12">
        <v>54369669</v>
      </c>
      <c r="E538" s="12" t="s">
        <v>3940</v>
      </c>
      <c r="F538" s="12">
        <v>18</v>
      </c>
      <c r="G538" s="41" t="s">
        <v>212</v>
      </c>
      <c r="H538" s="12" t="s">
        <v>6504</v>
      </c>
      <c r="I538" s="41" t="s">
        <v>6909</v>
      </c>
      <c r="M538" s="41" t="e">
        <f>VLOOKUP(I538,错误mRNA总表!D:I,6,FALSE)</f>
        <v>#N/A</v>
      </c>
    </row>
    <row r="539" spans="1:13" x14ac:dyDescent="0.2">
      <c r="A539" s="12" t="s">
        <v>4320</v>
      </c>
      <c r="B539" s="12" t="s">
        <v>3964</v>
      </c>
      <c r="C539" s="12">
        <v>2845591</v>
      </c>
      <c r="D539" s="12">
        <v>2845595</v>
      </c>
      <c r="E539" s="12" t="s">
        <v>3940</v>
      </c>
      <c r="F539" s="12">
        <v>2</v>
      </c>
      <c r="H539" s="12" t="s">
        <v>5867</v>
      </c>
      <c r="I539" s="41" t="s">
        <v>6910</v>
      </c>
      <c r="M539" s="41" t="e">
        <f>VLOOKUP(I539,错误mRNA总表!D:I,6,FALSE)</f>
        <v>#N/A</v>
      </c>
    </row>
    <row r="540" spans="1:13" x14ac:dyDescent="0.2">
      <c r="A540" s="12" t="s">
        <v>4320</v>
      </c>
      <c r="B540" s="12" t="s">
        <v>3964</v>
      </c>
      <c r="C540" s="12">
        <v>2845591</v>
      </c>
      <c r="D540" s="12">
        <v>2857527</v>
      </c>
      <c r="E540" s="12" t="s">
        <v>3940</v>
      </c>
      <c r="F540" s="12">
        <v>2</v>
      </c>
      <c r="H540" s="12" t="s">
        <v>5867</v>
      </c>
      <c r="I540" s="41" t="s">
        <v>6910</v>
      </c>
      <c r="M540" s="41" t="e">
        <f>VLOOKUP(I540,错误mRNA总表!D:I,6,FALSE)</f>
        <v>#N/A</v>
      </c>
    </row>
    <row r="541" spans="1:13" x14ac:dyDescent="0.2">
      <c r="A541" s="12" t="s">
        <v>4321</v>
      </c>
      <c r="B541" s="12" t="s">
        <v>4098</v>
      </c>
      <c r="C541" s="12">
        <v>450544</v>
      </c>
      <c r="D541" s="12">
        <v>462384</v>
      </c>
      <c r="E541" s="12" t="s">
        <v>3943</v>
      </c>
      <c r="F541" s="12">
        <v>4</v>
      </c>
      <c r="H541" s="12" t="s">
        <v>3664</v>
      </c>
      <c r="I541" s="41" t="s">
        <v>6911</v>
      </c>
      <c r="M541" s="41" t="e">
        <f>VLOOKUP(I541,错误mRNA总表!D:I,6,FALSE)</f>
        <v>#N/A</v>
      </c>
    </row>
    <row r="542" spans="1:13" x14ac:dyDescent="0.2">
      <c r="A542" s="12" t="s">
        <v>3997</v>
      </c>
      <c r="B542" s="12" t="s">
        <v>3964</v>
      </c>
      <c r="C542" s="12">
        <v>2514037</v>
      </c>
      <c r="D542" s="12">
        <v>2516051</v>
      </c>
      <c r="E542" s="12" t="s">
        <v>3943</v>
      </c>
      <c r="F542" s="12">
        <v>3</v>
      </c>
      <c r="H542" s="12" t="s">
        <v>671</v>
      </c>
      <c r="I542" s="41" t="s">
        <v>6912</v>
      </c>
      <c r="J542" s="41" t="s">
        <v>2608</v>
      </c>
      <c r="K542" s="41" t="str">
        <f>VLOOKUP(J542,错误mRNA总表!D:J,7,FALSE)</f>
        <v/>
      </c>
      <c r="M542" s="41" t="e">
        <f>VLOOKUP(I542,错误mRNA总表!D:I,6,FALSE)</f>
        <v>#N/A</v>
      </c>
    </row>
    <row r="543" spans="1:13" x14ac:dyDescent="0.2">
      <c r="A543" s="12" t="s">
        <v>3997</v>
      </c>
      <c r="B543" s="12" t="s">
        <v>3964</v>
      </c>
      <c r="C543" s="12">
        <v>2514037</v>
      </c>
      <c r="D543" s="12">
        <v>2516375</v>
      </c>
      <c r="E543" s="12" t="s">
        <v>3940</v>
      </c>
      <c r="F543" s="12">
        <v>1</v>
      </c>
      <c r="H543" s="12" t="s">
        <v>671</v>
      </c>
      <c r="I543" s="41" t="s">
        <v>6912</v>
      </c>
      <c r="J543" s="41" t="s">
        <v>2608</v>
      </c>
      <c r="K543" s="41" t="str">
        <f>VLOOKUP(J543,错误mRNA总表!D:J,7,FALSE)</f>
        <v/>
      </c>
      <c r="M543" s="41" t="e">
        <f>VLOOKUP(I543,错误mRNA总表!D:I,6,FALSE)</f>
        <v>#N/A</v>
      </c>
    </row>
    <row r="544" spans="1:13" x14ac:dyDescent="0.2">
      <c r="A544" s="12" t="s">
        <v>4322</v>
      </c>
      <c r="B544" s="12" t="s">
        <v>4004</v>
      </c>
      <c r="C544" s="12">
        <v>143852615</v>
      </c>
      <c r="D544" s="12">
        <v>143857441</v>
      </c>
      <c r="E544" s="12" t="s">
        <v>3940</v>
      </c>
      <c r="F544" s="12">
        <v>2</v>
      </c>
      <c r="G544" s="41" t="s">
        <v>103</v>
      </c>
      <c r="H544" s="12" t="s">
        <v>6505</v>
      </c>
      <c r="I544" s="41" t="s">
        <v>6913</v>
      </c>
      <c r="M544" s="41" t="e">
        <f>VLOOKUP(I544,错误mRNA总表!D:I,6,FALSE)</f>
        <v>#N/A</v>
      </c>
    </row>
    <row r="545" spans="1:13" x14ac:dyDescent="0.2">
      <c r="A545" s="12" t="s">
        <v>4323</v>
      </c>
      <c r="B545" s="12" t="s">
        <v>3948</v>
      </c>
      <c r="C545" s="12">
        <v>100331249</v>
      </c>
      <c r="D545" s="12">
        <v>100371476</v>
      </c>
      <c r="E545" s="12" t="s">
        <v>3940</v>
      </c>
      <c r="F545" s="12">
        <v>1</v>
      </c>
      <c r="G545" s="41" t="s">
        <v>40</v>
      </c>
      <c r="H545" s="12" t="s">
        <v>5868</v>
      </c>
      <c r="I545" s="41" t="s">
        <v>6914</v>
      </c>
      <c r="M545" s="41" t="e">
        <f>VLOOKUP(I545,错误mRNA总表!D:I,6,FALSE)</f>
        <v>#N/A</v>
      </c>
    </row>
    <row r="546" spans="1:13" x14ac:dyDescent="0.2">
      <c r="A546" s="12" t="s">
        <v>4138</v>
      </c>
      <c r="B546" s="12" t="s">
        <v>4098</v>
      </c>
      <c r="C546" s="12">
        <v>248816</v>
      </c>
      <c r="D546" s="12">
        <v>248851</v>
      </c>
      <c r="E546" s="12" t="s">
        <v>3940</v>
      </c>
      <c r="F546" s="12">
        <v>2</v>
      </c>
      <c r="H546" s="12" t="s">
        <v>3471</v>
      </c>
      <c r="I546" s="41" t="s">
        <v>6915</v>
      </c>
      <c r="M546" s="41" t="e">
        <f>VLOOKUP(I546,错误mRNA总表!D:I,6,FALSE)</f>
        <v>#N/A</v>
      </c>
    </row>
    <row r="547" spans="1:13" x14ac:dyDescent="0.2">
      <c r="A547" s="12" t="s">
        <v>4324</v>
      </c>
      <c r="B547" s="12" t="s">
        <v>3948</v>
      </c>
      <c r="C547" s="12">
        <v>50344378</v>
      </c>
      <c r="D547" s="12">
        <v>50344382</v>
      </c>
      <c r="E547" s="12" t="s">
        <v>3940</v>
      </c>
      <c r="F547" s="12">
        <v>1</v>
      </c>
      <c r="G547" s="41" t="s">
        <v>40</v>
      </c>
      <c r="H547" s="12" t="s">
        <v>252</v>
      </c>
      <c r="I547" s="41" t="s">
        <v>6916</v>
      </c>
      <c r="J547" s="41" t="s">
        <v>3335</v>
      </c>
      <c r="K547" s="41" t="str">
        <f>VLOOKUP(J547,错误mRNA总表!D:J,7,FALSE)</f>
        <v>错误</v>
      </c>
      <c r="M547" s="41" t="e">
        <f>VLOOKUP(I547,错误mRNA总表!D:I,6,FALSE)</f>
        <v>#N/A</v>
      </c>
    </row>
    <row r="548" spans="1:13" x14ac:dyDescent="0.2">
      <c r="A548" s="12" t="s">
        <v>4324</v>
      </c>
      <c r="B548" s="12" t="s">
        <v>3948</v>
      </c>
      <c r="C548" s="12">
        <v>50344378</v>
      </c>
      <c r="D548" s="12">
        <v>50367354</v>
      </c>
      <c r="E548" s="12" t="s">
        <v>3943</v>
      </c>
      <c r="F548" s="12">
        <v>2</v>
      </c>
      <c r="G548" s="41" t="s">
        <v>40</v>
      </c>
      <c r="H548" s="12" t="s">
        <v>252</v>
      </c>
      <c r="I548" s="41" t="s">
        <v>6916</v>
      </c>
      <c r="J548" s="41" t="s">
        <v>3335</v>
      </c>
      <c r="K548" s="41" t="str">
        <f>VLOOKUP(J548,错误mRNA总表!D:J,7,FALSE)</f>
        <v>错误</v>
      </c>
      <c r="M548" s="41" t="e">
        <f>VLOOKUP(I548,错误mRNA总表!D:I,6,FALSE)</f>
        <v>#N/A</v>
      </c>
    </row>
    <row r="549" spans="1:13" x14ac:dyDescent="0.2">
      <c r="A549" s="12" t="s">
        <v>4116</v>
      </c>
      <c r="B549" s="12" t="s">
        <v>3996</v>
      </c>
      <c r="C549" s="12">
        <v>4266466</v>
      </c>
      <c r="D549" s="12">
        <v>4271893</v>
      </c>
      <c r="E549" s="12" t="s">
        <v>3943</v>
      </c>
      <c r="F549" s="12">
        <v>2</v>
      </c>
      <c r="H549" s="12" t="s">
        <v>3583</v>
      </c>
      <c r="I549" s="41" t="s">
        <v>6917</v>
      </c>
      <c r="M549" s="41" t="e">
        <f>VLOOKUP(I549,错误mRNA总表!D:I,6,FALSE)</f>
        <v>#N/A</v>
      </c>
    </row>
    <row r="550" spans="1:13" x14ac:dyDescent="0.2">
      <c r="A550" s="12" t="s">
        <v>4189</v>
      </c>
      <c r="B550" s="12" t="s">
        <v>3946</v>
      </c>
      <c r="C550" s="12">
        <v>26673654</v>
      </c>
      <c r="D550" s="12">
        <v>26684390</v>
      </c>
      <c r="E550" s="12" t="s">
        <v>3940</v>
      </c>
      <c r="F550" s="12">
        <v>1</v>
      </c>
      <c r="G550" s="41" t="s">
        <v>47</v>
      </c>
      <c r="H550" s="12" t="s">
        <v>220</v>
      </c>
      <c r="I550" s="41" t="s">
        <v>6918</v>
      </c>
      <c r="J550" s="41" t="s">
        <v>2189</v>
      </c>
      <c r="K550" s="41" t="str">
        <f>VLOOKUP(J550,错误mRNA总表!D:J,7,FALSE)</f>
        <v>纠后正确,utr略有变化</v>
      </c>
      <c r="M550" s="41" t="e">
        <f>VLOOKUP(I550,错误mRNA总表!D:I,6,FALSE)</f>
        <v>#N/A</v>
      </c>
    </row>
    <row r="551" spans="1:13" x14ac:dyDescent="0.2">
      <c r="A551" s="12" t="s">
        <v>4189</v>
      </c>
      <c r="B551" s="12" t="s">
        <v>3946</v>
      </c>
      <c r="C551" s="12">
        <v>26673654</v>
      </c>
      <c r="D551" s="12">
        <v>26684529</v>
      </c>
      <c r="E551" s="12" t="s">
        <v>3940</v>
      </c>
      <c r="F551" s="12">
        <v>2</v>
      </c>
      <c r="G551" s="41" t="s">
        <v>47</v>
      </c>
      <c r="H551" s="12" t="s">
        <v>220</v>
      </c>
      <c r="I551" s="41" t="s">
        <v>6918</v>
      </c>
      <c r="J551" s="41" t="s">
        <v>2189</v>
      </c>
      <c r="K551" s="41" t="str">
        <f>VLOOKUP(J551,错误mRNA总表!D:J,7,FALSE)</f>
        <v>纠后正确,utr略有变化</v>
      </c>
      <c r="M551" s="41" t="e">
        <f>VLOOKUP(I551,错误mRNA总表!D:I,6,FALSE)</f>
        <v>#N/A</v>
      </c>
    </row>
    <row r="552" spans="1:13" x14ac:dyDescent="0.2">
      <c r="A552" s="12" t="s">
        <v>4325</v>
      </c>
      <c r="B552" s="12" t="s">
        <v>3957</v>
      </c>
      <c r="C552" s="12">
        <v>46638826</v>
      </c>
      <c r="D552" s="12">
        <v>46694313</v>
      </c>
      <c r="E552" s="12" t="s">
        <v>3943</v>
      </c>
      <c r="F552" s="12">
        <v>2</v>
      </c>
      <c r="G552" s="41" t="s">
        <v>36</v>
      </c>
      <c r="H552" s="12" t="s">
        <v>5869</v>
      </c>
      <c r="I552" s="41" t="s">
        <v>6919</v>
      </c>
      <c r="M552" s="41" t="e">
        <f>VLOOKUP(I552,错误mRNA总表!D:I,6,FALSE)</f>
        <v>#N/A</v>
      </c>
    </row>
    <row r="553" spans="1:13" x14ac:dyDescent="0.2">
      <c r="A553" s="12" t="s">
        <v>4326</v>
      </c>
      <c r="B553" s="12" t="s">
        <v>3969</v>
      </c>
      <c r="C553" s="12">
        <v>2202893</v>
      </c>
      <c r="D553" s="12">
        <v>2215542</v>
      </c>
      <c r="E553" s="12" t="s">
        <v>3940</v>
      </c>
      <c r="F553" s="12">
        <v>1</v>
      </c>
      <c r="H553" s="12" t="s">
        <v>3550</v>
      </c>
      <c r="I553" s="41" t="s">
        <v>6920</v>
      </c>
      <c r="M553" s="41" t="e">
        <f>VLOOKUP(I553,错误mRNA总表!D:I,6,FALSE)</f>
        <v>#N/A</v>
      </c>
    </row>
    <row r="554" spans="1:13" x14ac:dyDescent="0.2">
      <c r="A554" s="12" t="s">
        <v>4327</v>
      </c>
      <c r="B554" s="12" t="s">
        <v>4124</v>
      </c>
      <c r="C554" s="12">
        <v>110259067</v>
      </c>
      <c r="D554" s="12">
        <v>110259077</v>
      </c>
      <c r="E554" s="12" t="s">
        <v>3940</v>
      </c>
      <c r="F554" s="12">
        <v>5</v>
      </c>
      <c r="G554" s="41" t="s">
        <v>1</v>
      </c>
      <c r="H554" s="12" t="s">
        <v>247</v>
      </c>
      <c r="I554" s="41" t="s">
        <v>3314</v>
      </c>
      <c r="J554" s="41" t="s">
        <v>3313</v>
      </c>
      <c r="K554" s="41" t="str">
        <f>VLOOKUP(J554,错误mRNA总表!D:J,7,FALSE)</f>
        <v/>
      </c>
      <c r="L554" s="41" t="s">
        <v>3762</v>
      </c>
      <c r="M554" s="41">
        <f>VLOOKUP(I554,错误mRNA总表!D:I,6,FALSE)</f>
        <v>0</v>
      </c>
    </row>
    <row r="555" spans="1:13" x14ac:dyDescent="0.2">
      <c r="A555" s="12" t="s">
        <v>4328</v>
      </c>
      <c r="B555" s="12" t="s">
        <v>3978</v>
      </c>
      <c r="C555" s="12">
        <v>121774209</v>
      </c>
      <c r="D555" s="12">
        <v>121838797</v>
      </c>
      <c r="E555" s="12" t="s">
        <v>3943</v>
      </c>
      <c r="F555" s="12">
        <v>2</v>
      </c>
      <c r="G555" s="41" t="s">
        <v>86</v>
      </c>
      <c r="H555" s="12" t="s">
        <v>541</v>
      </c>
      <c r="I555" s="41" t="s">
        <v>2492</v>
      </c>
      <c r="J555" s="41" t="s">
        <v>2492</v>
      </c>
      <c r="K555" s="41" t="str">
        <f>VLOOKUP(J555,错误mRNA总表!D:J,7,FALSE)</f>
        <v>无变化</v>
      </c>
      <c r="L555" s="41" t="s">
        <v>3762</v>
      </c>
      <c r="M555" s="41">
        <f>VLOOKUP(I555,错误mRNA总表!D:I,6,FALSE)</f>
        <v>0</v>
      </c>
    </row>
    <row r="556" spans="1:13" x14ac:dyDescent="0.2">
      <c r="A556" s="12" t="s">
        <v>4329</v>
      </c>
      <c r="B556" s="12" t="s">
        <v>3986</v>
      </c>
      <c r="C556" s="12">
        <v>16244838</v>
      </c>
      <c r="D556" s="12">
        <v>16268212</v>
      </c>
      <c r="E556" s="12" t="s">
        <v>3943</v>
      </c>
      <c r="F556" s="12">
        <v>1</v>
      </c>
      <c r="G556" s="41" t="s">
        <v>50</v>
      </c>
      <c r="H556" s="12" t="s">
        <v>5870</v>
      </c>
      <c r="I556" s="41" t="s">
        <v>6921</v>
      </c>
      <c r="M556" s="41" t="e">
        <f>VLOOKUP(I556,错误mRNA总表!D:I,6,FALSE)</f>
        <v>#N/A</v>
      </c>
    </row>
    <row r="557" spans="1:13" x14ac:dyDescent="0.2">
      <c r="A557" s="12" t="s">
        <v>4330</v>
      </c>
      <c r="B557" s="12" t="s">
        <v>4001</v>
      </c>
      <c r="C557" s="12">
        <v>2168106</v>
      </c>
      <c r="D557" s="12">
        <v>2168855</v>
      </c>
      <c r="E557" s="12" t="s">
        <v>3940</v>
      </c>
      <c r="F557" s="12">
        <v>1</v>
      </c>
      <c r="H557" s="12" t="s">
        <v>5871</v>
      </c>
      <c r="I557" s="41" t="s">
        <v>6922</v>
      </c>
      <c r="M557" s="41" t="e">
        <f>VLOOKUP(I557,错误mRNA总表!D:I,6,FALSE)</f>
        <v>#N/A</v>
      </c>
    </row>
    <row r="558" spans="1:13" x14ac:dyDescent="0.2">
      <c r="A558" s="12" t="s">
        <v>4330</v>
      </c>
      <c r="B558" s="12" t="s">
        <v>4001</v>
      </c>
      <c r="C558" s="12">
        <v>2168106</v>
      </c>
      <c r="D558" s="12">
        <v>2168864</v>
      </c>
      <c r="E558" s="12" t="s">
        <v>3943</v>
      </c>
      <c r="F558" s="12">
        <v>2</v>
      </c>
      <c r="H558" s="12" t="s">
        <v>5871</v>
      </c>
      <c r="I558" s="41" t="s">
        <v>6922</v>
      </c>
      <c r="M558" s="41" t="e">
        <f>VLOOKUP(I558,错误mRNA总表!D:I,6,FALSE)</f>
        <v>#N/A</v>
      </c>
    </row>
    <row r="559" spans="1:13" x14ac:dyDescent="0.2">
      <c r="A559" s="12" t="s">
        <v>4331</v>
      </c>
      <c r="B559" s="12" t="s">
        <v>3996</v>
      </c>
      <c r="C559" s="12">
        <v>2646867</v>
      </c>
      <c r="D559" s="12">
        <v>2648881</v>
      </c>
      <c r="E559" s="12" t="s">
        <v>3943</v>
      </c>
      <c r="F559" s="12">
        <v>3</v>
      </c>
      <c r="H559" s="12" t="s">
        <v>5872</v>
      </c>
      <c r="I559" s="41" t="s">
        <v>6923</v>
      </c>
      <c r="M559" s="41" t="e">
        <f>VLOOKUP(I559,错误mRNA总表!D:I,6,FALSE)</f>
        <v>#N/A</v>
      </c>
    </row>
    <row r="560" spans="1:13" x14ac:dyDescent="0.2">
      <c r="A560" s="12" t="s">
        <v>4331</v>
      </c>
      <c r="B560" s="12" t="s">
        <v>3996</v>
      </c>
      <c r="C560" s="12">
        <v>2646867</v>
      </c>
      <c r="D560" s="12">
        <v>2649205</v>
      </c>
      <c r="E560" s="12" t="s">
        <v>3940</v>
      </c>
      <c r="F560" s="12">
        <v>1</v>
      </c>
      <c r="H560" s="12" t="s">
        <v>5872</v>
      </c>
      <c r="I560" s="41" t="s">
        <v>6923</v>
      </c>
      <c r="M560" s="41" t="e">
        <f>VLOOKUP(I560,错误mRNA总表!D:I,6,FALSE)</f>
        <v>#N/A</v>
      </c>
    </row>
    <row r="561" spans="1:13" x14ac:dyDescent="0.2">
      <c r="A561" s="12" t="s">
        <v>4331</v>
      </c>
      <c r="B561" s="12" t="s">
        <v>3996</v>
      </c>
      <c r="C561" s="12">
        <v>2646867</v>
      </c>
      <c r="D561" s="12">
        <v>2649486</v>
      </c>
      <c r="E561" s="12" t="s">
        <v>3943</v>
      </c>
      <c r="F561" s="12">
        <v>3</v>
      </c>
      <c r="H561" s="12" t="s">
        <v>5872</v>
      </c>
      <c r="I561" s="41" t="s">
        <v>6923</v>
      </c>
      <c r="M561" s="41" t="e">
        <f>VLOOKUP(I561,错误mRNA总表!D:I,6,FALSE)</f>
        <v>#N/A</v>
      </c>
    </row>
    <row r="562" spans="1:13" x14ac:dyDescent="0.2">
      <c r="A562" s="12" t="s">
        <v>4332</v>
      </c>
      <c r="B562" s="12" t="s">
        <v>3986</v>
      </c>
      <c r="C562" s="12">
        <v>17513748</v>
      </c>
      <c r="D562" s="12">
        <v>17516400</v>
      </c>
      <c r="E562" s="12" t="s">
        <v>3940</v>
      </c>
      <c r="F562" s="12">
        <v>8</v>
      </c>
      <c r="G562" s="41" t="s">
        <v>50</v>
      </c>
      <c r="H562" s="12" t="s">
        <v>6506</v>
      </c>
      <c r="I562" s="41" t="s">
        <v>6924</v>
      </c>
      <c r="M562" s="41" t="e">
        <f>VLOOKUP(I562,错误mRNA总表!D:I,6,FALSE)</f>
        <v>#N/A</v>
      </c>
    </row>
    <row r="563" spans="1:13" x14ac:dyDescent="0.2">
      <c r="A563" s="12" t="s">
        <v>4333</v>
      </c>
      <c r="B563" s="12" t="s">
        <v>4001</v>
      </c>
      <c r="C563" s="12">
        <v>1938870</v>
      </c>
      <c r="D563" s="12">
        <v>1938871</v>
      </c>
      <c r="E563" s="12" t="s">
        <v>3940</v>
      </c>
      <c r="F563" s="12">
        <v>1</v>
      </c>
      <c r="H563" s="12" t="s">
        <v>3546</v>
      </c>
      <c r="I563" s="41" t="s">
        <v>6925</v>
      </c>
      <c r="M563" s="41" t="e">
        <f>VLOOKUP(I563,错误mRNA总表!D:I,6,FALSE)</f>
        <v>#N/A</v>
      </c>
    </row>
    <row r="564" spans="1:13" x14ac:dyDescent="0.2">
      <c r="A564" s="12" t="s">
        <v>4333</v>
      </c>
      <c r="B564" s="12" t="s">
        <v>4001</v>
      </c>
      <c r="C564" s="12">
        <v>1938870</v>
      </c>
      <c r="D564" s="12">
        <v>1938889</v>
      </c>
      <c r="E564" s="12" t="s">
        <v>3943</v>
      </c>
      <c r="F564" s="12">
        <v>1</v>
      </c>
      <c r="H564" s="12" t="s">
        <v>3546</v>
      </c>
      <c r="I564" s="41" t="s">
        <v>6925</v>
      </c>
      <c r="M564" s="41" t="e">
        <f>VLOOKUP(I564,错误mRNA总表!D:I,6,FALSE)</f>
        <v>#N/A</v>
      </c>
    </row>
    <row r="565" spans="1:13" x14ac:dyDescent="0.2">
      <c r="A565" s="12" t="s">
        <v>4080</v>
      </c>
      <c r="B565" s="12" t="s">
        <v>3946</v>
      </c>
      <c r="C565" s="12">
        <v>26673659</v>
      </c>
      <c r="D565" s="12">
        <v>26684390</v>
      </c>
      <c r="E565" s="12" t="s">
        <v>3940</v>
      </c>
      <c r="F565" s="12">
        <v>1</v>
      </c>
      <c r="G565" s="41" t="s">
        <v>47</v>
      </c>
      <c r="H565" s="12" t="s">
        <v>220</v>
      </c>
      <c r="I565" s="41" t="s">
        <v>2189</v>
      </c>
      <c r="J565" s="41" t="s">
        <v>2189</v>
      </c>
      <c r="K565" s="41" t="str">
        <f>VLOOKUP(J565,错误mRNA总表!D:J,7,FALSE)</f>
        <v>纠后正确,utr略有变化</v>
      </c>
      <c r="L565" s="41" t="s">
        <v>3763</v>
      </c>
      <c r="M565" s="41">
        <f>VLOOKUP(I565,错误mRNA总表!D:I,6,FALSE)</f>
        <v>0</v>
      </c>
    </row>
    <row r="566" spans="1:13" x14ac:dyDescent="0.2">
      <c r="A566" s="12" t="s">
        <v>4080</v>
      </c>
      <c r="B566" s="12" t="s">
        <v>3946</v>
      </c>
      <c r="C566" s="12">
        <v>26673659</v>
      </c>
      <c r="D566" s="12">
        <v>26684529</v>
      </c>
      <c r="E566" s="12" t="s">
        <v>3940</v>
      </c>
      <c r="F566" s="12">
        <v>2</v>
      </c>
      <c r="G566" s="41" t="s">
        <v>47</v>
      </c>
      <c r="H566" s="12" t="s">
        <v>220</v>
      </c>
      <c r="I566" s="41" t="s">
        <v>2189</v>
      </c>
      <c r="J566" s="41" t="s">
        <v>2189</v>
      </c>
      <c r="K566" s="41" t="str">
        <f>VLOOKUP(J566,错误mRNA总表!D:J,7,FALSE)</f>
        <v>纠后正确,utr略有变化</v>
      </c>
      <c r="L566" s="41" t="s">
        <v>3763</v>
      </c>
      <c r="M566" s="41">
        <f>VLOOKUP(I566,错误mRNA总表!D:I,6,FALSE)</f>
        <v>0</v>
      </c>
    </row>
    <row r="567" spans="1:13" x14ac:dyDescent="0.2">
      <c r="A567" s="12" t="s">
        <v>4334</v>
      </c>
      <c r="B567" s="12" t="s">
        <v>3962</v>
      </c>
      <c r="C567" s="12">
        <v>62329995</v>
      </c>
      <c r="D567" s="12">
        <v>62331335</v>
      </c>
      <c r="E567" s="12" t="s">
        <v>3940</v>
      </c>
      <c r="F567" s="12">
        <v>1</v>
      </c>
      <c r="G567" s="41" t="s">
        <v>53</v>
      </c>
      <c r="H567" s="12" t="s">
        <v>6394</v>
      </c>
      <c r="I567" s="41" t="s">
        <v>6926</v>
      </c>
      <c r="M567" s="41" t="e">
        <f>VLOOKUP(I567,错误mRNA总表!D:I,6,FALSE)</f>
        <v>#N/A</v>
      </c>
    </row>
    <row r="568" spans="1:13" x14ac:dyDescent="0.2">
      <c r="A568" s="12" t="s">
        <v>4335</v>
      </c>
      <c r="B568" s="12" t="s">
        <v>4098</v>
      </c>
      <c r="C568" s="12">
        <v>338148</v>
      </c>
      <c r="D568" s="12">
        <v>338163</v>
      </c>
      <c r="E568" s="12" t="s">
        <v>3940</v>
      </c>
      <c r="F568" s="12">
        <v>213</v>
      </c>
      <c r="H568" s="12" t="s">
        <v>3472</v>
      </c>
      <c r="I568" s="41" t="s">
        <v>6927</v>
      </c>
      <c r="M568" s="41" t="e">
        <f>VLOOKUP(I568,错误mRNA总表!D:I,6,FALSE)</f>
        <v>#N/A</v>
      </c>
    </row>
    <row r="569" spans="1:13" x14ac:dyDescent="0.2">
      <c r="A569" s="12" t="s">
        <v>4335</v>
      </c>
      <c r="B569" s="12" t="s">
        <v>4098</v>
      </c>
      <c r="C569" s="12">
        <v>338148</v>
      </c>
      <c r="D569" s="12">
        <v>340916</v>
      </c>
      <c r="E569" s="12" t="s">
        <v>3940</v>
      </c>
      <c r="F569" s="12">
        <v>480</v>
      </c>
      <c r="H569" s="12" t="s">
        <v>3472</v>
      </c>
      <c r="I569" s="41" t="s">
        <v>6927</v>
      </c>
      <c r="M569" s="41" t="e">
        <f>VLOOKUP(I569,错误mRNA总表!D:I,6,FALSE)</f>
        <v>#N/A</v>
      </c>
    </row>
    <row r="570" spans="1:13" x14ac:dyDescent="0.2">
      <c r="A570" s="12" t="s">
        <v>4335</v>
      </c>
      <c r="B570" s="12" t="s">
        <v>4098</v>
      </c>
      <c r="C570" s="12">
        <v>338148</v>
      </c>
      <c r="D570" s="12">
        <v>344479</v>
      </c>
      <c r="E570" s="12" t="s">
        <v>3940</v>
      </c>
      <c r="F570" s="12">
        <v>301</v>
      </c>
      <c r="H570" s="12" t="s">
        <v>3472</v>
      </c>
      <c r="I570" s="41" t="s">
        <v>6927</v>
      </c>
      <c r="M570" s="41" t="e">
        <f>VLOOKUP(I570,错误mRNA总表!D:I,6,FALSE)</f>
        <v>#N/A</v>
      </c>
    </row>
    <row r="571" spans="1:13" x14ac:dyDescent="0.2">
      <c r="A571" s="12" t="s">
        <v>4335</v>
      </c>
      <c r="B571" s="12" t="s">
        <v>4098</v>
      </c>
      <c r="C571" s="12">
        <v>338148</v>
      </c>
      <c r="D571" s="12">
        <v>349896</v>
      </c>
      <c r="E571" s="12" t="s">
        <v>3940</v>
      </c>
      <c r="F571" s="12">
        <v>94</v>
      </c>
      <c r="H571" s="12" t="s">
        <v>3472</v>
      </c>
      <c r="I571" s="41" t="s">
        <v>6927</v>
      </c>
      <c r="M571" s="41" t="e">
        <f>VLOOKUP(I571,错误mRNA总表!D:I,6,FALSE)</f>
        <v>#N/A</v>
      </c>
    </row>
    <row r="572" spans="1:13" x14ac:dyDescent="0.2">
      <c r="A572" s="12" t="s">
        <v>4335</v>
      </c>
      <c r="B572" s="12" t="s">
        <v>4098</v>
      </c>
      <c r="C572" s="12">
        <v>338148</v>
      </c>
      <c r="D572" s="12">
        <v>349877</v>
      </c>
      <c r="E572" s="12" t="s">
        <v>3943</v>
      </c>
      <c r="F572" s="12">
        <v>1</v>
      </c>
      <c r="H572" s="12" t="s">
        <v>3472</v>
      </c>
      <c r="I572" s="41" t="s">
        <v>6927</v>
      </c>
      <c r="M572" s="41" t="e">
        <f>VLOOKUP(I572,错误mRNA总表!D:I,6,FALSE)</f>
        <v>#N/A</v>
      </c>
    </row>
    <row r="573" spans="1:13" x14ac:dyDescent="0.2">
      <c r="A573" s="12" t="s">
        <v>4335</v>
      </c>
      <c r="B573" s="12" t="s">
        <v>4098</v>
      </c>
      <c r="C573" s="12">
        <v>338148</v>
      </c>
      <c r="D573" s="12">
        <v>354239</v>
      </c>
      <c r="E573" s="12" t="s">
        <v>3940</v>
      </c>
      <c r="F573" s="12">
        <v>20</v>
      </c>
      <c r="H573" s="12" t="s">
        <v>3472</v>
      </c>
      <c r="I573" s="41" t="s">
        <v>6927</v>
      </c>
      <c r="M573" s="41" t="e">
        <f>VLOOKUP(I573,错误mRNA总表!D:I,6,FALSE)</f>
        <v>#N/A</v>
      </c>
    </row>
    <row r="574" spans="1:13" x14ac:dyDescent="0.2">
      <c r="A574" s="12" t="s">
        <v>4335</v>
      </c>
      <c r="B574" s="12" t="s">
        <v>4098</v>
      </c>
      <c r="C574" s="12">
        <v>338148</v>
      </c>
      <c r="D574" s="12">
        <v>355369</v>
      </c>
      <c r="E574" s="12" t="s">
        <v>3940</v>
      </c>
      <c r="F574" s="12">
        <v>284</v>
      </c>
      <c r="H574" s="12" t="s">
        <v>3472</v>
      </c>
      <c r="I574" s="41" t="s">
        <v>6927</v>
      </c>
      <c r="M574" s="41" t="e">
        <f>VLOOKUP(I574,错误mRNA总表!D:I,6,FALSE)</f>
        <v>#N/A</v>
      </c>
    </row>
    <row r="575" spans="1:13" x14ac:dyDescent="0.2">
      <c r="A575" s="12" t="s">
        <v>4335</v>
      </c>
      <c r="B575" s="12" t="s">
        <v>4098</v>
      </c>
      <c r="C575" s="12">
        <v>338148</v>
      </c>
      <c r="D575" s="12">
        <v>355359</v>
      </c>
      <c r="E575" s="12" t="s">
        <v>3940</v>
      </c>
      <c r="F575" s="12">
        <v>1</v>
      </c>
      <c r="H575" s="12" t="s">
        <v>3472</v>
      </c>
      <c r="I575" s="41" t="s">
        <v>6927</v>
      </c>
      <c r="M575" s="41" t="e">
        <f>VLOOKUP(I575,错误mRNA总表!D:I,6,FALSE)</f>
        <v>#N/A</v>
      </c>
    </row>
    <row r="576" spans="1:13" x14ac:dyDescent="0.2">
      <c r="A576" s="12" t="s">
        <v>4336</v>
      </c>
      <c r="B576" s="12" t="s">
        <v>3989</v>
      </c>
      <c r="C576" s="12">
        <v>4720054</v>
      </c>
      <c r="D576" s="12">
        <v>4720706</v>
      </c>
      <c r="E576" s="12" t="s">
        <v>3943</v>
      </c>
      <c r="F576" s="12">
        <v>3</v>
      </c>
      <c r="H576" s="12" t="s">
        <v>3437</v>
      </c>
      <c r="I576" s="41" t="s">
        <v>6928</v>
      </c>
      <c r="M576" s="41" t="e">
        <f>VLOOKUP(I576,错误mRNA总表!D:I,6,FALSE)</f>
        <v>#N/A</v>
      </c>
    </row>
    <row r="577" spans="1:13" x14ac:dyDescent="0.2">
      <c r="A577" s="12" t="s">
        <v>4337</v>
      </c>
      <c r="B577" s="12" t="s">
        <v>3966</v>
      </c>
      <c r="C577" s="12">
        <v>49808173</v>
      </c>
      <c r="D577" s="12">
        <v>49810577</v>
      </c>
      <c r="E577" s="12" t="s">
        <v>3940</v>
      </c>
      <c r="F577" s="12">
        <v>47</v>
      </c>
      <c r="G577" s="41" t="s">
        <v>43</v>
      </c>
      <c r="H577" s="12" t="s">
        <v>5873</v>
      </c>
      <c r="I577" s="41" t="s">
        <v>6929</v>
      </c>
      <c r="M577" s="41" t="e">
        <f>VLOOKUP(I577,错误mRNA总表!D:I,6,FALSE)</f>
        <v>#N/A</v>
      </c>
    </row>
    <row r="578" spans="1:13" x14ac:dyDescent="0.2">
      <c r="A578" s="12" t="s">
        <v>4337</v>
      </c>
      <c r="B578" s="12" t="s">
        <v>3966</v>
      </c>
      <c r="C578" s="12">
        <v>49808173</v>
      </c>
      <c r="D578" s="12">
        <v>49839371</v>
      </c>
      <c r="E578" s="12" t="s">
        <v>3943</v>
      </c>
      <c r="F578" s="12">
        <v>2</v>
      </c>
      <c r="G578" s="41" t="s">
        <v>43</v>
      </c>
      <c r="H578" s="12" t="s">
        <v>5873</v>
      </c>
      <c r="I578" s="41" t="s">
        <v>6929</v>
      </c>
      <c r="M578" s="41" t="e">
        <f>VLOOKUP(I578,错误mRNA总表!D:I,6,FALSE)</f>
        <v>#N/A</v>
      </c>
    </row>
    <row r="579" spans="1:13" x14ac:dyDescent="0.2">
      <c r="A579" s="12" t="s">
        <v>4338</v>
      </c>
      <c r="B579" s="12" t="s">
        <v>4339</v>
      </c>
      <c r="C579" s="12">
        <v>11622</v>
      </c>
      <c r="D579" s="12">
        <v>11631</v>
      </c>
      <c r="E579" s="12" t="s">
        <v>3943</v>
      </c>
      <c r="F579" s="12">
        <v>7</v>
      </c>
      <c r="H579" s="12" t="s">
        <v>3621</v>
      </c>
      <c r="I579" s="41" t="s">
        <v>6930</v>
      </c>
      <c r="M579" s="41" t="e">
        <f>VLOOKUP(I579,错误mRNA总表!D:I,6,FALSE)</f>
        <v>#N/A</v>
      </c>
    </row>
    <row r="580" spans="1:13" x14ac:dyDescent="0.2">
      <c r="A580" s="12" t="s">
        <v>4338</v>
      </c>
      <c r="B580" s="12" t="s">
        <v>4339</v>
      </c>
      <c r="C580" s="12">
        <v>11622</v>
      </c>
      <c r="D580" s="12">
        <v>11649</v>
      </c>
      <c r="E580" s="12" t="s">
        <v>3943</v>
      </c>
      <c r="F580" s="12">
        <v>6</v>
      </c>
      <c r="H580" s="12" t="s">
        <v>3621</v>
      </c>
      <c r="I580" s="41" t="s">
        <v>6930</v>
      </c>
      <c r="M580" s="41" t="e">
        <f>VLOOKUP(I580,错误mRNA总表!D:I,6,FALSE)</f>
        <v>#N/A</v>
      </c>
    </row>
    <row r="581" spans="1:13" x14ac:dyDescent="0.2">
      <c r="A581" s="12" t="s">
        <v>4340</v>
      </c>
      <c r="B581" s="12" t="s">
        <v>4030</v>
      </c>
      <c r="C581" s="12">
        <v>22138125</v>
      </c>
      <c r="D581" s="12">
        <v>22138561</v>
      </c>
      <c r="E581" s="12" t="s">
        <v>3943</v>
      </c>
      <c r="F581" s="12">
        <v>2</v>
      </c>
      <c r="G581" s="41" t="s">
        <v>81</v>
      </c>
      <c r="H581" s="12" t="s">
        <v>5874</v>
      </c>
      <c r="I581" s="41" t="s">
        <v>6931</v>
      </c>
      <c r="M581" s="41" t="e">
        <f>VLOOKUP(I581,错误mRNA总表!D:I,6,FALSE)</f>
        <v>#N/A</v>
      </c>
    </row>
    <row r="582" spans="1:13" x14ac:dyDescent="0.2">
      <c r="A582" s="12" t="s">
        <v>4086</v>
      </c>
      <c r="B582" s="12" t="s">
        <v>3989</v>
      </c>
      <c r="C582" s="12">
        <v>1223623</v>
      </c>
      <c r="D582" s="12">
        <v>1224905</v>
      </c>
      <c r="E582" s="12" t="s">
        <v>3940</v>
      </c>
      <c r="F582" s="12">
        <v>38</v>
      </c>
      <c r="H582" s="12" t="s">
        <v>6374</v>
      </c>
      <c r="I582" s="41" t="s">
        <v>6932</v>
      </c>
      <c r="M582" s="41" t="e">
        <f>VLOOKUP(I582,错误mRNA总表!D:I,6,FALSE)</f>
        <v>#N/A</v>
      </c>
    </row>
    <row r="583" spans="1:13" x14ac:dyDescent="0.2">
      <c r="A583" s="12" t="s">
        <v>4086</v>
      </c>
      <c r="B583" s="12" t="s">
        <v>3989</v>
      </c>
      <c r="C583" s="12">
        <v>1223623</v>
      </c>
      <c r="D583" s="12">
        <v>1223825</v>
      </c>
      <c r="E583" s="12" t="s">
        <v>3943</v>
      </c>
      <c r="F583" s="12">
        <v>4</v>
      </c>
      <c r="H583" s="12" t="s">
        <v>6374</v>
      </c>
      <c r="I583" s="41" t="s">
        <v>6932</v>
      </c>
      <c r="M583" s="41" t="e">
        <f>VLOOKUP(I583,错误mRNA总表!D:I,6,FALSE)</f>
        <v>#N/A</v>
      </c>
    </row>
    <row r="584" spans="1:13" x14ac:dyDescent="0.2">
      <c r="A584" s="12" t="s">
        <v>4086</v>
      </c>
      <c r="B584" s="12" t="s">
        <v>3989</v>
      </c>
      <c r="C584" s="12">
        <v>1223623</v>
      </c>
      <c r="D584" s="12">
        <v>1224549</v>
      </c>
      <c r="E584" s="12" t="s">
        <v>3940</v>
      </c>
      <c r="F584" s="12">
        <v>2</v>
      </c>
      <c r="H584" s="12" t="s">
        <v>6374</v>
      </c>
      <c r="I584" s="41" t="s">
        <v>6932</v>
      </c>
      <c r="M584" s="41" t="e">
        <f>VLOOKUP(I584,错误mRNA总表!D:I,6,FALSE)</f>
        <v>#N/A</v>
      </c>
    </row>
    <row r="585" spans="1:13" x14ac:dyDescent="0.2">
      <c r="A585" s="12" t="s">
        <v>4086</v>
      </c>
      <c r="B585" s="12" t="s">
        <v>3989</v>
      </c>
      <c r="C585" s="12">
        <v>1223623</v>
      </c>
      <c r="D585" s="12">
        <v>1224738</v>
      </c>
      <c r="E585" s="12" t="s">
        <v>3940</v>
      </c>
      <c r="F585" s="12">
        <v>1</v>
      </c>
      <c r="H585" s="12" t="s">
        <v>6374</v>
      </c>
      <c r="I585" s="41" t="s">
        <v>6932</v>
      </c>
      <c r="M585" s="41" t="e">
        <f>VLOOKUP(I585,错误mRNA总表!D:I,6,FALSE)</f>
        <v>#N/A</v>
      </c>
    </row>
    <row r="586" spans="1:13" x14ac:dyDescent="0.2">
      <c r="A586" s="12" t="s">
        <v>4086</v>
      </c>
      <c r="B586" s="12" t="s">
        <v>3989</v>
      </c>
      <c r="C586" s="12">
        <v>1223623</v>
      </c>
      <c r="D586" s="12">
        <v>1224875</v>
      </c>
      <c r="E586" s="12" t="s">
        <v>3940</v>
      </c>
      <c r="F586" s="12">
        <v>6</v>
      </c>
      <c r="H586" s="12" t="s">
        <v>6374</v>
      </c>
      <c r="I586" s="41" t="s">
        <v>6932</v>
      </c>
      <c r="M586" s="41" t="e">
        <f>VLOOKUP(I586,错误mRNA总表!D:I,6,FALSE)</f>
        <v>#N/A</v>
      </c>
    </row>
    <row r="587" spans="1:13" x14ac:dyDescent="0.2">
      <c r="A587" s="12" t="s">
        <v>4341</v>
      </c>
      <c r="B587" s="12" t="s">
        <v>3942</v>
      </c>
      <c r="C587" s="12">
        <v>140566701</v>
      </c>
      <c r="D587" s="12">
        <v>140568035</v>
      </c>
      <c r="E587" s="12" t="s">
        <v>3940</v>
      </c>
      <c r="F587" s="12">
        <v>1</v>
      </c>
      <c r="G587" s="41" t="s">
        <v>186</v>
      </c>
      <c r="H587" s="12" t="s">
        <v>225</v>
      </c>
      <c r="I587" s="41" t="s">
        <v>6933</v>
      </c>
      <c r="J587" s="41" t="s">
        <v>2187</v>
      </c>
      <c r="K587" s="41" t="str">
        <f>VLOOKUP(J587,错误mRNA总表!D:J,7,FALSE)</f>
        <v>Browser与原结果匹配，纠后与rs匹配（rs782094811）chr5：140568037-140569285</v>
      </c>
      <c r="M587" s="41" t="e">
        <f>VLOOKUP(I587,错误mRNA总表!D:I,6,FALSE)</f>
        <v>#N/A</v>
      </c>
    </row>
    <row r="588" spans="1:13" x14ac:dyDescent="0.2">
      <c r="A588" s="12" t="s">
        <v>4342</v>
      </c>
      <c r="B588" s="12" t="s">
        <v>3957</v>
      </c>
      <c r="C588" s="12">
        <v>46638826</v>
      </c>
      <c r="D588" s="12">
        <v>46694313</v>
      </c>
      <c r="E588" s="12" t="s">
        <v>3943</v>
      </c>
      <c r="F588" s="12">
        <v>2</v>
      </c>
      <c r="G588" s="41" t="s">
        <v>36</v>
      </c>
      <c r="H588" s="12" t="s">
        <v>5875</v>
      </c>
      <c r="I588" s="41" t="s">
        <v>6934</v>
      </c>
      <c r="M588" s="41" t="e">
        <f>VLOOKUP(I588,错误mRNA总表!D:I,6,FALSE)</f>
        <v>#N/A</v>
      </c>
    </row>
    <row r="589" spans="1:13" x14ac:dyDescent="0.2">
      <c r="A589" s="12" t="s">
        <v>4343</v>
      </c>
      <c r="B589" s="12" t="s">
        <v>3948</v>
      </c>
      <c r="C589" s="12">
        <v>65111924</v>
      </c>
      <c r="D589" s="12">
        <v>65112455</v>
      </c>
      <c r="E589" s="12" t="s">
        <v>3940</v>
      </c>
      <c r="F589" s="12">
        <v>9</v>
      </c>
      <c r="G589" s="41" t="s">
        <v>40</v>
      </c>
      <c r="H589" s="12" t="s">
        <v>6118</v>
      </c>
      <c r="I589" s="41" t="s">
        <v>6935</v>
      </c>
      <c r="M589" s="41" t="e">
        <f>VLOOKUP(I589,错误mRNA总表!D:I,6,FALSE)</f>
        <v>#N/A</v>
      </c>
    </row>
    <row r="590" spans="1:13" x14ac:dyDescent="0.2">
      <c r="A590" s="12" t="s">
        <v>4343</v>
      </c>
      <c r="B590" s="12" t="s">
        <v>3948</v>
      </c>
      <c r="C590" s="12">
        <v>65111924</v>
      </c>
      <c r="D590" s="12">
        <v>65112456</v>
      </c>
      <c r="E590" s="12" t="s">
        <v>3943</v>
      </c>
      <c r="F590" s="12">
        <v>3</v>
      </c>
      <c r="G590" s="41" t="s">
        <v>40</v>
      </c>
      <c r="H590" s="12" t="s">
        <v>6118</v>
      </c>
      <c r="I590" s="41" t="s">
        <v>6935</v>
      </c>
      <c r="M590" s="41" t="e">
        <f>VLOOKUP(I590,错误mRNA总表!D:I,6,FALSE)</f>
        <v>#N/A</v>
      </c>
    </row>
    <row r="591" spans="1:13" x14ac:dyDescent="0.2">
      <c r="A591" s="12" t="s">
        <v>4343</v>
      </c>
      <c r="B591" s="12" t="s">
        <v>3948</v>
      </c>
      <c r="C591" s="12">
        <v>65111924</v>
      </c>
      <c r="D591" s="12">
        <v>65112494</v>
      </c>
      <c r="E591" s="12" t="s">
        <v>3943</v>
      </c>
      <c r="F591" s="12">
        <v>5</v>
      </c>
      <c r="G591" s="41" t="s">
        <v>40</v>
      </c>
      <c r="H591" s="12" t="s">
        <v>6118</v>
      </c>
      <c r="I591" s="41" t="s">
        <v>6935</v>
      </c>
      <c r="M591" s="41" t="e">
        <f>VLOOKUP(I591,错误mRNA总表!D:I,6,FALSE)</f>
        <v>#N/A</v>
      </c>
    </row>
    <row r="592" spans="1:13" x14ac:dyDescent="0.2">
      <c r="A592" s="12" t="s">
        <v>4343</v>
      </c>
      <c r="B592" s="12" t="s">
        <v>3948</v>
      </c>
      <c r="C592" s="12">
        <v>65111924</v>
      </c>
      <c r="D592" s="12">
        <v>65112502</v>
      </c>
      <c r="E592" s="12" t="s">
        <v>3943</v>
      </c>
      <c r="F592" s="12">
        <v>1</v>
      </c>
      <c r="G592" s="41" t="s">
        <v>40</v>
      </c>
      <c r="H592" s="12" t="s">
        <v>6118</v>
      </c>
      <c r="I592" s="41" t="s">
        <v>6935</v>
      </c>
      <c r="M592" s="41" t="e">
        <f>VLOOKUP(I592,错误mRNA总表!D:I,6,FALSE)</f>
        <v>#N/A</v>
      </c>
    </row>
    <row r="593" spans="1:13" x14ac:dyDescent="0.2">
      <c r="A593" s="12" t="s">
        <v>4344</v>
      </c>
      <c r="B593" s="12" t="s">
        <v>3973</v>
      </c>
      <c r="C593" s="12">
        <v>147228332</v>
      </c>
      <c r="D593" s="12">
        <v>147229628</v>
      </c>
      <c r="E593" s="12" t="s">
        <v>3940</v>
      </c>
      <c r="F593" s="12">
        <v>25</v>
      </c>
      <c r="G593" s="41" t="s">
        <v>139</v>
      </c>
      <c r="H593" s="12" t="s">
        <v>3498</v>
      </c>
      <c r="I593" s="41" t="s">
        <v>6936</v>
      </c>
      <c r="M593" s="41" t="e">
        <f>VLOOKUP(I593,错误mRNA总表!D:I,6,FALSE)</f>
        <v>#N/A</v>
      </c>
    </row>
    <row r="594" spans="1:13" x14ac:dyDescent="0.2">
      <c r="A594" s="12" t="s">
        <v>4345</v>
      </c>
      <c r="B594" s="12" t="s">
        <v>3986</v>
      </c>
      <c r="C594" s="12">
        <v>54754269</v>
      </c>
      <c r="D594" s="12">
        <v>54754838</v>
      </c>
      <c r="E594" s="12" t="s">
        <v>3940</v>
      </c>
      <c r="F594" s="12">
        <v>1</v>
      </c>
      <c r="G594" s="41" t="s">
        <v>50</v>
      </c>
      <c r="H594" s="12" t="s">
        <v>5876</v>
      </c>
      <c r="I594" s="41" t="s">
        <v>6937</v>
      </c>
      <c r="M594" s="41" t="e">
        <f>VLOOKUP(I594,错误mRNA总表!D:I,6,FALSE)</f>
        <v>#N/A</v>
      </c>
    </row>
    <row r="595" spans="1:13" x14ac:dyDescent="0.2">
      <c r="A595" s="12" t="s">
        <v>4346</v>
      </c>
      <c r="B595" s="12" t="s">
        <v>4018</v>
      </c>
      <c r="C595" s="12">
        <v>17443434</v>
      </c>
      <c r="D595" s="12">
        <v>17981988</v>
      </c>
      <c r="E595" s="12" t="s">
        <v>3940</v>
      </c>
      <c r="F595" s="12">
        <v>1</v>
      </c>
      <c r="G595" s="41" t="s">
        <v>241</v>
      </c>
      <c r="H595" s="12" t="s">
        <v>5877</v>
      </c>
      <c r="I595" s="41" t="s">
        <v>6938</v>
      </c>
      <c r="M595" s="41" t="e">
        <f>VLOOKUP(I595,错误mRNA总表!D:I,6,FALSE)</f>
        <v>#N/A</v>
      </c>
    </row>
    <row r="596" spans="1:13" x14ac:dyDescent="0.2">
      <c r="A596" s="12" t="s">
        <v>4347</v>
      </c>
      <c r="B596" s="12" t="s">
        <v>3957</v>
      </c>
      <c r="C596" s="12">
        <v>46638826</v>
      </c>
      <c r="D596" s="12">
        <v>46694313</v>
      </c>
      <c r="E596" s="12" t="s">
        <v>3943</v>
      </c>
      <c r="F596" s="12">
        <v>2</v>
      </c>
      <c r="G596" s="41" t="s">
        <v>36</v>
      </c>
      <c r="H596" s="12" t="s">
        <v>5878</v>
      </c>
      <c r="I596" s="41" t="s">
        <v>6939</v>
      </c>
      <c r="M596" s="41" t="e">
        <f>VLOOKUP(I596,错误mRNA总表!D:I,6,FALSE)</f>
        <v>#N/A</v>
      </c>
    </row>
    <row r="597" spans="1:13" x14ac:dyDescent="0.2">
      <c r="A597" s="12" t="s">
        <v>3951</v>
      </c>
      <c r="B597" s="12" t="s">
        <v>4061</v>
      </c>
      <c r="C597" s="12">
        <v>134462</v>
      </c>
      <c r="D597" s="12">
        <v>147486</v>
      </c>
      <c r="E597" s="12" t="s">
        <v>3943</v>
      </c>
      <c r="F597" s="12">
        <v>1</v>
      </c>
      <c r="H597" s="12" t="s">
        <v>3649</v>
      </c>
      <c r="I597" s="41" t="s">
        <v>6940</v>
      </c>
      <c r="M597" s="41" t="e">
        <f>VLOOKUP(I597,错误mRNA总表!D:I,6,FALSE)</f>
        <v>#N/A</v>
      </c>
    </row>
    <row r="598" spans="1:13" x14ac:dyDescent="0.2">
      <c r="A598" s="12" t="s">
        <v>4348</v>
      </c>
      <c r="B598" s="12" t="s">
        <v>3939</v>
      </c>
      <c r="C598" s="12">
        <v>103031434</v>
      </c>
      <c r="D598" s="12">
        <v>103046530</v>
      </c>
      <c r="E598" s="12" t="s">
        <v>3943</v>
      </c>
      <c r="F598" s="12">
        <v>1</v>
      </c>
      <c r="G598" s="41" t="s">
        <v>73</v>
      </c>
      <c r="H598" s="12" t="s">
        <v>6395</v>
      </c>
      <c r="I598" s="41" t="s">
        <v>6941</v>
      </c>
      <c r="M598" s="41" t="e">
        <f>VLOOKUP(I598,错误mRNA总表!D:I,6,FALSE)</f>
        <v>#N/A</v>
      </c>
    </row>
    <row r="599" spans="1:13" x14ac:dyDescent="0.2">
      <c r="A599" s="12" t="s">
        <v>4349</v>
      </c>
      <c r="B599" s="12" t="s">
        <v>3939</v>
      </c>
      <c r="C599" s="12">
        <v>153639854</v>
      </c>
      <c r="D599" s="12">
        <v>153640060</v>
      </c>
      <c r="E599" s="12" t="s">
        <v>3943</v>
      </c>
      <c r="F599" s="12">
        <v>1</v>
      </c>
      <c r="G599" s="41" t="s">
        <v>73</v>
      </c>
      <c r="H599" s="12" t="s">
        <v>3691</v>
      </c>
      <c r="I599" s="41" t="s">
        <v>6942</v>
      </c>
      <c r="M599" s="41" t="e">
        <f>VLOOKUP(I599,错误mRNA总表!D:I,6,FALSE)</f>
        <v>#N/A</v>
      </c>
    </row>
    <row r="600" spans="1:13" x14ac:dyDescent="0.2">
      <c r="A600" s="12" t="s">
        <v>4241</v>
      </c>
      <c r="B600" s="12" t="s">
        <v>3952</v>
      </c>
      <c r="C600" s="12">
        <v>248805</v>
      </c>
      <c r="D600" s="12">
        <v>248840</v>
      </c>
      <c r="E600" s="12" t="s">
        <v>3940</v>
      </c>
      <c r="F600" s="12">
        <v>2</v>
      </c>
      <c r="H600" s="12" t="s">
        <v>5908</v>
      </c>
      <c r="I600" s="41" t="s">
        <v>6943</v>
      </c>
      <c r="M600" s="41" t="e">
        <f>VLOOKUP(I600,错误mRNA总表!D:I,6,FALSE)</f>
        <v>#N/A</v>
      </c>
    </row>
    <row r="601" spans="1:13" x14ac:dyDescent="0.2">
      <c r="A601" s="12" t="s">
        <v>4350</v>
      </c>
      <c r="B601" s="12" t="s">
        <v>4052</v>
      </c>
      <c r="C601" s="12">
        <v>64571756</v>
      </c>
      <c r="D601" s="12">
        <v>64572037</v>
      </c>
      <c r="E601" s="12" t="s">
        <v>3943</v>
      </c>
      <c r="F601" s="12">
        <v>1</v>
      </c>
      <c r="G601" s="41" t="s">
        <v>93</v>
      </c>
      <c r="H601" s="12" t="s">
        <v>5879</v>
      </c>
      <c r="I601" s="41" t="s">
        <v>6696</v>
      </c>
      <c r="M601" s="41" t="e">
        <f>VLOOKUP(I601,错误mRNA总表!D:I,6,FALSE)</f>
        <v>#N/A</v>
      </c>
    </row>
    <row r="602" spans="1:13" x14ac:dyDescent="0.2">
      <c r="A602" s="12" t="s">
        <v>4351</v>
      </c>
      <c r="B602" s="12" t="s">
        <v>3986</v>
      </c>
      <c r="C602" s="12">
        <v>51461887</v>
      </c>
      <c r="D602" s="12">
        <v>51471814</v>
      </c>
      <c r="E602" s="12" t="s">
        <v>3940</v>
      </c>
      <c r="F602" s="12">
        <v>1</v>
      </c>
      <c r="G602" s="41" t="s">
        <v>50</v>
      </c>
      <c r="H602" s="12" t="s">
        <v>5880</v>
      </c>
      <c r="I602" s="41" t="s">
        <v>6944</v>
      </c>
      <c r="M602" s="41" t="e">
        <f>VLOOKUP(I602,错误mRNA总表!D:I,6,FALSE)</f>
        <v>#N/A</v>
      </c>
    </row>
    <row r="603" spans="1:13" x14ac:dyDescent="0.2">
      <c r="A603" s="12" t="s">
        <v>4268</v>
      </c>
      <c r="B603" s="12" t="s">
        <v>4061</v>
      </c>
      <c r="C603" s="12">
        <v>281437</v>
      </c>
      <c r="D603" s="12">
        <v>281609</v>
      </c>
      <c r="E603" s="12" t="s">
        <v>3940</v>
      </c>
      <c r="F603" s="12">
        <v>2</v>
      </c>
      <c r="H603" s="12" t="s">
        <v>3659</v>
      </c>
      <c r="I603" s="41" t="s">
        <v>6945</v>
      </c>
      <c r="M603" s="41" t="e">
        <f>VLOOKUP(I603,错误mRNA总表!D:I,6,FALSE)</f>
        <v>#N/A</v>
      </c>
    </row>
    <row r="604" spans="1:13" x14ac:dyDescent="0.2">
      <c r="A604" s="12" t="s">
        <v>4352</v>
      </c>
      <c r="B604" s="12" t="s">
        <v>3986</v>
      </c>
      <c r="C604" s="12">
        <v>50922195</v>
      </c>
      <c r="D604" s="12">
        <v>50931797</v>
      </c>
      <c r="E604" s="12" t="s">
        <v>3940</v>
      </c>
      <c r="F604" s="12">
        <v>1</v>
      </c>
      <c r="G604" s="41" t="s">
        <v>50</v>
      </c>
      <c r="H604" s="12" t="s">
        <v>6569</v>
      </c>
      <c r="I604" s="41" t="s">
        <v>6946</v>
      </c>
      <c r="M604" s="41" t="e">
        <f>VLOOKUP(I604,错误mRNA总表!D:I,6,FALSE)</f>
        <v>#N/A</v>
      </c>
    </row>
    <row r="605" spans="1:13" x14ac:dyDescent="0.2">
      <c r="A605" s="12" t="s">
        <v>4353</v>
      </c>
      <c r="B605" s="12" t="s">
        <v>4354</v>
      </c>
      <c r="C605" s="12">
        <v>16012</v>
      </c>
      <c r="D605" s="12">
        <v>16016</v>
      </c>
      <c r="E605" s="12" t="s">
        <v>3943</v>
      </c>
      <c r="F605" s="12">
        <v>1</v>
      </c>
      <c r="H605" s="12" t="s">
        <v>5881</v>
      </c>
      <c r="I605" s="41" t="s">
        <v>6947</v>
      </c>
      <c r="M605" s="41" t="e">
        <f>VLOOKUP(I605,错误mRNA总表!D:I,6,FALSE)</f>
        <v>#N/A</v>
      </c>
    </row>
    <row r="606" spans="1:13" x14ac:dyDescent="0.2">
      <c r="A606" s="12" t="s">
        <v>4353</v>
      </c>
      <c r="B606" s="12" t="s">
        <v>4354</v>
      </c>
      <c r="C606" s="12">
        <v>16012</v>
      </c>
      <c r="D606" s="12">
        <v>176700</v>
      </c>
      <c r="E606" s="12" t="s">
        <v>3940</v>
      </c>
      <c r="F606" s="12">
        <v>233</v>
      </c>
      <c r="H606" s="12" t="s">
        <v>5881</v>
      </c>
      <c r="I606" s="41" t="s">
        <v>6947</v>
      </c>
      <c r="M606" s="41" t="e">
        <f>VLOOKUP(I606,错误mRNA总表!D:I,6,FALSE)</f>
        <v>#N/A</v>
      </c>
    </row>
    <row r="607" spans="1:13" x14ac:dyDescent="0.2">
      <c r="A607" s="12" t="s">
        <v>4353</v>
      </c>
      <c r="B607" s="12" t="s">
        <v>4354</v>
      </c>
      <c r="C607" s="12">
        <v>16012</v>
      </c>
      <c r="D607" s="12">
        <v>183427</v>
      </c>
      <c r="E607" s="12" t="s">
        <v>3940</v>
      </c>
      <c r="F607" s="12">
        <v>491</v>
      </c>
      <c r="H607" s="12" t="s">
        <v>5881</v>
      </c>
      <c r="I607" s="41" t="s">
        <v>6947</v>
      </c>
      <c r="M607" s="41" t="e">
        <f>VLOOKUP(I607,错误mRNA总表!D:I,6,FALSE)</f>
        <v>#N/A</v>
      </c>
    </row>
    <row r="608" spans="1:13" x14ac:dyDescent="0.2">
      <c r="A608" s="12" t="s">
        <v>4353</v>
      </c>
      <c r="B608" s="12" t="s">
        <v>4354</v>
      </c>
      <c r="C608" s="12">
        <v>16012</v>
      </c>
      <c r="D608" s="12">
        <v>194241</v>
      </c>
      <c r="E608" s="12" t="s">
        <v>3940</v>
      </c>
      <c r="F608" s="12">
        <v>72</v>
      </c>
      <c r="H608" s="12" t="s">
        <v>5881</v>
      </c>
      <c r="I608" s="41" t="s">
        <v>6947</v>
      </c>
      <c r="M608" s="41" t="e">
        <f>VLOOKUP(I608,错误mRNA总表!D:I,6,FALSE)</f>
        <v>#N/A</v>
      </c>
    </row>
    <row r="609" spans="1:13" x14ac:dyDescent="0.2">
      <c r="A609" s="12" t="s">
        <v>4353</v>
      </c>
      <c r="B609" s="12" t="s">
        <v>4354</v>
      </c>
      <c r="C609" s="12">
        <v>16012</v>
      </c>
      <c r="D609" s="12">
        <v>197536</v>
      </c>
      <c r="E609" s="12" t="s">
        <v>3940</v>
      </c>
      <c r="F609" s="12">
        <v>55</v>
      </c>
      <c r="H609" s="12" t="s">
        <v>5881</v>
      </c>
      <c r="I609" s="41" t="s">
        <v>6947</v>
      </c>
      <c r="M609" s="41" t="e">
        <f>VLOOKUP(I609,错误mRNA总表!D:I,6,FALSE)</f>
        <v>#N/A</v>
      </c>
    </row>
    <row r="610" spans="1:13" x14ac:dyDescent="0.2">
      <c r="A610" s="12" t="s">
        <v>4353</v>
      </c>
      <c r="B610" s="12" t="s">
        <v>4354</v>
      </c>
      <c r="C610" s="12">
        <v>16012</v>
      </c>
      <c r="D610" s="12">
        <v>197530</v>
      </c>
      <c r="E610" s="12" t="s">
        <v>3940</v>
      </c>
      <c r="F610" s="12">
        <v>1</v>
      </c>
      <c r="H610" s="12" t="s">
        <v>5881</v>
      </c>
      <c r="I610" s="41" t="s">
        <v>6947</v>
      </c>
      <c r="M610" s="41" t="e">
        <f>VLOOKUP(I610,错误mRNA总表!D:I,6,FALSE)</f>
        <v>#N/A</v>
      </c>
    </row>
    <row r="611" spans="1:13" x14ac:dyDescent="0.2">
      <c r="A611" s="12" t="s">
        <v>4353</v>
      </c>
      <c r="B611" s="12" t="s">
        <v>4354</v>
      </c>
      <c r="C611" s="12">
        <v>16012</v>
      </c>
      <c r="D611" s="12">
        <v>198595</v>
      </c>
      <c r="E611" s="12" t="s">
        <v>3943</v>
      </c>
      <c r="F611" s="12">
        <v>3</v>
      </c>
      <c r="H611" s="12" t="s">
        <v>5881</v>
      </c>
      <c r="I611" s="41" t="s">
        <v>6947</v>
      </c>
      <c r="M611" s="41" t="e">
        <f>VLOOKUP(I611,错误mRNA总表!D:I,6,FALSE)</f>
        <v>#N/A</v>
      </c>
    </row>
    <row r="612" spans="1:13" x14ac:dyDescent="0.2">
      <c r="A612" s="12" t="s">
        <v>4355</v>
      </c>
      <c r="B612" s="12" t="s">
        <v>4356</v>
      </c>
      <c r="C612" s="12">
        <v>3731129</v>
      </c>
      <c r="D612" s="12">
        <v>3814854</v>
      </c>
      <c r="E612" s="12" t="s">
        <v>3940</v>
      </c>
      <c r="F612" s="12">
        <v>1</v>
      </c>
      <c r="H612" s="12" t="s">
        <v>195</v>
      </c>
      <c r="I612" s="41" t="s">
        <v>6948</v>
      </c>
      <c r="J612" s="41" t="s">
        <v>2198</v>
      </c>
      <c r="K612" s="41" t="str">
        <f>VLOOKUP(J612,错误mRNA总表!D:J,7,FALSE)</f>
        <v>纠后正确</v>
      </c>
      <c r="M612" s="41" t="e">
        <f>VLOOKUP(I612,错误mRNA总表!D:I,6,FALSE)</f>
        <v>#N/A</v>
      </c>
    </row>
    <row r="613" spans="1:13" x14ac:dyDescent="0.2">
      <c r="A613" s="12" t="s">
        <v>4357</v>
      </c>
      <c r="B613" s="12" t="s">
        <v>3978</v>
      </c>
      <c r="C613" s="12">
        <v>133875978</v>
      </c>
      <c r="D613" s="12">
        <v>133969437</v>
      </c>
      <c r="E613" s="12" t="s">
        <v>3940</v>
      </c>
      <c r="F613" s="12">
        <v>1</v>
      </c>
      <c r="G613" s="41" t="s">
        <v>86</v>
      </c>
      <c r="H613" s="12" t="s">
        <v>144</v>
      </c>
      <c r="I613" s="41" t="s">
        <v>2133</v>
      </c>
      <c r="J613" s="41" t="s">
        <v>2133</v>
      </c>
      <c r="K613" s="41" t="str">
        <f>VLOOKUP(J613,错误mRNA总表!D:J,7,FALSE)</f>
        <v>纠后正确</v>
      </c>
      <c r="L613" s="41" t="s">
        <v>3763</v>
      </c>
      <c r="M613" s="41">
        <f>VLOOKUP(I613,错误mRNA总表!D:I,6,FALSE)</f>
        <v>0</v>
      </c>
    </row>
    <row r="614" spans="1:13" x14ac:dyDescent="0.2">
      <c r="A614" s="12" t="s">
        <v>4357</v>
      </c>
      <c r="B614" s="12" t="s">
        <v>3978</v>
      </c>
      <c r="C614" s="12">
        <v>133875978</v>
      </c>
      <c r="D614" s="12">
        <v>133969487</v>
      </c>
      <c r="E614" s="12" t="s">
        <v>3940</v>
      </c>
      <c r="F614" s="12">
        <v>1</v>
      </c>
      <c r="G614" s="41" t="s">
        <v>86</v>
      </c>
      <c r="H614" s="12" t="s">
        <v>144</v>
      </c>
      <c r="I614" s="41" t="s">
        <v>2133</v>
      </c>
      <c r="J614" s="41" t="s">
        <v>2133</v>
      </c>
      <c r="K614" s="41" t="str">
        <f>VLOOKUP(J614,错误mRNA总表!D:J,7,FALSE)</f>
        <v>纠后正确</v>
      </c>
      <c r="L614" s="41" t="s">
        <v>3763</v>
      </c>
      <c r="M614" s="41">
        <f>VLOOKUP(I614,错误mRNA总表!D:I,6,FALSE)</f>
        <v>0</v>
      </c>
    </row>
    <row r="615" spans="1:13" x14ac:dyDescent="0.2">
      <c r="A615" s="12" t="s">
        <v>4137</v>
      </c>
      <c r="B615" s="12" t="s">
        <v>3969</v>
      </c>
      <c r="C615" s="12">
        <v>3886910</v>
      </c>
      <c r="D615" s="12">
        <v>3890890</v>
      </c>
      <c r="E615" s="12" t="s">
        <v>3940</v>
      </c>
      <c r="F615" s="12">
        <v>3</v>
      </c>
      <c r="H615" s="12" t="s">
        <v>3580</v>
      </c>
      <c r="I615" s="41" t="s">
        <v>6949</v>
      </c>
      <c r="M615" s="41" t="e">
        <f>VLOOKUP(I615,错误mRNA总表!D:I,6,FALSE)</f>
        <v>#N/A</v>
      </c>
    </row>
    <row r="616" spans="1:13" x14ac:dyDescent="0.2">
      <c r="A616" s="12" t="s">
        <v>4137</v>
      </c>
      <c r="B616" s="12" t="s">
        <v>3969</v>
      </c>
      <c r="C616" s="12">
        <v>3886910</v>
      </c>
      <c r="D616" s="12">
        <v>3892487</v>
      </c>
      <c r="E616" s="12" t="s">
        <v>3943</v>
      </c>
      <c r="F616" s="12">
        <v>7</v>
      </c>
      <c r="H616" s="12" t="s">
        <v>3580</v>
      </c>
      <c r="I616" s="41" t="s">
        <v>6949</v>
      </c>
      <c r="M616" s="41" t="e">
        <f>VLOOKUP(I616,错误mRNA总表!D:I,6,FALSE)</f>
        <v>#N/A</v>
      </c>
    </row>
    <row r="617" spans="1:13" x14ac:dyDescent="0.2">
      <c r="A617" s="12" t="s">
        <v>4137</v>
      </c>
      <c r="B617" s="12" t="s">
        <v>3969</v>
      </c>
      <c r="C617" s="12">
        <v>3886910</v>
      </c>
      <c r="D617" s="12">
        <v>3892566</v>
      </c>
      <c r="E617" s="12" t="s">
        <v>3940</v>
      </c>
      <c r="F617" s="12">
        <v>1</v>
      </c>
      <c r="H617" s="12" t="s">
        <v>3580</v>
      </c>
      <c r="I617" s="41" t="s">
        <v>6949</v>
      </c>
      <c r="M617" s="41" t="e">
        <f>VLOOKUP(I617,错误mRNA总表!D:I,6,FALSE)</f>
        <v>#N/A</v>
      </c>
    </row>
    <row r="618" spans="1:13" x14ac:dyDescent="0.2">
      <c r="A618" s="12" t="s">
        <v>4358</v>
      </c>
      <c r="B618" s="12" t="s">
        <v>4098</v>
      </c>
      <c r="C618" s="12">
        <v>450512</v>
      </c>
      <c r="D618" s="12">
        <v>462384</v>
      </c>
      <c r="E618" s="12" t="s">
        <v>3943</v>
      </c>
      <c r="F618" s="12">
        <v>4</v>
      </c>
      <c r="H618" s="12" t="s">
        <v>3664</v>
      </c>
      <c r="I618" s="41" t="s">
        <v>6950</v>
      </c>
      <c r="M618" s="41" t="e">
        <f>VLOOKUP(I618,错误mRNA总表!D:I,6,FALSE)</f>
        <v>#N/A</v>
      </c>
    </row>
    <row r="619" spans="1:13" x14ac:dyDescent="0.2">
      <c r="A619" s="12" t="s">
        <v>4359</v>
      </c>
      <c r="B619" s="12" t="s">
        <v>3954</v>
      </c>
      <c r="C619" s="12">
        <v>3076408</v>
      </c>
      <c r="D619" s="12">
        <v>3076662</v>
      </c>
      <c r="E619" s="12" t="s">
        <v>3940</v>
      </c>
      <c r="F619" s="12">
        <v>6</v>
      </c>
      <c r="G619" s="41" t="s">
        <v>569</v>
      </c>
      <c r="H619" s="12" t="s">
        <v>579</v>
      </c>
      <c r="I619" s="41" t="s">
        <v>2240</v>
      </c>
      <c r="J619" s="41" t="s">
        <v>2240</v>
      </c>
      <c r="K619" s="41" t="str">
        <f>VLOOKUP(J619,错误mRNA总表!D:J,7,FALSE)</f>
        <v>纠后正确，加2个氨基酸chr4:3076663-3241786</v>
      </c>
      <c r="L619" s="41" t="s">
        <v>8338</v>
      </c>
      <c r="M619" s="41">
        <f>VLOOKUP(I619,错误mRNA总表!D:I,6,FALSE)</f>
        <v>0</v>
      </c>
    </row>
    <row r="620" spans="1:13" x14ac:dyDescent="0.2">
      <c r="A620" s="12" t="s">
        <v>4360</v>
      </c>
      <c r="B620" s="12" t="s">
        <v>3978</v>
      </c>
      <c r="C620" s="12">
        <v>187930721</v>
      </c>
      <c r="D620" s="12">
        <v>188602082</v>
      </c>
      <c r="E620" s="12" t="s">
        <v>3943</v>
      </c>
      <c r="F620" s="12">
        <v>1</v>
      </c>
      <c r="G620" s="41" t="s">
        <v>86</v>
      </c>
      <c r="H620" s="12" t="s">
        <v>6570</v>
      </c>
      <c r="I620" s="41" t="s">
        <v>6951</v>
      </c>
      <c r="M620" s="41" t="e">
        <f>VLOOKUP(I620,错误mRNA总表!D:I,6,FALSE)</f>
        <v>#N/A</v>
      </c>
    </row>
    <row r="621" spans="1:13" x14ac:dyDescent="0.2">
      <c r="A621" s="12" t="s">
        <v>4361</v>
      </c>
      <c r="B621" s="12" t="s">
        <v>3964</v>
      </c>
      <c r="C621" s="12">
        <v>4691103</v>
      </c>
      <c r="D621" s="12">
        <v>4696431</v>
      </c>
      <c r="E621" s="12" t="s">
        <v>3940</v>
      </c>
      <c r="F621" s="12">
        <v>1</v>
      </c>
      <c r="H621" s="12" t="s">
        <v>5882</v>
      </c>
      <c r="I621" s="41" t="s">
        <v>6952</v>
      </c>
      <c r="M621" s="41" t="e">
        <f>VLOOKUP(I621,错误mRNA总表!D:I,6,FALSE)</f>
        <v>#N/A</v>
      </c>
    </row>
    <row r="622" spans="1:13" x14ac:dyDescent="0.2">
      <c r="A622" s="12" t="s">
        <v>4101</v>
      </c>
      <c r="B622" s="12" t="s">
        <v>3964</v>
      </c>
      <c r="C622" s="12">
        <v>2514037</v>
      </c>
      <c r="D622" s="12">
        <v>2516375</v>
      </c>
      <c r="E622" s="12" t="s">
        <v>3940</v>
      </c>
      <c r="F622" s="12">
        <v>1</v>
      </c>
      <c r="H622" s="12" t="s">
        <v>670</v>
      </c>
      <c r="I622" s="41" t="s">
        <v>6953</v>
      </c>
      <c r="J622" s="41" t="s">
        <v>2607</v>
      </c>
      <c r="K622" s="41" t="str">
        <f>VLOOKUP(J622,错误mRNA总表!D:J,7,FALSE)</f>
        <v/>
      </c>
      <c r="M622" s="41" t="e">
        <f>VLOOKUP(I622,错误mRNA总表!D:I,6,FALSE)</f>
        <v>#N/A</v>
      </c>
    </row>
    <row r="623" spans="1:13" x14ac:dyDescent="0.2">
      <c r="A623" s="12" t="s">
        <v>4362</v>
      </c>
      <c r="B623" s="12" t="s">
        <v>3948</v>
      </c>
      <c r="C623" s="12">
        <v>50344378</v>
      </c>
      <c r="D623" s="12">
        <v>50344382</v>
      </c>
      <c r="E623" s="12" t="s">
        <v>3940</v>
      </c>
      <c r="F623" s="12">
        <v>1</v>
      </c>
      <c r="G623" s="41" t="s">
        <v>40</v>
      </c>
      <c r="H623" s="12" t="s">
        <v>253</v>
      </c>
      <c r="I623" s="41" t="s">
        <v>3327</v>
      </c>
      <c r="J623" s="41" t="s">
        <v>3327</v>
      </c>
      <c r="K623" s="41" t="str">
        <f>VLOOKUP(J623,错误mRNA总表!D:J,7,FALSE)</f>
        <v>无变化</v>
      </c>
      <c r="L623" s="41" t="s">
        <v>3762</v>
      </c>
      <c r="M623" s="41">
        <f>VLOOKUP(I623,错误mRNA总表!D:I,6,FALSE)</f>
        <v>0</v>
      </c>
    </row>
    <row r="624" spans="1:13" x14ac:dyDescent="0.2">
      <c r="A624" s="12" t="s">
        <v>4362</v>
      </c>
      <c r="B624" s="12" t="s">
        <v>3948</v>
      </c>
      <c r="C624" s="12">
        <v>50344378</v>
      </c>
      <c r="D624" s="12">
        <v>50367353</v>
      </c>
      <c r="E624" s="12" t="s">
        <v>3940</v>
      </c>
      <c r="F624" s="12">
        <v>3</v>
      </c>
      <c r="G624" s="41" t="s">
        <v>40</v>
      </c>
      <c r="H624" s="12" t="s">
        <v>253</v>
      </c>
      <c r="I624" s="41" t="s">
        <v>3327</v>
      </c>
      <c r="J624" s="41" t="s">
        <v>3327</v>
      </c>
      <c r="K624" s="41" t="str">
        <f>VLOOKUP(J624,错误mRNA总表!D:J,7,FALSE)</f>
        <v>无变化</v>
      </c>
      <c r="L624" s="41" t="s">
        <v>3762</v>
      </c>
      <c r="M624" s="41">
        <f>VLOOKUP(I624,错误mRNA总表!D:I,6,FALSE)</f>
        <v>0</v>
      </c>
    </row>
    <row r="625" spans="1:13" x14ac:dyDescent="0.2">
      <c r="A625" s="12" t="s">
        <v>4363</v>
      </c>
      <c r="B625" s="12" t="s">
        <v>3939</v>
      </c>
      <c r="C625" s="12">
        <v>85224099</v>
      </c>
      <c r="D625" s="12">
        <v>85224121</v>
      </c>
      <c r="E625" s="12" t="s">
        <v>3940</v>
      </c>
      <c r="F625" s="12">
        <v>1</v>
      </c>
      <c r="G625" s="41" t="s">
        <v>73</v>
      </c>
      <c r="H625" s="12" t="s">
        <v>6451</v>
      </c>
      <c r="I625" s="41" t="s">
        <v>6954</v>
      </c>
      <c r="M625" s="41" t="e">
        <f>VLOOKUP(I625,错误mRNA总表!D:I,6,FALSE)</f>
        <v>#N/A</v>
      </c>
    </row>
    <row r="626" spans="1:13" x14ac:dyDescent="0.2">
      <c r="A626" s="12" t="s">
        <v>4364</v>
      </c>
      <c r="B626" s="12" t="s">
        <v>3973</v>
      </c>
      <c r="C626" s="12">
        <v>149576161</v>
      </c>
      <c r="D626" s="12">
        <v>149576464</v>
      </c>
      <c r="E626" s="12" t="s">
        <v>3940</v>
      </c>
      <c r="F626" s="12">
        <v>3</v>
      </c>
      <c r="G626" s="41" t="s">
        <v>139</v>
      </c>
      <c r="H626" s="12" t="s">
        <v>5883</v>
      </c>
      <c r="I626" s="41" t="s">
        <v>6955</v>
      </c>
      <c r="M626" s="41" t="e">
        <f>VLOOKUP(I626,错误mRNA总表!D:I,6,FALSE)</f>
        <v>#N/A</v>
      </c>
    </row>
    <row r="627" spans="1:13" x14ac:dyDescent="0.2">
      <c r="A627" s="12" t="s">
        <v>4364</v>
      </c>
      <c r="B627" s="12" t="s">
        <v>3973</v>
      </c>
      <c r="C627" s="12">
        <v>149576161</v>
      </c>
      <c r="D627" s="12">
        <v>149616671</v>
      </c>
      <c r="E627" s="12" t="s">
        <v>3940</v>
      </c>
      <c r="F627" s="12">
        <v>3</v>
      </c>
      <c r="G627" s="41" t="s">
        <v>139</v>
      </c>
      <c r="H627" s="12" t="s">
        <v>5883</v>
      </c>
      <c r="I627" s="41" t="s">
        <v>6955</v>
      </c>
      <c r="M627" s="41" t="e">
        <f>VLOOKUP(I627,错误mRNA总表!D:I,6,FALSE)</f>
        <v>#N/A</v>
      </c>
    </row>
    <row r="628" spans="1:13" x14ac:dyDescent="0.2">
      <c r="A628" s="12" t="s">
        <v>4365</v>
      </c>
      <c r="B628" s="12" t="s">
        <v>3948</v>
      </c>
      <c r="C628" s="12">
        <v>153749777</v>
      </c>
      <c r="D628" s="12">
        <v>154264004</v>
      </c>
      <c r="E628" s="12" t="s">
        <v>3943</v>
      </c>
      <c r="F628" s="12">
        <v>2</v>
      </c>
      <c r="G628" s="41" t="s">
        <v>40</v>
      </c>
      <c r="H628" s="12" t="s">
        <v>264</v>
      </c>
      <c r="I628" s="41" t="s">
        <v>2253</v>
      </c>
      <c r="J628" s="41" t="s">
        <v>2256</v>
      </c>
      <c r="K628" s="41" t="str">
        <f>VLOOKUP(J628,错误mRNA总表!D:J,7,FALSE)</f>
        <v>无变化</v>
      </c>
      <c r="L628" s="41" t="s">
        <v>3765</v>
      </c>
      <c r="M628" s="41">
        <f>VLOOKUP(I628,错误mRNA总表!D:I,6,FALSE)</f>
        <v>0</v>
      </c>
    </row>
    <row r="629" spans="1:13" x14ac:dyDescent="0.2">
      <c r="A629" s="12" t="s">
        <v>4365</v>
      </c>
      <c r="B629" s="12" t="s">
        <v>3948</v>
      </c>
      <c r="C629" s="12">
        <v>153749777</v>
      </c>
      <c r="D629" s="12">
        <v>154264011</v>
      </c>
      <c r="E629" s="12" t="s">
        <v>3940</v>
      </c>
      <c r="F629" s="12">
        <v>4</v>
      </c>
      <c r="G629" s="41" t="s">
        <v>40</v>
      </c>
      <c r="H629" s="12" t="s">
        <v>264</v>
      </c>
      <c r="I629" s="41" t="s">
        <v>2253</v>
      </c>
      <c r="J629" s="41" t="s">
        <v>2256</v>
      </c>
      <c r="K629" s="41" t="str">
        <f>VLOOKUP(J629,错误mRNA总表!D:J,7,FALSE)</f>
        <v>无变化</v>
      </c>
      <c r="L629" s="41" t="s">
        <v>3765</v>
      </c>
      <c r="M629" s="41">
        <f>VLOOKUP(I629,错误mRNA总表!D:I,6,FALSE)</f>
        <v>0</v>
      </c>
    </row>
    <row r="630" spans="1:13" x14ac:dyDescent="0.2">
      <c r="A630" s="12" t="s">
        <v>4366</v>
      </c>
      <c r="B630" s="12" t="s">
        <v>3942</v>
      </c>
      <c r="C630" s="12">
        <v>175819456</v>
      </c>
      <c r="D630" s="12">
        <v>175843461</v>
      </c>
      <c r="E630" s="12" t="s">
        <v>3943</v>
      </c>
      <c r="F630" s="12">
        <v>1</v>
      </c>
      <c r="G630" s="41" t="s">
        <v>186</v>
      </c>
      <c r="H630" s="12" t="s">
        <v>6507</v>
      </c>
      <c r="I630" s="41" t="s">
        <v>6956</v>
      </c>
      <c r="M630" s="41" t="e">
        <f>VLOOKUP(I630,错误mRNA总表!D:I,6,FALSE)</f>
        <v>#N/A</v>
      </c>
    </row>
    <row r="631" spans="1:13" x14ac:dyDescent="0.2">
      <c r="A631" s="12" t="s">
        <v>4367</v>
      </c>
      <c r="B631" s="12" t="s">
        <v>3957</v>
      </c>
      <c r="C631" s="12">
        <v>46638826</v>
      </c>
      <c r="D631" s="12">
        <v>46694313</v>
      </c>
      <c r="E631" s="12" t="s">
        <v>3943</v>
      </c>
      <c r="F631" s="12">
        <v>2</v>
      </c>
      <c r="G631" s="41" t="s">
        <v>36</v>
      </c>
      <c r="H631" s="12" t="s">
        <v>5884</v>
      </c>
      <c r="I631" s="41" t="s">
        <v>6957</v>
      </c>
      <c r="M631" s="41" t="e">
        <f>VLOOKUP(I631,错误mRNA总表!D:I,6,FALSE)</f>
        <v>#N/A</v>
      </c>
    </row>
    <row r="632" spans="1:13" x14ac:dyDescent="0.2">
      <c r="A632" s="12" t="s">
        <v>4368</v>
      </c>
      <c r="B632" s="12" t="s">
        <v>3946</v>
      </c>
      <c r="C632" s="12">
        <v>29815019</v>
      </c>
      <c r="D632" s="12">
        <v>29863658</v>
      </c>
      <c r="E632" s="12" t="s">
        <v>3943</v>
      </c>
      <c r="F632" s="12">
        <v>1</v>
      </c>
      <c r="G632" s="41" t="s">
        <v>47</v>
      </c>
      <c r="H632" s="12" t="s">
        <v>5885</v>
      </c>
      <c r="I632" s="41" t="s">
        <v>6958</v>
      </c>
      <c r="M632" s="41" t="e">
        <f>VLOOKUP(I632,错误mRNA总表!D:I,6,FALSE)</f>
        <v>#N/A</v>
      </c>
    </row>
    <row r="633" spans="1:13" x14ac:dyDescent="0.2">
      <c r="A633" s="12" t="s">
        <v>4369</v>
      </c>
      <c r="B633" s="12" t="s">
        <v>4023</v>
      </c>
      <c r="C633" s="12">
        <v>762280</v>
      </c>
      <c r="D633" s="12">
        <v>895550</v>
      </c>
      <c r="E633" s="12" t="s">
        <v>3940</v>
      </c>
      <c r="F633" s="12">
        <v>1</v>
      </c>
      <c r="H633" s="12" t="s">
        <v>3639</v>
      </c>
      <c r="I633" s="41" t="s">
        <v>6959</v>
      </c>
      <c r="M633" s="41" t="e">
        <f>VLOOKUP(I633,错误mRNA总表!D:I,6,FALSE)</f>
        <v>#N/A</v>
      </c>
    </row>
    <row r="634" spans="1:13" x14ac:dyDescent="0.2">
      <c r="A634" s="12" t="s">
        <v>4369</v>
      </c>
      <c r="B634" s="12" t="s">
        <v>4023</v>
      </c>
      <c r="C634" s="12">
        <v>762280</v>
      </c>
      <c r="D634" s="12">
        <v>763397</v>
      </c>
      <c r="E634" s="12" t="s">
        <v>3940</v>
      </c>
      <c r="F634" s="12">
        <v>3</v>
      </c>
      <c r="H634" s="12" t="s">
        <v>3639</v>
      </c>
      <c r="I634" s="41" t="s">
        <v>6959</v>
      </c>
      <c r="M634" s="41" t="e">
        <f>VLOOKUP(I634,错误mRNA总表!D:I,6,FALSE)</f>
        <v>#N/A</v>
      </c>
    </row>
    <row r="635" spans="1:13" x14ac:dyDescent="0.2">
      <c r="A635" s="12" t="s">
        <v>4369</v>
      </c>
      <c r="B635" s="12" t="s">
        <v>4023</v>
      </c>
      <c r="C635" s="12">
        <v>762280</v>
      </c>
      <c r="D635" s="12">
        <v>763561</v>
      </c>
      <c r="E635" s="12" t="s">
        <v>3940</v>
      </c>
      <c r="F635" s="12">
        <v>3</v>
      </c>
      <c r="H635" s="12" t="s">
        <v>3639</v>
      </c>
      <c r="I635" s="41" t="s">
        <v>6959</v>
      </c>
      <c r="M635" s="41" t="e">
        <f>VLOOKUP(I635,错误mRNA总表!D:I,6,FALSE)</f>
        <v>#N/A</v>
      </c>
    </row>
    <row r="636" spans="1:13" x14ac:dyDescent="0.2">
      <c r="A636" s="12" t="s">
        <v>4369</v>
      </c>
      <c r="B636" s="12" t="s">
        <v>4023</v>
      </c>
      <c r="C636" s="12">
        <v>762280</v>
      </c>
      <c r="D636" s="12">
        <v>763693</v>
      </c>
      <c r="E636" s="12" t="s">
        <v>3940</v>
      </c>
      <c r="F636" s="12">
        <v>1</v>
      </c>
      <c r="H636" s="12" t="s">
        <v>3639</v>
      </c>
      <c r="I636" s="41" t="s">
        <v>6959</v>
      </c>
      <c r="M636" s="41" t="e">
        <f>VLOOKUP(I636,错误mRNA总表!D:I,6,FALSE)</f>
        <v>#N/A</v>
      </c>
    </row>
    <row r="637" spans="1:13" x14ac:dyDescent="0.2">
      <c r="A637" s="12" t="s">
        <v>4369</v>
      </c>
      <c r="B637" s="12" t="s">
        <v>4023</v>
      </c>
      <c r="C637" s="12">
        <v>762280</v>
      </c>
      <c r="D637" s="12">
        <v>764045</v>
      </c>
      <c r="E637" s="12" t="s">
        <v>3943</v>
      </c>
      <c r="F637" s="12">
        <v>1</v>
      </c>
      <c r="H637" s="12" t="s">
        <v>3639</v>
      </c>
      <c r="I637" s="41" t="s">
        <v>6959</v>
      </c>
      <c r="M637" s="41" t="e">
        <f>VLOOKUP(I637,错误mRNA总表!D:I,6,FALSE)</f>
        <v>#N/A</v>
      </c>
    </row>
    <row r="638" spans="1:13" x14ac:dyDescent="0.2">
      <c r="A638" s="12" t="s">
        <v>4369</v>
      </c>
      <c r="B638" s="12" t="s">
        <v>4023</v>
      </c>
      <c r="C638" s="12">
        <v>762280</v>
      </c>
      <c r="D638" s="12">
        <v>764501</v>
      </c>
      <c r="E638" s="12" t="s">
        <v>3943</v>
      </c>
      <c r="F638" s="12">
        <v>1</v>
      </c>
      <c r="H638" s="12" t="s">
        <v>3639</v>
      </c>
      <c r="I638" s="41" t="s">
        <v>6959</v>
      </c>
      <c r="M638" s="41" t="e">
        <f>VLOOKUP(I638,错误mRNA总表!D:I,6,FALSE)</f>
        <v>#N/A</v>
      </c>
    </row>
    <row r="639" spans="1:13" x14ac:dyDescent="0.2">
      <c r="A639" s="12" t="s">
        <v>4369</v>
      </c>
      <c r="B639" s="12" t="s">
        <v>4023</v>
      </c>
      <c r="C639" s="12">
        <v>762280</v>
      </c>
      <c r="D639" s="12">
        <v>765228</v>
      </c>
      <c r="E639" s="12" t="s">
        <v>3940</v>
      </c>
      <c r="F639" s="12">
        <v>2</v>
      </c>
      <c r="H639" s="12" t="s">
        <v>3639</v>
      </c>
      <c r="I639" s="41" t="s">
        <v>6959</v>
      </c>
      <c r="M639" s="41" t="e">
        <f>VLOOKUP(I639,错误mRNA总表!D:I,6,FALSE)</f>
        <v>#N/A</v>
      </c>
    </row>
    <row r="640" spans="1:13" x14ac:dyDescent="0.2">
      <c r="A640" s="12" t="s">
        <v>4369</v>
      </c>
      <c r="B640" s="12" t="s">
        <v>4023</v>
      </c>
      <c r="C640" s="12">
        <v>762280</v>
      </c>
      <c r="D640" s="12">
        <v>765290</v>
      </c>
      <c r="E640" s="12" t="s">
        <v>3943</v>
      </c>
      <c r="F640" s="12">
        <v>1</v>
      </c>
      <c r="H640" s="12" t="s">
        <v>3639</v>
      </c>
      <c r="I640" s="41" t="s">
        <v>6959</v>
      </c>
      <c r="M640" s="41" t="e">
        <f>VLOOKUP(I640,错误mRNA总表!D:I,6,FALSE)</f>
        <v>#N/A</v>
      </c>
    </row>
    <row r="641" spans="1:13" x14ac:dyDescent="0.2">
      <c r="A641" s="12" t="s">
        <v>4369</v>
      </c>
      <c r="B641" s="12" t="s">
        <v>4023</v>
      </c>
      <c r="C641" s="12">
        <v>762280</v>
      </c>
      <c r="D641" s="12">
        <v>765526</v>
      </c>
      <c r="E641" s="12" t="s">
        <v>3943</v>
      </c>
      <c r="F641" s="12">
        <v>2</v>
      </c>
      <c r="H641" s="12" t="s">
        <v>3639</v>
      </c>
      <c r="I641" s="41" t="s">
        <v>6959</v>
      </c>
      <c r="M641" s="41" t="e">
        <f>VLOOKUP(I641,错误mRNA总表!D:I,6,FALSE)</f>
        <v>#N/A</v>
      </c>
    </row>
    <row r="642" spans="1:13" x14ac:dyDescent="0.2">
      <c r="A642" s="12" t="s">
        <v>4369</v>
      </c>
      <c r="B642" s="12" t="s">
        <v>4023</v>
      </c>
      <c r="C642" s="12">
        <v>762280</v>
      </c>
      <c r="D642" s="12">
        <v>766121</v>
      </c>
      <c r="E642" s="12" t="s">
        <v>3943</v>
      </c>
      <c r="F642" s="12">
        <v>1</v>
      </c>
      <c r="H642" s="12" t="s">
        <v>3639</v>
      </c>
      <c r="I642" s="41" t="s">
        <v>6959</v>
      </c>
      <c r="M642" s="41" t="e">
        <f>VLOOKUP(I642,错误mRNA总表!D:I,6,FALSE)</f>
        <v>#N/A</v>
      </c>
    </row>
    <row r="643" spans="1:13" x14ac:dyDescent="0.2">
      <c r="A643" s="12" t="s">
        <v>4369</v>
      </c>
      <c r="B643" s="12" t="s">
        <v>4023</v>
      </c>
      <c r="C643" s="12">
        <v>762280</v>
      </c>
      <c r="D643" s="12">
        <v>766198</v>
      </c>
      <c r="E643" s="12" t="s">
        <v>3943</v>
      </c>
      <c r="F643" s="12">
        <v>1</v>
      </c>
      <c r="H643" s="12" t="s">
        <v>3639</v>
      </c>
      <c r="I643" s="41" t="s">
        <v>6959</v>
      </c>
      <c r="M643" s="41" t="e">
        <f>VLOOKUP(I643,错误mRNA总表!D:I,6,FALSE)</f>
        <v>#N/A</v>
      </c>
    </row>
    <row r="644" spans="1:13" x14ac:dyDescent="0.2">
      <c r="A644" s="12" t="s">
        <v>4370</v>
      </c>
      <c r="B644" s="12" t="s">
        <v>3973</v>
      </c>
      <c r="C644" s="12">
        <v>35544964</v>
      </c>
      <c r="D644" s="12">
        <v>35545023</v>
      </c>
      <c r="E644" s="12" t="s">
        <v>3940</v>
      </c>
      <c r="F644" s="12">
        <v>2</v>
      </c>
      <c r="G644" s="41" t="s">
        <v>139</v>
      </c>
      <c r="H644" s="12" t="s">
        <v>5886</v>
      </c>
      <c r="I644" s="41" t="s">
        <v>6960</v>
      </c>
      <c r="M644" s="41" t="e">
        <f>VLOOKUP(I644,错误mRNA总表!D:I,6,FALSE)</f>
        <v>#N/A</v>
      </c>
    </row>
    <row r="645" spans="1:13" x14ac:dyDescent="0.2">
      <c r="A645" s="12" t="s">
        <v>4371</v>
      </c>
      <c r="B645" s="12" t="s">
        <v>4059</v>
      </c>
      <c r="C645" s="12">
        <v>114178514</v>
      </c>
      <c r="D645" s="12">
        <v>114178843</v>
      </c>
      <c r="E645" s="12" t="s">
        <v>3940</v>
      </c>
      <c r="F645" s="12">
        <v>3</v>
      </c>
      <c r="G645" s="41" t="s">
        <v>175</v>
      </c>
      <c r="H645" s="12" t="s">
        <v>6622</v>
      </c>
      <c r="I645" s="41" t="s">
        <v>6961</v>
      </c>
      <c r="M645" s="41" t="e">
        <f>VLOOKUP(I645,错误mRNA总表!D:I,6,FALSE)</f>
        <v>#N/A</v>
      </c>
    </row>
    <row r="646" spans="1:13" x14ac:dyDescent="0.2">
      <c r="A646" s="12" t="s">
        <v>4371</v>
      </c>
      <c r="B646" s="12" t="s">
        <v>4059</v>
      </c>
      <c r="C646" s="12">
        <v>114178514</v>
      </c>
      <c r="D646" s="12">
        <v>114182172</v>
      </c>
      <c r="E646" s="12" t="s">
        <v>3943</v>
      </c>
      <c r="F646" s="12">
        <v>1</v>
      </c>
      <c r="G646" s="41" t="s">
        <v>175</v>
      </c>
      <c r="H646" s="12" t="s">
        <v>6622</v>
      </c>
      <c r="I646" s="41" t="s">
        <v>6961</v>
      </c>
      <c r="M646" s="41" t="e">
        <f>VLOOKUP(I646,错误mRNA总表!D:I,6,FALSE)</f>
        <v>#N/A</v>
      </c>
    </row>
    <row r="647" spans="1:13" x14ac:dyDescent="0.2">
      <c r="A647" s="12" t="s">
        <v>4371</v>
      </c>
      <c r="B647" s="12" t="s">
        <v>4059</v>
      </c>
      <c r="C647" s="12">
        <v>114178514</v>
      </c>
      <c r="D647" s="12">
        <v>114182266</v>
      </c>
      <c r="E647" s="12" t="s">
        <v>3943</v>
      </c>
      <c r="F647" s="12">
        <v>1</v>
      </c>
      <c r="G647" s="41" t="s">
        <v>175</v>
      </c>
      <c r="H647" s="12" t="s">
        <v>6622</v>
      </c>
      <c r="I647" s="41" t="s">
        <v>6961</v>
      </c>
      <c r="M647" s="41" t="e">
        <f>VLOOKUP(I647,错误mRNA总表!D:I,6,FALSE)</f>
        <v>#N/A</v>
      </c>
    </row>
    <row r="648" spans="1:13" x14ac:dyDescent="0.2">
      <c r="A648" s="12" t="s">
        <v>4371</v>
      </c>
      <c r="B648" s="12" t="s">
        <v>4059</v>
      </c>
      <c r="C648" s="12">
        <v>114178514</v>
      </c>
      <c r="D648" s="12">
        <v>114182790</v>
      </c>
      <c r="E648" s="12" t="s">
        <v>3943</v>
      </c>
      <c r="F648" s="12">
        <v>1</v>
      </c>
      <c r="G648" s="41" t="s">
        <v>175</v>
      </c>
      <c r="H648" s="12" t="s">
        <v>6622</v>
      </c>
      <c r="I648" s="41" t="s">
        <v>6961</v>
      </c>
      <c r="M648" s="41" t="e">
        <f>VLOOKUP(I648,错误mRNA总表!D:I,6,FALSE)</f>
        <v>#N/A</v>
      </c>
    </row>
    <row r="649" spans="1:13" x14ac:dyDescent="0.2">
      <c r="A649" s="12" t="s">
        <v>4371</v>
      </c>
      <c r="B649" s="12" t="s">
        <v>4059</v>
      </c>
      <c r="C649" s="12">
        <v>114178514</v>
      </c>
      <c r="D649" s="12">
        <v>114183164</v>
      </c>
      <c r="E649" s="12" t="s">
        <v>3940</v>
      </c>
      <c r="F649" s="12">
        <v>1</v>
      </c>
      <c r="G649" s="41" t="s">
        <v>175</v>
      </c>
      <c r="H649" s="12" t="s">
        <v>6622</v>
      </c>
      <c r="I649" s="41" t="s">
        <v>6961</v>
      </c>
      <c r="M649" s="41" t="e">
        <f>VLOOKUP(I649,错误mRNA总表!D:I,6,FALSE)</f>
        <v>#N/A</v>
      </c>
    </row>
    <row r="650" spans="1:13" x14ac:dyDescent="0.2">
      <c r="A650" s="12" t="s">
        <v>4371</v>
      </c>
      <c r="B650" s="12" t="s">
        <v>4059</v>
      </c>
      <c r="C650" s="12">
        <v>114178514</v>
      </c>
      <c r="D650" s="12">
        <v>114183611</v>
      </c>
      <c r="E650" s="12" t="s">
        <v>3940</v>
      </c>
      <c r="F650" s="12">
        <v>1</v>
      </c>
      <c r="G650" s="41" t="s">
        <v>175</v>
      </c>
      <c r="H650" s="12" t="s">
        <v>6622</v>
      </c>
      <c r="I650" s="41" t="s">
        <v>6961</v>
      </c>
      <c r="M650" s="41" t="e">
        <f>VLOOKUP(I650,错误mRNA总表!D:I,6,FALSE)</f>
        <v>#N/A</v>
      </c>
    </row>
    <row r="651" spans="1:13" x14ac:dyDescent="0.2">
      <c r="A651" s="12" t="s">
        <v>4097</v>
      </c>
      <c r="B651" s="12" t="s">
        <v>3952</v>
      </c>
      <c r="C651" s="12">
        <v>248805</v>
      </c>
      <c r="D651" s="12">
        <v>248840</v>
      </c>
      <c r="E651" s="12" t="s">
        <v>3940</v>
      </c>
      <c r="F651" s="12">
        <v>2</v>
      </c>
      <c r="H651" s="12" t="s">
        <v>3657</v>
      </c>
      <c r="I651" s="41" t="s">
        <v>6962</v>
      </c>
      <c r="M651" s="41" t="e">
        <f>VLOOKUP(I651,错误mRNA总表!D:I,6,FALSE)</f>
        <v>#N/A</v>
      </c>
    </row>
    <row r="652" spans="1:13" x14ac:dyDescent="0.2">
      <c r="A652" s="12" t="s">
        <v>4372</v>
      </c>
      <c r="B652" s="12" t="s">
        <v>3942</v>
      </c>
      <c r="C652" s="12">
        <v>135468536</v>
      </c>
      <c r="D652" s="12">
        <v>135513085</v>
      </c>
      <c r="E652" s="12" t="s">
        <v>3940</v>
      </c>
      <c r="F652" s="12">
        <v>1</v>
      </c>
      <c r="G652" s="41" t="s">
        <v>186</v>
      </c>
      <c r="H652" s="12" t="s">
        <v>187</v>
      </c>
      <c r="I652" s="41" t="s">
        <v>2196</v>
      </c>
      <c r="J652" s="41" t="s">
        <v>2196</v>
      </c>
      <c r="K652" s="41" t="str">
        <f>VLOOKUP(J652,错误mRNA总表!D:J,7,FALSE)</f>
        <v>纠后正确</v>
      </c>
      <c r="L652" s="41" t="s">
        <v>3763</v>
      </c>
      <c r="M652" s="41">
        <f>VLOOKUP(I652,错误mRNA总表!D:I,6,FALSE)</f>
        <v>0</v>
      </c>
    </row>
    <row r="653" spans="1:13" x14ac:dyDescent="0.2">
      <c r="A653" s="12" t="s">
        <v>4373</v>
      </c>
      <c r="B653" s="12" t="s">
        <v>3957</v>
      </c>
      <c r="C653" s="12">
        <v>125439298</v>
      </c>
      <c r="D653" s="12">
        <v>125452303</v>
      </c>
      <c r="E653" s="12" t="s">
        <v>3940</v>
      </c>
      <c r="F653" s="12">
        <v>1</v>
      </c>
      <c r="G653" s="41" t="s">
        <v>36</v>
      </c>
      <c r="H653" s="12" t="s">
        <v>997</v>
      </c>
      <c r="I653" s="41" t="s">
        <v>3366</v>
      </c>
      <c r="J653" s="41" t="s">
        <v>3366</v>
      </c>
      <c r="K653" s="41" t="str">
        <f>VLOOKUP(J653,错误mRNA总表!D:J,7,FALSE)</f>
        <v>纠后正确</v>
      </c>
      <c r="L653" s="41" t="s">
        <v>3763</v>
      </c>
      <c r="M653" s="41">
        <f>VLOOKUP(I653,错误mRNA总表!D:I,6,FALSE)</f>
        <v>0</v>
      </c>
    </row>
    <row r="654" spans="1:13" x14ac:dyDescent="0.2">
      <c r="A654" s="12" t="s">
        <v>4374</v>
      </c>
      <c r="B654" s="12" t="s">
        <v>3957</v>
      </c>
      <c r="C654" s="12">
        <v>119019750</v>
      </c>
      <c r="D654" s="12">
        <v>119031844</v>
      </c>
      <c r="E654" s="12" t="s">
        <v>3940</v>
      </c>
      <c r="F654" s="12">
        <v>1</v>
      </c>
      <c r="G654" s="41" t="s">
        <v>36</v>
      </c>
      <c r="H654" s="12" t="s">
        <v>6571</v>
      </c>
      <c r="I654" s="41" t="s">
        <v>6963</v>
      </c>
      <c r="M654" s="41" t="e">
        <f>VLOOKUP(I654,错误mRNA总表!D:I,6,FALSE)</f>
        <v>#N/A</v>
      </c>
    </row>
    <row r="655" spans="1:13" x14ac:dyDescent="0.2">
      <c r="A655" s="12" t="s">
        <v>4375</v>
      </c>
      <c r="B655" s="12" t="s">
        <v>3989</v>
      </c>
      <c r="C655" s="12">
        <v>4347147</v>
      </c>
      <c r="D655" s="12">
        <v>4347296</v>
      </c>
      <c r="E655" s="12" t="s">
        <v>3943</v>
      </c>
      <c r="F655" s="12">
        <v>3</v>
      </c>
      <c r="H655" s="12" t="s">
        <v>3584</v>
      </c>
      <c r="I655" s="41" t="s">
        <v>6964</v>
      </c>
      <c r="M655" s="41" t="e">
        <f>VLOOKUP(I655,错误mRNA总表!D:I,6,FALSE)</f>
        <v>#N/A</v>
      </c>
    </row>
    <row r="656" spans="1:13" x14ac:dyDescent="0.2">
      <c r="A656" s="12" t="s">
        <v>4376</v>
      </c>
      <c r="B656" s="12" t="s">
        <v>3996</v>
      </c>
      <c r="C656" s="12">
        <v>3217334</v>
      </c>
      <c r="D656" s="12">
        <v>3242133</v>
      </c>
      <c r="E656" s="12" t="s">
        <v>3943</v>
      </c>
      <c r="F656" s="12">
        <v>1</v>
      </c>
      <c r="H656" s="12" t="s">
        <v>5887</v>
      </c>
      <c r="I656" s="41" t="s">
        <v>6965</v>
      </c>
      <c r="M656" s="41" t="e">
        <f>VLOOKUP(I656,错误mRNA总表!D:I,6,FALSE)</f>
        <v>#N/A</v>
      </c>
    </row>
    <row r="657" spans="1:13" x14ac:dyDescent="0.2">
      <c r="A657" s="12" t="s">
        <v>4276</v>
      </c>
      <c r="B657" s="12" t="s">
        <v>4004</v>
      </c>
      <c r="C657" s="12">
        <v>145106167</v>
      </c>
      <c r="D657" s="12">
        <v>145106938</v>
      </c>
      <c r="E657" s="12" t="s">
        <v>3943</v>
      </c>
      <c r="F657" s="12">
        <v>2</v>
      </c>
      <c r="G657" s="41" t="s">
        <v>103</v>
      </c>
      <c r="H657" s="12" t="s">
        <v>110</v>
      </c>
      <c r="I657" s="41" t="s">
        <v>2112</v>
      </c>
      <c r="J657" s="41" t="s">
        <v>2112</v>
      </c>
      <c r="K657" s="41" t="str">
        <f>VLOOKUP(J657,错误mRNA总表!D:J,7,FALSE)</f>
        <v>纠后正确</v>
      </c>
      <c r="L657" s="41" t="s">
        <v>3763</v>
      </c>
      <c r="M657" s="41">
        <f>VLOOKUP(I657,错误mRNA总表!D:I,6,FALSE)</f>
        <v>0</v>
      </c>
    </row>
    <row r="658" spans="1:13" x14ac:dyDescent="0.2">
      <c r="A658" s="12" t="s">
        <v>4377</v>
      </c>
      <c r="B658" s="12" t="s">
        <v>4378</v>
      </c>
      <c r="C658" s="12">
        <v>18853</v>
      </c>
      <c r="D658" s="12">
        <v>21618</v>
      </c>
      <c r="E658" s="12" t="s">
        <v>3943</v>
      </c>
      <c r="F658" s="12">
        <v>2</v>
      </c>
      <c r="H658" s="12" t="s">
        <v>6431</v>
      </c>
      <c r="I658" s="41" t="s">
        <v>6966</v>
      </c>
      <c r="M658" s="41" t="e">
        <f>VLOOKUP(I658,错误mRNA总表!D:I,6,FALSE)</f>
        <v>#N/A</v>
      </c>
    </row>
    <row r="659" spans="1:13" x14ac:dyDescent="0.2">
      <c r="A659" s="12" t="s">
        <v>4379</v>
      </c>
      <c r="B659" s="12" t="s">
        <v>4012</v>
      </c>
      <c r="C659" s="12">
        <v>3589033</v>
      </c>
      <c r="D659" s="12">
        <v>3602227</v>
      </c>
      <c r="E659" s="12" t="s">
        <v>3943</v>
      </c>
      <c r="F659" s="12">
        <v>1</v>
      </c>
      <c r="G659" s="41" t="s">
        <v>121</v>
      </c>
      <c r="H659" s="12" t="s">
        <v>239</v>
      </c>
      <c r="I659" s="41" t="s">
        <v>2178</v>
      </c>
      <c r="J659" s="41" t="s">
        <v>2178</v>
      </c>
      <c r="K659" s="41" t="str">
        <f>VLOOKUP(J659,错误mRNA总表!D:J,7,FALSE)</f>
        <v>纠后正确</v>
      </c>
      <c r="L659" s="41" t="s">
        <v>3763</v>
      </c>
      <c r="M659" s="41">
        <f>VLOOKUP(I659,错误mRNA总表!D:I,6,FALSE)</f>
        <v>0</v>
      </c>
    </row>
    <row r="660" spans="1:13" x14ac:dyDescent="0.2">
      <c r="A660" s="12" t="s">
        <v>4380</v>
      </c>
      <c r="B660" s="12" t="s">
        <v>3948</v>
      </c>
      <c r="C660" s="12">
        <v>149412102</v>
      </c>
      <c r="D660" s="12">
        <v>149426307</v>
      </c>
      <c r="E660" s="12" t="s">
        <v>3940</v>
      </c>
      <c r="F660" s="12">
        <v>1</v>
      </c>
      <c r="G660" s="41" t="s">
        <v>40</v>
      </c>
      <c r="H660" s="12" t="s">
        <v>231</v>
      </c>
      <c r="I660" s="41" t="s">
        <v>6967</v>
      </c>
      <c r="J660" s="41" t="s">
        <v>2171</v>
      </c>
      <c r="K660" s="41" t="str">
        <f>VLOOKUP(J660,错误mRNA总表!D:J,7,FALSE)</f>
        <v>纠后正确</v>
      </c>
      <c r="M660" s="41" t="e">
        <f>VLOOKUP(I660,错误mRNA总表!D:I,6,FALSE)</f>
        <v>#N/A</v>
      </c>
    </row>
    <row r="661" spans="1:13" x14ac:dyDescent="0.2">
      <c r="A661" s="12" t="s">
        <v>4202</v>
      </c>
      <c r="B661" s="12" t="s">
        <v>4098</v>
      </c>
      <c r="C661" s="12">
        <v>165232</v>
      </c>
      <c r="D661" s="12">
        <v>169309</v>
      </c>
      <c r="E661" s="12" t="s">
        <v>3943</v>
      </c>
      <c r="F661" s="12">
        <v>3</v>
      </c>
      <c r="H661" s="12" t="s">
        <v>5827</v>
      </c>
      <c r="I661" s="41" t="s">
        <v>6807</v>
      </c>
      <c r="M661" s="41" t="e">
        <f>VLOOKUP(I661,错误mRNA总表!D:I,6,FALSE)</f>
        <v>#N/A</v>
      </c>
    </row>
    <row r="662" spans="1:13" x14ac:dyDescent="0.2">
      <c r="A662" s="12" t="s">
        <v>4381</v>
      </c>
      <c r="B662" s="12" t="s">
        <v>4382</v>
      </c>
      <c r="C662" s="12">
        <v>89382</v>
      </c>
      <c r="D662" s="12">
        <v>90830</v>
      </c>
      <c r="E662" s="12" t="s">
        <v>3940</v>
      </c>
      <c r="F662" s="12">
        <v>1</v>
      </c>
      <c r="H662" s="12" t="s">
        <v>226</v>
      </c>
      <c r="I662" s="41" t="s">
        <v>6968</v>
      </c>
      <c r="J662" s="41" t="s">
        <v>2205</v>
      </c>
      <c r="K662" s="41" t="str">
        <f>VLOOKUP(J662,错误mRNA总表!D:J,7,FALSE)</f>
        <v>纠后正确</v>
      </c>
      <c r="M662" s="41" t="e">
        <f>VLOOKUP(I662,错误mRNA总表!D:I,6,FALSE)</f>
        <v>#N/A</v>
      </c>
    </row>
    <row r="663" spans="1:13" x14ac:dyDescent="0.2">
      <c r="A663" s="12" t="s">
        <v>4383</v>
      </c>
      <c r="B663" s="12" t="s">
        <v>3957</v>
      </c>
      <c r="C663" s="12">
        <v>27676440</v>
      </c>
      <c r="D663" s="12">
        <v>27676545</v>
      </c>
      <c r="E663" s="12" t="s">
        <v>3943</v>
      </c>
      <c r="F663" s="12">
        <v>1</v>
      </c>
      <c r="G663" s="41" t="s">
        <v>36</v>
      </c>
      <c r="H663" s="12" t="s">
        <v>6508</v>
      </c>
      <c r="I663" s="41" t="s">
        <v>6969</v>
      </c>
      <c r="M663" s="41" t="e">
        <f>VLOOKUP(I663,错误mRNA总表!D:I,6,FALSE)</f>
        <v>#N/A</v>
      </c>
    </row>
    <row r="664" spans="1:13" x14ac:dyDescent="0.2">
      <c r="A664" s="12" t="s">
        <v>4383</v>
      </c>
      <c r="B664" s="12" t="s">
        <v>3957</v>
      </c>
      <c r="C664" s="12">
        <v>27676440</v>
      </c>
      <c r="D664" s="12">
        <v>27679010</v>
      </c>
      <c r="E664" s="12" t="s">
        <v>3943</v>
      </c>
      <c r="F664" s="12">
        <v>1</v>
      </c>
      <c r="G664" s="41" t="s">
        <v>36</v>
      </c>
      <c r="H664" s="12" t="s">
        <v>6508</v>
      </c>
      <c r="I664" s="41" t="s">
        <v>6969</v>
      </c>
      <c r="M664" s="41" t="e">
        <f>VLOOKUP(I664,错误mRNA总表!D:I,6,FALSE)</f>
        <v>#N/A</v>
      </c>
    </row>
    <row r="665" spans="1:13" x14ac:dyDescent="0.2">
      <c r="A665" s="12" t="s">
        <v>4062</v>
      </c>
      <c r="B665" s="12" t="s">
        <v>3964</v>
      </c>
      <c r="C665" s="12">
        <v>2845617</v>
      </c>
      <c r="D665" s="12">
        <v>2857527</v>
      </c>
      <c r="E665" s="12" t="s">
        <v>3940</v>
      </c>
      <c r="F665" s="12">
        <v>2</v>
      </c>
      <c r="H665" s="12" t="s">
        <v>3426</v>
      </c>
      <c r="I665" s="41" t="s">
        <v>6970</v>
      </c>
      <c r="M665" s="41" t="e">
        <f>VLOOKUP(I665,错误mRNA总表!D:I,6,FALSE)</f>
        <v>#N/A</v>
      </c>
    </row>
    <row r="666" spans="1:13" x14ac:dyDescent="0.2">
      <c r="A666" s="12" t="s">
        <v>4384</v>
      </c>
      <c r="B666" s="12" t="s">
        <v>3973</v>
      </c>
      <c r="C666" s="12">
        <v>27730730</v>
      </c>
      <c r="D666" s="12">
        <v>27732103</v>
      </c>
      <c r="E666" s="12" t="s">
        <v>3940</v>
      </c>
      <c r="F666" s="12">
        <v>10</v>
      </c>
      <c r="G666" s="41" t="s">
        <v>139</v>
      </c>
      <c r="H666" s="12" t="s">
        <v>6572</v>
      </c>
      <c r="I666" s="41" t="s">
        <v>6971</v>
      </c>
      <c r="M666" s="41" t="e">
        <f>VLOOKUP(I666,错误mRNA总表!D:I,6,FALSE)</f>
        <v>#N/A</v>
      </c>
    </row>
    <row r="667" spans="1:13" x14ac:dyDescent="0.2">
      <c r="A667" s="12" t="s">
        <v>4385</v>
      </c>
      <c r="B667" s="12" t="s">
        <v>4061</v>
      </c>
      <c r="C667" s="12">
        <v>190645</v>
      </c>
      <c r="D667" s="12">
        <v>254880</v>
      </c>
      <c r="E667" s="12" t="s">
        <v>3940</v>
      </c>
      <c r="F667" s="12">
        <v>3</v>
      </c>
      <c r="H667" s="12" t="s">
        <v>3652</v>
      </c>
      <c r="I667" s="41" t="s">
        <v>6972</v>
      </c>
      <c r="M667" s="41" t="e">
        <f>VLOOKUP(I667,错误mRNA总表!D:I,6,FALSE)</f>
        <v>#N/A</v>
      </c>
    </row>
    <row r="668" spans="1:13" x14ac:dyDescent="0.2">
      <c r="A668" s="12" t="s">
        <v>4386</v>
      </c>
      <c r="B668" s="12" t="s">
        <v>3942</v>
      </c>
      <c r="C668" s="12">
        <v>140566893</v>
      </c>
      <c r="D668" s="12">
        <v>140568035</v>
      </c>
      <c r="E668" s="12" t="s">
        <v>3940</v>
      </c>
      <c r="F668" s="12">
        <v>1</v>
      </c>
      <c r="G668" s="41" t="s">
        <v>186</v>
      </c>
      <c r="H668" s="12" t="s">
        <v>225</v>
      </c>
      <c r="I668" s="41" t="s">
        <v>2187</v>
      </c>
      <c r="J668" s="41" t="s">
        <v>2187</v>
      </c>
      <c r="K668" s="41" t="str">
        <f>VLOOKUP(J668,错误mRNA总表!D:J,7,FALSE)</f>
        <v>Browser与原结果匹配，纠后与rs匹配（rs782094811）chr5：140568037-140569285</v>
      </c>
      <c r="L668" s="41" t="s">
        <v>8339</v>
      </c>
      <c r="M668" s="41">
        <f>VLOOKUP(I668,错误mRNA总表!D:I,6,FALSE)</f>
        <v>0</v>
      </c>
    </row>
    <row r="669" spans="1:13" x14ac:dyDescent="0.2">
      <c r="A669" s="12" t="s">
        <v>4387</v>
      </c>
      <c r="B669" s="12" t="s">
        <v>3946</v>
      </c>
      <c r="C669" s="12">
        <v>7835442</v>
      </c>
      <c r="D669" s="12">
        <v>7835855</v>
      </c>
      <c r="E669" s="12" t="s">
        <v>3943</v>
      </c>
      <c r="F669" s="12">
        <v>6</v>
      </c>
      <c r="G669" s="41" t="s">
        <v>47</v>
      </c>
      <c r="H669" s="12" t="s">
        <v>6604</v>
      </c>
      <c r="I669" s="41" t="s">
        <v>6973</v>
      </c>
      <c r="M669" s="41" t="e">
        <f>VLOOKUP(I669,错误mRNA总表!D:I,6,FALSE)</f>
        <v>#N/A</v>
      </c>
    </row>
    <row r="670" spans="1:13" x14ac:dyDescent="0.2">
      <c r="A670" s="12" t="s">
        <v>3951</v>
      </c>
      <c r="B670" s="12" t="s">
        <v>3960</v>
      </c>
      <c r="C670" s="12">
        <v>134946</v>
      </c>
      <c r="D670" s="12">
        <v>135009</v>
      </c>
      <c r="E670" s="12" t="s">
        <v>3940</v>
      </c>
      <c r="F670" s="12">
        <v>1</v>
      </c>
      <c r="H670" s="12" t="s">
        <v>3649</v>
      </c>
      <c r="I670" s="41" t="s">
        <v>6633</v>
      </c>
      <c r="M670" s="41" t="e">
        <f>VLOOKUP(I670,错误mRNA总表!D:I,6,FALSE)</f>
        <v>#N/A</v>
      </c>
    </row>
    <row r="671" spans="1:13" x14ac:dyDescent="0.2">
      <c r="A671" s="12" t="s">
        <v>4388</v>
      </c>
      <c r="B671" s="12" t="s">
        <v>3964</v>
      </c>
      <c r="C671" s="12">
        <v>4760078</v>
      </c>
      <c r="D671" s="12">
        <v>4760131</v>
      </c>
      <c r="E671" s="12" t="s">
        <v>3940</v>
      </c>
      <c r="F671" s="12">
        <v>1</v>
      </c>
      <c r="H671" s="12" t="s">
        <v>3592</v>
      </c>
      <c r="I671" s="41" t="s">
        <v>6974</v>
      </c>
      <c r="M671" s="41" t="e">
        <f>VLOOKUP(I671,错误mRNA总表!D:I,6,FALSE)</f>
        <v>#N/A</v>
      </c>
    </row>
    <row r="672" spans="1:13" x14ac:dyDescent="0.2">
      <c r="A672" s="12" t="s">
        <v>4389</v>
      </c>
      <c r="B672" s="12" t="s">
        <v>4390</v>
      </c>
      <c r="C672" s="12">
        <v>3012</v>
      </c>
      <c r="D672" s="12">
        <v>3013</v>
      </c>
      <c r="E672" s="12" t="s">
        <v>3943</v>
      </c>
      <c r="F672" s="12">
        <v>2</v>
      </c>
      <c r="H672" s="12" t="s">
        <v>5888</v>
      </c>
      <c r="I672" s="41" t="s">
        <v>6975</v>
      </c>
      <c r="M672" s="41" t="e">
        <f>VLOOKUP(I672,错误mRNA总表!D:I,6,FALSE)</f>
        <v>#N/A</v>
      </c>
    </row>
    <row r="673" spans="1:13" x14ac:dyDescent="0.2">
      <c r="A673" s="12" t="s">
        <v>4391</v>
      </c>
      <c r="B673" s="12" t="s">
        <v>3984</v>
      </c>
      <c r="C673" s="12">
        <v>1331022</v>
      </c>
      <c r="D673" s="12">
        <v>1331221</v>
      </c>
      <c r="E673" s="12" t="s">
        <v>3940</v>
      </c>
      <c r="F673" s="12">
        <v>4</v>
      </c>
      <c r="H673" s="12" t="s">
        <v>3537</v>
      </c>
      <c r="I673" s="41" t="s">
        <v>6976</v>
      </c>
      <c r="M673" s="41" t="e">
        <f>VLOOKUP(I673,错误mRNA总表!D:I,6,FALSE)</f>
        <v>#N/A</v>
      </c>
    </row>
    <row r="674" spans="1:13" x14ac:dyDescent="0.2">
      <c r="A674" s="12" t="s">
        <v>4391</v>
      </c>
      <c r="B674" s="12" t="s">
        <v>3984</v>
      </c>
      <c r="C674" s="12">
        <v>1331022</v>
      </c>
      <c r="D674" s="12">
        <v>1331341</v>
      </c>
      <c r="E674" s="12" t="s">
        <v>3940</v>
      </c>
      <c r="F674" s="12">
        <v>1</v>
      </c>
      <c r="H674" s="12" t="s">
        <v>3537</v>
      </c>
      <c r="I674" s="41" t="s">
        <v>6976</v>
      </c>
      <c r="M674" s="41" t="e">
        <f>VLOOKUP(I674,错误mRNA总表!D:I,6,FALSE)</f>
        <v>#N/A</v>
      </c>
    </row>
    <row r="675" spans="1:13" x14ac:dyDescent="0.2">
      <c r="A675" s="12" t="s">
        <v>4392</v>
      </c>
      <c r="B675" s="12" t="s">
        <v>4001</v>
      </c>
      <c r="C675" s="12">
        <v>2165044</v>
      </c>
      <c r="D675" s="12">
        <v>2168855</v>
      </c>
      <c r="E675" s="12" t="s">
        <v>3940</v>
      </c>
      <c r="F675" s="12">
        <v>1</v>
      </c>
      <c r="H675" s="12" t="s">
        <v>3421</v>
      </c>
      <c r="I675" s="41" t="s">
        <v>6977</v>
      </c>
      <c r="M675" s="41" t="e">
        <f>VLOOKUP(I675,错误mRNA总表!D:I,6,FALSE)</f>
        <v>#N/A</v>
      </c>
    </row>
    <row r="676" spans="1:13" x14ac:dyDescent="0.2">
      <c r="A676" s="12" t="s">
        <v>4392</v>
      </c>
      <c r="B676" s="12" t="s">
        <v>4001</v>
      </c>
      <c r="C676" s="12">
        <v>2165044</v>
      </c>
      <c r="D676" s="12">
        <v>2168864</v>
      </c>
      <c r="E676" s="12" t="s">
        <v>3943</v>
      </c>
      <c r="F676" s="12">
        <v>2</v>
      </c>
      <c r="H676" s="12" t="s">
        <v>3421</v>
      </c>
      <c r="I676" s="41" t="s">
        <v>6977</v>
      </c>
      <c r="M676" s="41" t="e">
        <f>VLOOKUP(I676,错误mRNA总表!D:I,6,FALSE)</f>
        <v>#N/A</v>
      </c>
    </row>
    <row r="677" spans="1:13" x14ac:dyDescent="0.2">
      <c r="A677" s="12" t="s">
        <v>4393</v>
      </c>
      <c r="B677" s="12" t="s">
        <v>3986</v>
      </c>
      <c r="C677" s="12">
        <v>54663833</v>
      </c>
      <c r="D677" s="12">
        <v>54676814</v>
      </c>
      <c r="E677" s="12" t="s">
        <v>3940</v>
      </c>
      <c r="F677" s="12">
        <v>1</v>
      </c>
      <c r="G677" s="41" t="s">
        <v>50</v>
      </c>
      <c r="H677" s="12" t="s">
        <v>3648</v>
      </c>
      <c r="I677" s="41" t="s">
        <v>6978</v>
      </c>
      <c r="M677" s="41" t="e">
        <f>VLOOKUP(I677,错误mRNA总表!D:I,6,FALSE)</f>
        <v>#N/A</v>
      </c>
    </row>
    <row r="678" spans="1:13" x14ac:dyDescent="0.2">
      <c r="A678" s="12" t="s">
        <v>4393</v>
      </c>
      <c r="B678" s="12" t="s">
        <v>3986</v>
      </c>
      <c r="C678" s="12">
        <v>54663833</v>
      </c>
      <c r="D678" s="12">
        <v>54663896</v>
      </c>
      <c r="E678" s="12" t="s">
        <v>3940</v>
      </c>
      <c r="F678" s="12">
        <v>1</v>
      </c>
      <c r="G678" s="41" t="s">
        <v>50</v>
      </c>
      <c r="H678" s="12" t="s">
        <v>3648</v>
      </c>
      <c r="I678" s="41" t="s">
        <v>6978</v>
      </c>
      <c r="M678" s="41" t="e">
        <f>VLOOKUP(I678,错误mRNA总表!D:I,6,FALSE)</f>
        <v>#N/A</v>
      </c>
    </row>
    <row r="679" spans="1:13" x14ac:dyDescent="0.2">
      <c r="A679" s="12" t="s">
        <v>4294</v>
      </c>
      <c r="B679" s="12" t="s">
        <v>3964</v>
      </c>
      <c r="C679" s="12">
        <v>927947</v>
      </c>
      <c r="D679" s="12">
        <v>943295</v>
      </c>
      <c r="E679" s="12" t="s">
        <v>3940</v>
      </c>
      <c r="F679" s="12">
        <v>4</v>
      </c>
      <c r="H679" s="12" t="s">
        <v>3525</v>
      </c>
      <c r="I679" s="41" t="s">
        <v>6979</v>
      </c>
      <c r="M679" s="41" t="e">
        <f>VLOOKUP(I679,错误mRNA总表!D:I,6,FALSE)</f>
        <v>#N/A</v>
      </c>
    </row>
    <row r="680" spans="1:13" x14ac:dyDescent="0.2">
      <c r="A680" s="12" t="s">
        <v>4394</v>
      </c>
      <c r="B680" s="12" t="s">
        <v>3957</v>
      </c>
      <c r="C680" s="12">
        <v>27676440</v>
      </c>
      <c r="D680" s="12">
        <v>27676545</v>
      </c>
      <c r="E680" s="12" t="s">
        <v>3943</v>
      </c>
      <c r="F680" s="12">
        <v>1</v>
      </c>
      <c r="G680" s="41" t="s">
        <v>36</v>
      </c>
      <c r="H680" s="12" t="s">
        <v>5889</v>
      </c>
      <c r="I680" s="41" t="s">
        <v>6980</v>
      </c>
      <c r="M680" s="41" t="e">
        <f>VLOOKUP(I680,错误mRNA总表!D:I,6,FALSE)</f>
        <v>#N/A</v>
      </c>
    </row>
    <row r="681" spans="1:13" x14ac:dyDescent="0.2">
      <c r="A681" s="12" t="s">
        <v>4394</v>
      </c>
      <c r="B681" s="12" t="s">
        <v>3957</v>
      </c>
      <c r="C681" s="12">
        <v>27676440</v>
      </c>
      <c r="D681" s="12">
        <v>27679010</v>
      </c>
      <c r="E681" s="12" t="s">
        <v>3943</v>
      </c>
      <c r="F681" s="12">
        <v>1</v>
      </c>
      <c r="G681" s="41" t="s">
        <v>36</v>
      </c>
      <c r="H681" s="12" t="s">
        <v>5889</v>
      </c>
      <c r="I681" s="41" t="s">
        <v>6980</v>
      </c>
      <c r="M681" s="41" t="e">
        <f>VLOOKUP(I681,错误mRNA总表!D:I,6,FALSE)</f>
        <v>#N/A</v>
      </c>
    </row>
    <row r="682" spans="1:13" x14ac:dyDescent="0.2">
      <c r="A682" s="12" t="s">
        <v>4395</v>
      </c>
      <c r="B682" s="12" t="s">
        <v>3948</v>
      </c>
      <c r="C682" s="12">
        <v>101006101</v>
      </c>
      <c r="D682" s="12">
        <v>101200671</v>
      </c>
      <c r="E682" s="12" t="s">
        <v>3940</v>
      </c>
      <c r="F682" s="12">
        <v>1</v>
      </c>
      <c r="G682" s="41" t="s">
        <v>40</v>
      </c>
      <c r="H682" s="12" t="s">
        <v>3439</v>
      </c>
      <c r="I682" s="41" t="s">
        <v>6981</v>
      </c>
      <c r="M682" s="41" t="e">
        <f>VLOOKUP(I682,错误mRNA总表!D:I,6,FALSE)</f>
        <v>#N/A</v>
      </c>
    </row>
    <row r="683" spans="1:13" x14ac:dyDescent="0.2">
      <c r="A683" s="12" t="s">
        <v>4396</v>
      </c>
      <c r="B683" s="12" t="s">
        <v>3957</v>
      </c>
      <c r="C683" s="12">
        <v>118895061</v>
      </c>
      <c r="D683" s="12">
        <v>118898435</v>
      </c>
      <c r="E683" s="12" t="s">
        <v>3943</v>
      </c>
      <c r="F683" s="12">
        <v>1</v>
      </c>
      <c r="G683" s="41" t="s">
        <v>36</v>
      </c>
      <c r="H683" s="12" t="s">
        <v>151</v>
      </c>
      <c r="I683" s="41" t="s">
        <v>2137</v>
      </c>
      <c r="J683" s="41" t="s">
        <v>2137</v>
      </c>
      <c r="K683" s="41" t="str">
        <f>VLOOKUP(J683,错误mRNA总表!D:J,7,FALSE)</f>
        <v>纠后正确</v>
      </c>
      <c r="L683" s="41" t="s">
        <v>3763</v>
      </c>
      <c r="M683" s="41">
        <f>VLOOKUP(I683,错误mRNA总表!D:I,6,FALSE)</f>
        <v>0</v>
      </c>
    </row>
    <row r="684" spans="1:13" x14ac:dyDescent="0.2">
      <c r="A684" s="12" t="s">
        <v>4397</v>
      </c>
      <c r="B684" s="12" t="s">
        <v>3948</v>
      </c>
      <c r="C684" s="12">
        <v>50344378</v>
      </c>
      <c r="D684" s="12">
        <v>50344382</v>
      </c>
      <c r="E684" s="12" t="s">
        <v>3940</v>
      </c>
      <c r="F684" s="12">
        <v>1</v>
      </c>
      <c r="G684" s="41" t="s">
        <v>40</v>
      </c>
      <c r="H684" s="12" t="s">
        <v>254</v>
      </c>
      <c r="I684" s="41" t="s">
        <v>6982</v>
      </c>
      <c r="J684" s="41" t="s">
        <v>3336</v>
      </c>
      <c r="K684" s="41" t="str">
        <f>VLOOKUP(J684,错误mRNA总表!D:J,7,FALSE)</f>
        <v>错误</v>
      </c>
      <c r="M684" s="41" t="e">
        <f>VLOOKUP(I684,错误mRNA总表!D:I,6,FALSE)</f>
        <v>#N/A</v>
      </c>
    </row>
    <row r="685" spans="1:13" x14ac:dyDescent="0.2">
      <c r="A685" s="12" t="s">
        <v>4397</v>
      </c>
      <c r="B685" s="12" t="s">
        <v>3948</v>
      </c>
      <c r="C685" s="12">
        <v>50344378</v>
      </c>
      <c r="D685" s="12">
        <v>50367354</v>
      </c>
      <c r="E685" s="12" t="s">
        <v>3943</v>
      </c>
      <c r="F685" s="12">
        <v>2</v>
      </c>
      <c r="G685" s="41" t="s">
        <v>40</v>
      </c>
      <c r="H685" s="12" t="s">
        <v>254</v>
      </c>
      <c r="I685" s="41" t="s">
        <v>6982</v>
      </c>
      <c r="J685" s="41" t="s">
        <v>3336</v>
      </c>
      <c r="K685" s="41" t="str">
        <f>VLOOKUP(J685,错误mRNA总表!D:J,7,FALSE)</f>
        <v>错误</v>
      </c>
      <c r="M685" s="41" t="e">
        <f>VLOOKUP(I685,错误mRNA总表!D:I,6,FALSE)</f>
        <v>#N/A</v>
      </c>
    </row>
    <row r="686" spans="1:13" x14ac:dyDescent="0.2">
      <c r="A686" s="12" t="s">
        <v>4398</v>
      </c>
      <c r="B686" s="12" t="s">
        <v>4399</v>
      </c>
      <c r="C686" s="12">
        <v>1855</v>
      </c>
      <c r="D686" s="12">
        <v>1865</v>
      </c>
      <c r="E686" s="12" t="s">
        <v>3940</v>
      </c>
      <c r="F686" s="12">
        <v>4</v>
      </c>
      <c r="H686" s="12" t="s">
        <v>3608</v>
      </c>
      <c r="I686" s="41" t="s">
        <v>6983</v>
      </c>
      <c r="M686" s="41" t="e">
        <f>VLOOKUP(I686,错误mRNA总表!D:I,6,FALSE)</f>
        <v>#N/A</v>
      </c>
    </row>
    <row r="687" spans="1:13" x14ac:dyDescent="0.2">
      <c r="A687" s="12" t="s">
        <v>4400</v>
      </c>
      <c r="B687" s="12" t="s">
        <v>3946</v>
      </c>
      <c r="C687" s="12">
        <v>40086876</v>
      </c>
      <c r="D687" s="12">
        <v>40101479</v>
      </c>
      <c r="E687" s="12" t="s">
        <v>3940</v>
      </c>
      <c r="F687" s="12">
        <v>194</v>
      </c>
      <c r="G687" s="41" t="s">
        <v>47</v>
      </c>
      <c r="H687" s="12" t="s">
        <v>1177</v>
      </c>
      <c r="I687" s="41" t="s">
        <v>6984</v>
      </c>
      <c r="J687" s="41" t="s">
        <v>2278</v>
      </c>
      <c r="K687" s="41" t="str">
        <f>VLOOKUP(J687,错误mRNA总表!D:J,7,FALSE)</f>
        <v>纠后正确,区间略有变化，加66个氨基酸chr17:40107237-40117669</v>
      </c>
      <c r="M687" s="41" t="e">
        <f>VLOOKUP(I687,错误mRNA总表!D:I,6,FALSE)</f>
        <v>#N/A</v>
      </c>
    </row>
    <row r="688" spans="1:13" x14ac:dyDescent="0.2">
      <c r="A688" s="12" t="s">
        <v>4401</v>
      </c>
      <c r="B688" s="12" t="s">
        <v>3946</v>
      </c>
      <c r="C688" s="12">
        <v>61627796</v>
      </c>
      <c r="D688" s="12">
        <v>61660894</v>
      </c>
      <c r="E688" s="12" t="s">
        <v>3943</v>
      </c>
      <c r="F688" s="12">
        <v>1</v>
      </c>
      <c r="G688" s="41" t="s">
        <v>47</v>
      </c>
      <c r="H688" s="12" t="s">
        <v>208</v>
      </c>
      <c r="I688" s="41" t="s">
        <v>6985</v>
      </c>
      <c r="J688" s="41" t="s">
        <v>2162</v>
      </c>
      <c r="K688" s="41" t="str">
        <f>VLOOKUP(J688,错误mRNA总表!D:J,7,FALSE)</f>
        <v>纠后正确，utr略有变化，版本不一致</v>
      </c>
      <c r="M688" s="41" t="e">
        <f>VLOOKUP(I688,错误mRNA总表!D:I,6,FALSE)</f>
        <v>#N/A</v>
      </c>
    </row>
    <row r="689" spans="1:13" x14ac:dyDescent="0.2">
      <c r="A689" s="12" t="s">
        <v>4402</v>
      </c>
      <c r="B689" s="12" t="s">
        <v>4182</v>
      </c>
      <c r="C689" s="12">
        <v>15815</v>
      </c>
      <c r="D689" s="12">
        <v>15843</v>
      </c>
      <c r="E689" s="12" t="s">
        <v>3940</v>
      </c>
      <c r="F689" s="12">
        <v>172</v>
      </c>
      <c r="H689" s="12" t="s">
        <v>3459</v>
      </c>
      <c r="I689" s="41" t="s">
        <v>6986</v>
      </c>
      <c r="M689" s="41" t="e">
        <f>VLOOKUP(I689,错误mRNA总表!D:I,6,FALSE)</f>
        <v>#N/A</v>
      </c>
    </row>
    <row r="690" spans="1:13" x14ac:dyDescent="0.2">
      <c r="A690" s="12" t="s">
        <v>4402</v>
      </c>
      <c r="B690" s="12" t="s">
        <v>4182</v>
      </c>
      <c r="C690" s="12">
        <v>15815</v>
      </c>
      <c r="D690" s="12">
        <v>15821</v>
      </c>
      <c r="E690" s="12" t="s">
        <v>3940</v>
      </c>
      <c r="F690" s="12">
        <v>3</v>
      </c>
      <c r="H690" s="12" t="s">
        <v>3459</v>
      </c>
      <c r="I690" s="41" t="s">
        <v>6986</v>
      </c>
      <c r="M690" s="41" t="e">
        <f>VLOOKUP(I690,错误mRNA总表!D:I,6,FALSE)</f>
        <v>#N/A</v>
      </c>
    </row>
    <row r="691" spans="1:13" x14ac:dyDescent="0.2">
      <c r="A691" s="12" t="s">
        <v>4403</v>
      </c>
      <c r="B691" s="12" t="s">
        <v>3964</v>
      </c>
      <c r="C691" s="12">
        <v>2234714</v>
      </c>
      <c r="D691" s="12">
        <v>2252155</v>
      </c>
      <c r="E691" s="12" t="s">
        <v>3943</v>
      </c>
      <c r="F691" s="12">
        <v>1</v>
      </c>
      <c r="H691" s="12" t="s">
        <v>3419</v>
      </c>
      <c r="I691" s="41" t="s">
        <v>6987</v>
      </c>
      <c r="M691" s="41" t="e">
        <f>VLOOKUP(I691,错误mRNA总表!D:I,6,FALSE)</f>
        <v>#N/A</v>
      </c>
    </row>
    <row r="692" spans="1:13" x14ac:dyDescent="0.2">
      <c r="A692" s="12" t="s">
        <v>4403</v>
      </c>
      <c r="B692" s="12" t="s">
        <v>3964</v>
      </c>
      <c r="C692" s="12">
        <v>2234714</v>
      </c>
      <c r="D692" s="12">
        <v>2252167</v>
      </c>
      <c r="E692" s="12" t="s">
        <v>3940</v>
      </c>
      <c r="F692" s="12">
        <v>1</v>
      </c>
      <c r="H692" s="12" t="s">
        <v>3419</v>
      </c>
      <c r="I692" s="41" t="s">
        <v>6987</v>
      </c>
      <c r="M692" s="41" t="e">
        <f>VLOOKUP(I692,错误mRNA总表!D:I,6,FALSE)</f>
        <v>#N/A</v>
      </c>
    </row>
    <row r="693" spans="1:13" x14ac:dyDescent="0.2">
      <c r="A693" s="12" t="s">
        <v>4403</v>
      </c>
      <c r="B693" s="12" t="s">
        <v>3964</v>
      </c>
      <c r="C693" s="12">
        <v>2234714</v>
      </c>
      <c r="D693" s="12">
        <v>2252171</v>
      </c>
      <c r="E693" s="12" t="s">
        <v>3943</v>
      </c>
      <c r="F693" s="12">
        <v>1</v>
      </c>
      <c r="H693" s="12" t="s">
        <v>3419</v>
      </c>
      <c r="I693" s="41" t="s">
        <v>6987</v>
      </c>
      <c r="M693" s="41" t="e">
        <f>VLOOKUP(I693,错误mRNA总表!D:I,6,FALSE)</f>
        <v>#N/A</v>
      </c>
    </row>
    <row r="694" spans="1:13" x14ac:dyDescent="0.2">
      <c r="A694" s="12" t="s">
        <v>4403</v>
      </c>
      <c r="B694" s="12" t="s">
        <v>3964</v>
      </c>
      <c r="C694" s="12">
        <v>2234714</v>
      </c>
      <c r="D694" s="12">
        <v>2254632</v>
      </c>
      <c r="E694" s="12" t="s">
        <v>3943</v>
      </c>
      <c r="F694" s="12">
        <v>1</v>
      </c>
      <c r="H694" s="12" t="s">
        <v>3419</v>
      </c>
      <c r="I694" s="41" t="s">
        <v>6987</v>
      </c>
      <c r="M694" s="41" t="e">
        <f>VLOOKUP(I694,错误mRNA总表!D:I,6,FALSE)</f>
        <v>#N/A</v>
      </c>
    </row>
    <row r="695" spans="1:13" x14ac:dyDescent="0.2">
      <c r="A695" s="12" t="s">
        <v>4403</v>
      </c>
      <c r="B695" s="12" t="s">
        <v>3964</v>
      </c>
      <c r="C695" s="12">
        <v>2234714</v>
      </c>
      <c r="D695" s="12">
        <v>2254639</v>
      </c>
      <c r="E695" s="12" t="s">
        <v>3943</v>
      </c>
      <c r="F695" s="12">
        <v>1</v>
      </c>
      <c r="H695" s="12" t="s">
        <v>3419</v>
      </c>
      <c r="I695" s="41" t="s">
        <v>6987</v>
      </c>
      <c r="M695" s="41" t="e">
        <f>VLOOKUP(I695,错误mRNA总表!D:I,6,FALSE)</f>
        <v>#N/A</v>
      </c>
    </row>
    <row r="696" spans="1:13" x14ac:dyDescent="0.2">
      <c r="A696" s="12" t="s">
        <v>4403</v>
      </c>
      <c r="B696" s="12" t="s">
        <v>3964</v>
      </c>
      <c r="C696" s="12">
        <v>2234714</v>
      </c>
      <c r="D696" s="12">
        <v>2254645</v>
      </c>
      <c r="E696" s="12" t="s">
        <v>3943</v>
      </c>
      <c r="F696" s="12">
        <v>1</v>
      </c>
      <c r="H696" s="12" t="s">
        <v>3419</v>
      </c>
      <c r="I696" s="41" t="s">
        <v>6987</v>
      </c>
      <c r="M696" s="41" t="e">
        <f>VLOOKUP(I696,错误mRNA总表!D:I,6,FALSE)</f>
        <v>#N/A</v>
      </c>
    </row>
    <row r="697" spans="1:13" x14ac:dyDescent="0.2">
      <c r="A697" s="12" t="s">
        <v>4404</v>
      </c>
      <c r="B697" s="12" t="s">
        <v>3978</v>
      </c>
      <c r="C697" s="12">
        <v>57327727</v>
      </c>
      <c r="D697" s="12">
        <v>57388743</v>
      </c>
      <c r="E697" s="12" t="s">
        <v>3940</v>
      </c>
      <c r="F697" s="12">
        <v>292</v>
      </c>
      <c r="G697" s="41" t="s">
        <v>86</v>
      </c>
      <c r="H697" s="12" t="s">
        <v>5890</v>
      </c>
      <c r="I697" s="41" t="s">
        <v>6988</v>
      </c>
      <c r="M697" s="41" t="e">
        <f>VLOOKUP(I697,错误mRNA总表!D:I,6,FALSE)</f>
        <v>#N/A</v>
      </c>
    </row>
    <row r="698" spans="1:13" x14ac:dyDescent="0.2">
      <c r="A698" s="12" t="s">
        <v>4404</v>
      </c>
      <c r="B698" s="12" t="s">
        <v>3978</v>
      </c>
      <c r="C698" s="12">
        <v>57327727</v>
      </c>
      <c r="D698" s="12">
        <v>57386255</v>
      </c>
      <c r="E698" s="12" t="s">
        <v>3940</v>
      </c>
      <c r="F698" s="12">
        <v>2279</v>
      </c>
      <c r="G698" s="41" t="s">
        <v>86</v>
      </c>
      <c r="H698" s="12" t="s">
        <v>5890</v>
      </c>
      <c r="I698" s="41" t="s">
        <v>6988</v>
      </c>
      <c r="M698" s="41" t="e">
        <f>VLOOKUP(I698,错误mRNA总表!D:I,6,FALSE)</f>
        <v>#N/A</v>
      </c>
    </row>
    <row r="699" spans="1:13" x14ac:dyDescent="0.2">
      <c r="A699" s="12" t="s">
        <v>4405</v>
      </c>
      <c r="B699" s="12" t="s">
        <v>4004</v>
      </c>
      <c r="C699" s="12">
        <v>30601690</v>
      </c>
      <c r="D699" s="12">
        <v>30620844</v>
      </c>
      <c r="E699" s="12" t="s">
        <v>3940</v>
      </c>
      <c r="F699" s="12">
        <v>1</v>
      </c>
      <c r="G699" s="41" t="s">
        <v>103</v>
      </c>
      <c r="H699" s="12" t="s">
        <v>207</v>
      </c>
      <c r="I699" s="41" t="s">
        <v>2201</v>
      </c>
      <c r="J699" s="41" t="s">
        <v>2201</v>
      </c>
      <c r="K699" s="41" t="str">
        <f>VLOOKUP(J699,错误mRNA总表!D:J,7,FALSE)</f>
        <v>纠后正确</v>
      </c>
      <c r="L699" s="41" t="s">
        <v>3763</v>
      </c>
      <c r="M699" s="41">
        <f>VLOOKUP(I699,错误mRNA总表!D:I,6,FALSE)</f>
        <v>0</v>
      </c>
    </row>
    <row r="700" spans="1:13" x14ac:dyDescent="0.2">
      <c r="A700" s="12" t="s">
        <v>4406</v>
      </c>
      <c r="B700" s="12" t="s">
        <v>3996</v>
      </c>
      <c r="C700" s="12">
        <v>3693660</v>
      </c>
      <c r="D700" s="12">
        <v>3693697</v>
      </c>
      <c r="E700" s="12" t="s">
        <v>3940</v>
      </c>
      <c r="F700" s="12">
        <v>6</v>
      </c>
      <c r="H700" s="12" t="s">
        <v>5891</v>
      </c>
      <c r="I700" s="41" t="s">
        <v>6989</v>
      </c>
      <c r="M700" s="41" t="e">
        <f>VLOOKUP(I700,错误mRNA总表!D:I,6,FALSE)</f>
        <v>#N/A</v>
      </c>
    </row>
    <row r="701" spans="1:13" x14ac:dyDescent="0.2">
      <c r="A701" s="12" t="s">
        <v>4407</v>
      </c>
      <c r="B701" s="12" t="s">
        <v>4408</v>
      </c>
      <c r="C701" s="12">
        <v>1065871</v>
      </c>
      <c r="D701" s="12">
        <v>1065945</v>
      </c>
      <c r="E701" s="12" t="s">
        <v>3940</v>
      </c>
      <c r="F701" s="12">
        <v>1</v>
      </c>
      <c r="H701" s="12" t="s">
        <v>3598</v>
      </c>
      <c r="I701" s="41" t="s">
        <v>6990</v>
      </c>
      <c r="M701" s="41" t="e">
        <f>VLOOKUP(I701,错误mRNA总表!D:I,6,FALSE)</f>
        <v>#N/A</v>
      </c>
    </row>
    <row r="702" spans="1:13" x14ac:dyDescent="0.2">
      <c r="A702" s="12" t="s">
        <v>4407</v>
      </c>
      <c r="B702" s="12" t="s">
        <v>4408</v>
      </c>
      <c r="C702" s="12">
        <v>1065871</v>
      </c>
      <c r="D702" s="12">
        <v>1074133</v>
      </c>
      <c r="E702" s="12" t="s">
        <v>3940</v>
      </c>
      <c r="F702" s="12">
        <v>1</v>
      </c>
      <c r="H702" s="12" t="s">
        <v>3598</v>
      </c>
      <c r="I702" s="41" t="s">
        <v>6990</v>
      </c>
      <c r="M702" s="41" t="e">
        <f>VLOOKUP(I702,错误mRNA总表!D:I,6,FALSE)</f>
        <v>#N/A</v>
      </c>
    </row>
    <row r="703" spans="1:13" x14ac:dyDescent="0.2">
      <c r="A703" s="12" t="s">
        <v>4409</v>
      </c>
      <c r="B703" s="12" t="s">
        <v>3986</v>
      </c>
      <c r="C703" s="12">
        <v>55043909</v>
      </c>
      <c r="D703" s="12">
        <v>55056506</v>
      </c>
      <c r="E703" s="12" t="s">
        <v>3943</v>
      </c>
      <c r="F703" s="12">
        <v>3</v>
      </c>
      <c r="G703" s="41" t="s">
        <v>50</v>
      </c>
      <c r="H703" s="12" t="s">
        <v>6396</v>
      </c>
      <c r="I703" s="41" t="s">
        <v>6991</v>
      </c>
      <c r="M703" s="41" t="e">
        <f>VLOOKUP(I703,错误mRNA总表!D:I,6,FALSE)</f>
        <v>#N/A</v>
      </c>
    </row>
    <row r="704" spans="1:13" x14ac:dyDescent="0.2">
      <c r="A704" s="12" t="s">
        <v>4409</v>
      </c>
      <c r="B704" s="12" t="s">
        <v>3986</v>
      </c>
      <c r="C704" s="12">
        <v>55043909</v>
      </c>
      <c r="D704" s="12">
        <v>55056646</v>
      </c>
      <c r="E704" s="12" t="s">
        <v>3943</v>
      </c>
      <c r="F704" s="12">
        <v>6</v>
      </c>
      <c r="G704" s="41" t="s">
        <v>50</v>
      </c>
      <c r="H704" s="12" t="s">
        <v>6396</v>
      </c>
      <c r="I704" s="41" t="s">
        <v>6991</v>
      </c>
      <c r="M704" s="41" t="e">
        <f>VLOOKUP(I704,错误mRNA总表!D:I,6,FALSE)</f>
        <v>#N/A</v>
      </c>
    </row>
    <row r="705" spans="1:13" x14ac:dyDescent="0.2">
      <c r="A705" s="12" t="s">
        <v>4086</v>
      </c>
      <c r="B705" s="12" t="s">
        <v>3996</v>
      </c>
      <c r="C705" s="12">
        <v>1406088</v>
      </c>
      <c r="D705" s="12">
        <v>1407374</v>
      </c>
      <c r="E705" s="12" t="s">
        <v>3940</v>
      </c>
      <c r="F705" s="12">
        <v>38</v>
      </c>
      <c r="H705" s="12" t="s">
        <v>6374</v>
      </c>
      <c r="I705" s="41" t="s">
        <v>6992</v>
      </c>
      <c r="M705" s="41" t="e">
        <f>VLOOKUP(I705,错误mRNA总表!D:I,6,FALSE)</f>
        <v>#N/A</v>
      </c>
    </row>
    <row r="706" spans="1:13" x14ac:dyDescent="0.2">
      <c r="A706" s="12" t="s">
        <v>4086</v>
      </c>
      <c r="B706" s="12" t="s">
        <v>3996</v>
      </c>
      <c r="C706" s="12">
        <v>1406088</v>
      </c>
      <c r="D706" s="12">
        <v>1406166</v>
      </c>
      <c r="E706" s="12" t="s">
        <v>3940</v>
      </c>
      <c r="F706" s="12">
        <v>1</v>
      </c>
      <c r="H706" s="12" t="s">
        <v>6374</v>
      </c>
      <c r="I706" s="41" t="s">
        <v>6992</v>
      </c>
      <c r="M706" s="41" t="e">
        <f>VLOOKUP(I706,错误mRNA总表!D:I,6,FALSE)</f>
        <v>#N/A</v>
      </c>
    </row>
    <row r="707" spans="1:13" x14ac:dyDescent="0.2">
      <c r="A707" s="12" t="s">
        <v>4086</v>
      </c>
      <c r="B707" s="12" t="s">
        <v>3996</v>
      </c>
      <c r="C707" s="12">
        <v>1406088</v>
      </c>
      <c r="D707" s="12">
        <v>1406289</v>
      </c>
      <c r="E707" s="12" t="s">
        <v>3943</v>
      </c>
      <c r="F707" s="12">
        <v>4</v>
      </c>
      <c r="H707" s="12" t="s">
        <v>6374</v>
      </c>
      <c r="I707" s="41" t="s">
        <v>6992</v>
      </c>
      <c r="M707" s="41" t="e">
        <f>VLOOKUP(I707,错误mRNA总表!D:I,6,FALSE)</f>
        <v>#N/A</v>
      </c>
    </row>
    <row r="708" spans="1:13" x14ac:dyDescent="0.2">
      <c r="A708" s="12" t="s">
        <v>4086</v>
      </c>
      <c r="B708" s="12" t="s">
        <v>3996</v>
      </c>
      <c r="C708" s="12">
        <v>1406088</v>
      </c>
      <c r="D708" s="12">
        <v>1406734</v>
      </c>
      <c r="E708" s="12" t="s">
        <v>3943</v>
      </c>
      <c r="F708" s="12">
        <v>1</v>
      </c>
      <c r="H708" s="12" t="s">
        <v>6374</v>
      </c>
      <c r="I708" s="41" t="s">
        <v>6992</v>
      </c>
      <c r="M708" s="41" t="e">
        <f>VLOOKUP(I708,错误mRNA总表!D:I,6,FALSE)</f>
        <v>#N/A</v>
      </c>
    </row>
    <row r="709" spans="1:13" x14ac:dyDescent="0.2">
      <c r="A709" s="12" t="s">
        <v>4086</v>
      </c>
      <c r="B709" s="12" t="s">
        <v>3996</v>
      </c>
      <c r="C709" s="12">
        <v>1406088</v>
      </c>
      <c r="D709" s="12">
        <v>1407205</v>
      </c>
      <c r="E709" s="12" t="s">
        <v>3940</v>
      </c>
      <c r="F709" s="12">
        <v>1</v>
      </c>
      <c r="H709" s="12" t="s">
        <v>6374</v>
      </c>
      <c r="I709" s="41" t="s">
        <v>6992</v>
      </c>
      <c r="M709" s="41" t="e">
        <f>VLOOKUP(I709,错误mRNA总表!D:I,6,FALSE)</f>
        <v>#N/A</v>
      </c>
    </row>
    <row r="710" spans="1:13" x14ac:dyDescent="0.2">
      <c r="A710" s="12" t="s">
        <v>4086</v>
      </c>
      <c r="B710" s="12" t="s">
        <v>3996</v>
      </c>
      <c r="C710" s="12">
        <v>1406088</v>
      </c>
      <c r="D710" s="12">
        <v>1407271</v>
      </c>
      <c r="E710" s="12" t="s">
        <v>3940</v>
      </c>
      <c r="F710" s="12">
        <v>4</v>
      </c>
      <c r="H710" s="12" t="s">
        <v>6374</v>
      </c>
      <c r="I710" s="41" t="s">
        <v>6992</v>
      </c>
      <c r="M710" s="41" t="e">
        <f>VLOOKUP(I710,错误mRNA总表!D:I,6,FALSE)</f>
        <v>#N/A</v>
      </c>
    </row>
    <row r="711" spans="1:13" x14ac:dyDescent="0.2">
      <c r="A711" s="12" t="s">
        <v>4410</v>
      </c>
      <c r="B711" s="12" t="s">
        <v>4157</v>
      </c>
      <c r="C711" s="12">
        <v>380630</v>
      </c>
      <c r="D711" s="12">
        <v>390653</v>
      </c>
      <c r="E711" s="12" t="s">
        <v>3940</v>
      </c>
      <c r="F711" s="12">
        <v>1</v>
      </c>
      <c r="H711" s="12" t="s">
        <v>3450</v>
      </c>
      <c r="I711" s="41" t="s">
        <v>6993</v>
      </c>
      <c r="M711" s="41" t="e">
        <f>VLOOKUP(I711,错误mRNA总表!D:I,6,FALSE)</f>
        <v>#N/A</v>
      </c>
    </row>
    <row r="712" spans="1:13" x14ac:dyDescent="0.2">
      <c r="A712" s="12" t="s">
        <v>4411</v>
      </c>
      <c r="B712" s="12" t="s">
        <v>3973</v>
      </c>
      <c r="C712" s="12">
        <v>12627939</v>
      </c>
      <c r="D712" s="12">
        <v>12677525</v>
      </c>
      <c r="E712" s="12" t="s">
        <v>3943</v>
      </c>
      <c r="F712" s="12">
        <v>1</v>
      </c>
      <c r="G712" s="41" t="s">
        <v>139</v>
      </c>
      <c r="H712" s="12" t="s">
        <v>6623</v>
      </c>
      <c r="I712" s="41" t="s">
        <v>6994</v>
      </c>
      <c r="M712" s="41" t="e">
        <f>VLOOKUP(I712,错误mRNA总表!D:I,6,FALSE)</f>
        <v>#N/A</v>
      </c>
    </row>
    <row r="713" spans="1:13" x14ac:dyDescent="0.2">
      <c r="A713" s="12" t="s">
        <v>4412</v>
      </c>
      <c r="B713" s="12" t="s">
        <v>4004</v>
      </c>
      <c r="C713" s="12">
        <v>143845752</v>
      </c>
      <c r="D713" s="12">
        <v>143857441</v>
      </c>
      <c r="E713" s="12" t="s">
        <v>3940</v>
      </c>
      <c r="F713" s="12">
        <v>2</v>
      </c>
      <c r="G713" s="41" t="s">
        <v>103</v>
      </c>
      <c r="H713" s="12" t="s">
        <v>6509</v>
      </c>
      <c r="I713" s="41" t="s">
        <v>6995</v>
      </c>
      <c r="M713" s="41" t="e">
        <f>VLOOKUP(I713,错误mRNA总表!D:I,6,FALSE)</f>
        <v>#N/A</v>
      </c>
    </row>
    <row r="714" spans="1:13" x14ac:dyDescent="0.2">
      <c r="A714" s="12" t="s">
        <v>4413</v>
      </c>
      <c r="B714" s="12" t="s">
        <v>3973</v>
      </c>
      <c r="C714" s="12">
        <v>214161278</v>
      </c>
      <c r="D714" s="12">
        <v>214161475</v>
      </c>
      <c r="E714" s="12" t="s">
        <v>3943</v>
      </c>
      <c r="F714" s="12">
        <v>1</v>
      </c>
      <c r="G714" s="41" t="s">
        <v>139</v>
      </c>
      <c r="H714" s="12" t="s">
        <v>5892</v>
      </c>
      <c r="I714" s="41" t="s">
        <v>6996</v>
      </c>
      <c r="M714" s="41" t="e">
        <f>VLOOKUP(I714,错误mRNA总表!D:I,6,FALSE)</f>
        <v>#N/A</v>
      </c>
    </row>
    <row r="715" spans="1:13" x14ac:dyDescent="0.2">
      <c r="A715" s="12" t="s">
        <v>4414</v>
      </c>
      <c r="B715" s="12" t="s">
        <v>4052</v>
      </c>
      <c r="C715" s="12">
        <v>11059893</v>
      </c>
      <c r="D715" s="12">
        <v>11373419</v>
      </c>
      <c r="E715" s="12" t="s">
        <v>3940</v>
      </c>
      <c r="F715" s="12">
        <v>2</v>
      </c>
      <c r="G715" s="41" t="s">
        <v>93</v>
      </c>
      <c r="H715" s="12" t="s">
        <v>6510</v>
      </c>
      <c r="I715" s="41" t="s">
        <v>6997</v>
      </c>
      <c r="M715" s="41" t="e">
        <f>VLOOKUP(I715,错误mRNA总表!D:I,6,FALSE)</f>
        <v>#N/A</v>
      </c>
    </row>
    <row r="716" spans="1:13" x14ac:dyDescent="0.2">
      <c r="A716" s="12" t="s">
        <v>4414</v>
      </c>
      <c r="B716" s="12" t="s">
        <v>4052</v>
      </c>
      <c r="C716" s="12">
        <v>11059893</v>
      </c>
      <c r="D716" s="12">
        <v>11375226</v>
      </c>
      <c r="E716" s="12" t="s">
        <v>3940</v>
      </c>
      <c r="F716" s="12">
        <v>1</v>
      </c>
      <c r="G716" s="41" t="s">
        <v>93</v>
      </c>
      <c r="H716" s="12" t="s">
        <v>6510</v>
      </c>
      <c r="I716" s="41" t="s">
        <v>6997</v>
      </c>
      <c r="M716" s="41" t="e">
        <f>VLOOKUP(I716,错误mRNA总表!D:I,6,FALSE)</f>
        <v>#N/A</v>
      </c>
    </row>
    <row r="717" spans="1:13" x14ac:dyDescent="0.2">
      <c r="A717" s="12" t="s">
        <v>4415</v>
      </c>
      <c r="B717" s="12" t="s">
        <v>3948</v>
      </c>
      <c r="C717" s="12">
        <v>154002347</v>
      </c>
      <c r="D717" s="12">
        <v>154264004</v>
      </c>
      <c r="E717" s="12" t="s">
        <v>3943</v>
      </c>
      <c r="F717" s="12">
        <v>2</v>
      </c>
      <c r="G717" s="41" t="s">
        <v>40</v>
      </c>
      <c r="H717" s="12" t="s">
        <v>257</v>
      </c>
      <c r="I717" s="41" t="s">
        <v>8421</v>
      </c>
      <c r="J717" s="41" t="s">
        <v>3821</v>
      </c>
      <c r="K717" s="41" t="str">
        <f>VLOOKUP(J717,错误mRNA总表!D:J,7,FALSE)</f>
        <v>纠后正确</v>
      </c>
      <c r="L717" s="41" t="s">
        <v>3763</v>
      </c>
      <c r="M717" s="41">
        <f>VLOOKUP(I717,错误mRNA总表!D:I,6,FALSE)</f>
        <v>0</v>
      </c>
    </row>
    <row r="718" spans="1:13" x14ac:dyDescent="0.2">
      <c r="A718" s="12" t="s">
        <v>4415</v>
      </c>
      <c r="B718" s="12" t="s">
        <v>3948</v>
      </c>
      <c r="C718" s="12">
        <v>154002347</v>
      </c>
      <c r="D718" s="12">
        <v>154264011</v>
      </c>
      <c r="E718" s="12" t="s">
        <v>3940</v>
      </c>
      <c r="F718" s="12">
        <v>4</v>
      </c>
      <c r="G718" s="41" t="s">
        <v>40</v>
      </c>
      <c r="H718" s="12" t="s">
        <v>257</v>
      </c>
      <c r="I718" s="41" t="s">
        <v>2254</v>
      </c>
      <c r="J718" s="41" t="s">
        <v>3821</v>
      </c>
      <c r="K718" s="41" t="str">
        <f>VLOOKUP(J718,错误mRNA总表!D:J,7,FALSE)</f>
        <v>纠后正确</v>
      </c>
      <c r="L718" s="41" t="s">
        <v>3763</v>
      </c>
      <c r="M718" s="41">
        <f>VLOOKUP(I718,错误mRNA总表!D:I,6,FALSE)</f>
        <v>0</v>
      </c>
    </row>
    <row r="719" spans="1:13" x14ac:dyDescent="0.2">
      <c r="A719" s="12" t="s">
        <v>4416</v>
      </c>
      <c r="B719" s="12" t="s">
        <v>3984</v>
      </c>
      <c r="C719" s="12">
        <v>1060485</v>
      </c>
      <c r="D719" s="12">
        <v>1061155</v>
      </c>
      <c r="E719" s="12" t="s">
        <v>3940</v>
      </c>
      <c r="F719" s="12">
        <v>21</v>
      </c>
      <c r="H719" s="12" t="s">
        <v>5893</v>
      </c>
      <c r="I719" s="41" t="s">
        <v>6998</v>
      </c>
      <c r="M719" s="41" t="e">
        <f>VLOOKUP(I719,错误mRNA总表!D:I,6,FALSE)</f>
        <v>#N/A</v>
      </c>
    </row>
    <row r="720" spans="1:13" x14ac:dyDescent="0.2">
      <c r="A720" s="12" t="s">
        <v>4417</v>
      </c>
      <c r="B720" s="12" t="s">
        <v>4018</v>
      </c>
      <c r="C720" s="12">
        <v>17792615</v>
      </c>
      <c r="D720" s="12">
        <v>17981988</v>
      </c>
      <c r="E720" s="12" t="s">
        <v>3940</v>
      </c>
      <c r="F720" s="12">
        <v>1</v>
      </c>
      <c r="G720" s="41" t="s">
        <v>241</v>
      </c>
      <c r="H720" s="12" t="s">
        <v>5894</v>
      </c>
      <c r="I720" s="41" t="s">
        <v>6999</v>
      </c>
      <c r="M720" s="41" t="e">
        <f>VLOOKUP(I720,错误mRNA总表!D:I,6,FALSE)</f>
        <v>#N/A</v>
      </c>
    </row>
    <row r="721" spans="1:13" x14ac:dyDescent="0.2">
      <c r="A721" s="12" t="s">
        <v>4418</v>
      </c>
      <c r="B721" s="12" t="s">
        <v>4001</v>
      </c>
      <c r="C721" s="12">
        <v>2165036</v>
      </c>
      <c r="D721" s="12">
        <v>2168855</v>
      </c>
      <c r="E721" s="12" t="s">
        <v>3940</v>
      </c>
      <c r="F721" s="12">
        <v>1</v>
      </c>
      <c r="H721" s="12" t="s">
        <v>3420</v>
      </c>
      <c r="I721" s="41" t="s">
        <v>7000</v>
      </c>
      <c r="M721" s="41" t="e">
        <f>VLOOKUP(I721,错误mRNA总表!D:I,6,FALSE)</f>
        <v>#N/A</v>
      </c>
    </row>
    <row r="722" spans="1:13" x14ac:dyDescent="0.2">
      <c r="A722" s="12" t="s">
        <v>4418</v>
      </c>
      <c r="B722" s="12" t="s">
        <v>4001</v>
      </c>
      <c r="C722" s="12">
        <v>2165036</v>
      </c>
      <c r="D722" s="12">
        <v>2168864</v>
      </c>
      <c r="E722" s="12" t="s">
        <v>3943</v>
      </c>
      <c r="F722" s="12">
        <v>2</v>
      </c>
      <c r="H722" s="12" t="s">
        <v>3420</v>
      </c>
      <c r="I722" s="41" t="s">
        <v>7000</v>
      </c>
      <c r="M722" s="41" t="e">
        <f>VLOOKUP(I722,错误mRNA总表!D:I,6,FALSE)</f>
        <v>#N/A</v>
      </c>
    </row>
    <row r="723" spans="1:13" x14ac:dyDescent="0.2">
      <c r="A723" s="12" t="s">
        <v>4419</v>
      </c>
      <c r="B723" s="12" t="s">
        <v>3964</v>
      </c>
      <c r="C723" s="12">
        <v>2234272</v>
      </c>
      <c r="D723" s="12">
        <v>2252155</v>
      </c>
      <c r="E723" s="12" t="s">
        <v>3943</v>
      </c>
      <c r="F723" s="12">
        <v>1</v>
      </c>
      <c r="H723" s="12" t="s">
        <v>5895</v>
      </c>
      <c r="I723" s="41" t="s">
        <v>7001</v>
      </c>
      <c r="M723" s="41" t="e">
        <f>VLOOKUP(I723,错误mRNA总表!D:I,6,FALSE)</f>
        <v>#N/A</v>
      </c>
    </row>
    <row r="724" spans="1:13" x14ac:dyDescent="0.2">
      <c r="A724" s="12" t="s">
        <v>4419</v>
      </c>
      <c r="B724" s="12" t="s">
        <v>3964</v>
      </c>
      <c r="C724" s="12">
        <v>2234272</v>
      </c>
      <c r="D724" s="12">
        <v>2252167</v>
      </c>
      <c r="E724" s="12" t="s">
        <v>3940</v>
      </c>
      <c r="F724" s="12">
        <v>1</v>
      </c>
      <c r="H724" s="12" t="s">
        <v>5895</v>
      </c>
      <c r="I724" s="41" t="s">
        <v>7001</v>
      </c>
      <c r="M724" s="41" t="e">
        <f>VLOOKUP(I724,错误mRNA总表!D:I,6,FALSE)</f>
        <v>#N/A</v>
      </c>
    </row>
    <row r="725" spans="1:13" x14ac:dyDescent="0.2">
      <c r="A725" s="12" t="s">
        <v>4419</v>
      </c>
      <c r="B725" s="12" t="s">
        <v>3964</v>
      </c>
      <c r="C725" s="12">
        <v>2234272</v>
      </c>
      <c r="D725" s="12">
        <v>2252171</v>
      </c>
      <c r="E725" s="12" t="s">
        <v>3943</v>
      </c>
      <c r="F725" s="12">
        <v>1</v>
      </c>
      <c r="H725" s="12" t="s">
        <v>5895</v>
      </c>
      <c r="I725" s="41" t="s">
        <v>7001</v>
      </c>
      <c r="M725" s="41" t="e">
        <f>VLOOKUP(I725,错误mRNA总表!D:I,6,FALSE)</f>
        <v>#N/A</v>
      </c>
    </row>
    <row r="726" spans="1:13" x14ac:dyDescent="0.2">
      <c r="A726" s="12" t="s">
        <v>4419</v>
      </c>
      <c r="B726" s="12" t="s">
        <v>3964</v>
      </c>
      <c r="C726" s="12">
        <v>2234272</v>
      </c>
      <c r="D726" s="12">
        <v>2254632</v>
      </c>
      <c r="E726" s="12" t="s">
        <v>3943</v>
      </c>
      <c r="F726" s="12">
        <v>1</v>
      </c>
      <c r="H726" s="12" t="s">
        <v>5895</v>
      </c>
      <c r="I726" s="41" t="s">
        <v>7001</v>
      </c>
      <c r="M726" s="41" t="e">
        <f>VLOOKUP(I726,错误mRNA总表!D:I,6,FALSE)</f>
        <v>#N/A</v>
      </c>
    </row>
    <row r="727" spans="1:13" x14ac:dyDescent="0.2">
      <c r="A727" s="12" t="s">
        <v>4419</v>
      </c>
      <c r="B727" s="12" t="s">
        <v>3964</v>
      </c>
      <c r="C727" s="12">
        <v>2234272</v>
      </c>
      <c r="D727" s="12">
        <v>2254639</v>
      </c>
      <c r="E727" s="12" t="s">
        <v>3943</v>
      </c>
      <c r="F727" s="12">
        <v>1</v>
      </c>
      <c r="H727" s="12" t="s">
        <v>5895</v>
      </c>
      <c r="I727" s="41" t="s">
        <v>7001</v>
      </c>
      <c r="M727" s="41" t="e">
        <f>VLOOKUP(I727,错误mRNA总表!D:I,6,FALSE)</f>
        <v>#N/A</v>
      </c>
    </row>
    <row r="728" spans="1:13" x14ac:dyDescent="0.2">
      <c r="A728" s="12" t="s">
        <v>4419</v>
      </c>
      <c r="B728" s="12" t="s">
        <v>3964</v>
      </c>
      <c r="C728" s="12">
        <v>2234272</v>
      </c>
      <c r="D728" s="12">
        <v>2254645</v>
      </c>
      <c r="E728" s="12" t="s">
        <v>3943</v>
      </c>
      <c r="F728" s="12">
        <v>1</v>
      </c>
      <c r="H728" s="12" t="s">
        <v>5895</v>
      </c>
      <c r="I728" s="41" t="s">
        <v>7001</v>
      </c>
      <c r="M728" s="41" t="e">
        <f>VLOOKUP(I728,错误mRNA总表!D:I,6,FALSE)</f>
        <v>#N/A</v>
      </c>
    </row>
    <row r="729" spans="1:13" x14ac:dyDescent="0.2">
      <c r="A729" s="12" t="s">
        <v>4420</v>
      </c>
      <c r="B729" s="12" t="s">
        <v>3946</v>
      </c>
      <c r="C729" s="12">
        <v>34851599</v>
      </c>
      <c r="D729" s="12">
        <v>34891039</v>
      </c>
      <c r="E729" s="12" t="s">
        <v>3943</v>
      </c>
      <c r="F729" s="12">
        <v>21</v>
      </c>
      <c r="G729" s="41" t="s">
        <v>47</v>
      </c>
      <c r="H729" s="12" t="s">
        <v>3629</v>
      </c>
      <c r="I729" s="41" t="s">
        <v>7002</v>
      </c>
      <c r="M729" s="41" t="e">
        <f>VLOOKUP(I729,错误mRNA总表!D:I,6,FALSE)</f>
        <v>#N/A</v>
      </c>
    </row>
    <row r="730" spans="1:13" x14ac:dyDescent="0.2">
      <c r="A730" s="12" t="s">
        <v>4044</v>
      </c>
      <c r="B730" s="12" t="s">
        <v>4061</v>
      </c>
      <c r="C730" s="12">
        <v>134462</v>
      </c>
      <c r="D730" s="12">
        <v>147486</v>
      </c>
      <c r="E730" s="12" t="s">
        <v>3943</v>
      </c>
      <c r="F730" s="12">
        <v>1</v>
      </c>
      <c r="H730" s="12" t="s">
        <v>3648</v>
      </c>
      <c r="I730" s="41" t="s">
        <v>7003</v>
      </c>
      <c r="M730" s="41" t="e">
        <f>VLOOKUP(I730,错误mRNA总表!D:I,6,FALSE)</f>
        <v>#N/A</v>
      </c>
    </row>
    <row r="731" spans="1:13" x14ac:dyDescent="0.2">
      <c r="A731" s="12" t="s">
        <v>4421</v>
      </c>
      <c r="B731" s="12" t="s">
        <v>4018</v>
      </c>
      <c r="C731" s="12">
        <v>17443434</v>
      </c>
      <c r="D731" s="12">
        <v>17981988</v>
      </c>
      <c r="E731" s="12" t="s">
        <v>3940</v>
      </c>
      <c r="F731" s="12">
        <v>1</v>
      </c>
      <c r="G731" s="41" t="s">
        <v>241</v>
      </c>
      <c r="H731" s="12" t="s">
        <v>5896</v>
      </c>
      <c r="I731" s="41" t="s">
        <v>7004</v>
      </c>
      <c r="M731" s="41" t="e">
        <f>VLOOKUP(I731,错误mRNA总表!D:I,6,FALSE)</f>
        <v>#N/A</v>
      </c>
    </row>
    <row r="732" spans="1:13" x14ac:dyDescent="0.2">
      <c r="A732" s="12" t="s">
        <v>4393</v>
      </c>
      <c r="B732" s="12" t="s">
        <v>4089</v>
      </c>
      <c r="C732" s="12">
        <v>134946</v>
      </c>
      <c r="D732" s="12">
        <v>147927</v>
      </c>
      <c r="E732" s="12" t="s">
        <v>3940</v>
      </c>
      <c r="F732" s="12">
        <v>1</v>
      </c>
      <c r="H732" s="12" t="s">
        <v>3648</v>
      </c>
      <c r="I732" s="41" t="s">
        <v>6693</v>
      </c>
      <c r="M732" s="41" t="e">
        <f>VLOOKUP(I732,错误mRNA总表!D:I,6,FALSE)</f>
        <v>#N/A</v>
      </c>
    </row>
    <row r="733" spans="1:13" x14ac:dyDescent="0.2">
      <c r="A733" s="12" t="s">
        <v>4393</v>
      </c>
      <c r="B733" s="12" t="s">
        <v>4089</v>
      </c>
      <c r="C733" s="12">
        <v>134946</v>
      </c>
      <c r="D733" s="12">
        <v>135009</v>
      </c>
      <c r="E733" s="12" t="s">
        <v>3940</v>
      </c>
      <c r="F733" s="12">
        <v>1</v>
      </c>
      <c r="H733" s="12" t="s">
        <v>3648</v>
      </c>
      <c r="I733" s="41" t="s">
        <v>6693</v>
      </c>
      <c r="M733" s="41" t="e">
        <f>VLOOKUP(I733,错误mRNA总表!D:I,6,FALSE)</f>
        <v>#N/A</v>
      </c>
    </row>
    <row r="734" spans="1:13" x14ac:dyDescent="0.2">
      <c r="A734" s="12" t="s">
        <v>4422</v>
      </c>
      <c r="B734" s="12" t="s">
        <v>4047</v>
      </c>
      <c r="C734" s="12">
        <v>21212994</v>
      </c>
      <c r="D734" s="12">
        <v>21234870</v>
      </c>
      <c r="E734" s="12" t="s">
        <v>3940</v>
      </c>
      <c r="F734" s="12">
        <v>4</v>
      </c>
      <c r="G734" s="41" t="s">
        <v>1409</v>
      </c>
      <c r="H734" s="12" t="s">
        <v>6421</v>
      </c>
      <c r="I734" s="41" t="s">
        <v>7005</v>
      </c>
      <c r="M734" s="41" t="e">
        <f>VLOOKUP(I734,错误mRNA总表!D:I,6,FALSE)</f>
        <v>#N/A</v>
      </c>
    </row>
    <row r="735" spans="1:13" x14ac:dyDescent="0.2">
      <c r="A735" s="12" t="s">
        <v>4422</v>
      </c>
      <c r="B735" s="12" t="s">
        <v>4047</v>
      </c>
      <c r="C735" s="12">
        <v>21212994</v>
      </c>
      <c r="D735" s="12">
        <v>21220450</v>
      </c>
      <c r="E735" s="12" t="s">
        <v>3943</v>
      </c>
      <c r="F735" s="12">
        <v>2</v>
      </c>
      <c r="G735" s="41" t="s">
        <v>1409</v>
      </c>
      <c r="H735" s="12" t="s">
        <v>6421</v>
      </c>
      <c r="I735" s="41" t="s">
        <v>7005</v>
      </c>
      <c r="M735" s="41" t="e">
        <f>VLOOKUP(I735,错误mRNA总表!D:I,6,FALSE)</f>
        <v>#N/A</v>
      </c>
    </row>
    <row r="736" spans="1:13" x14ac:dyDescent="0.2">
      <c r="A736" s="12" t="s">
        <v>4422</v>
      </c>
      <c r="B736" s="12" t="s">
        <v>4047</v>
      </c>
      <c r="C736" s="12">
        <v>21212994</v>
      </c>
      <c r="D736" s="12">
        <v>21213336</v>
      </c>
      <c r="E736" s="12" t="s">
        <v>3943</v>
      </c>
      <c r="F736" s="12">
        <v>1</v>
      </c>
      <c r="G736" s="41" t="s">
        <v>1409</v>
      </c>
      <c r="H736" s="12" t="s">
        <v>6421</v>
      </c>
      <c r="I736" s="41" t="s">
        <v>7005</v>
      </c>
      <c r="M736" s="41" t="e">
        <f>VLOOKUP(I736,错误mRNA总表!D:I,6,FALSE)</f>
        <v>#N/A</v>
      </c>
    </row>
    <row r="737" spans="1:13" x14ac:dyDescent="0.2">
      <c r="A737" s="12" t="s">
        <v>4423</v>
      </c>
      <c r="B737" s="12" t="s">
        <v>4049</v>
      </c>
      <c r="C737" s="12">
        <v>1585773</v>
      </c>
      <c r="D737" s="12">
        <v>1602953</v>
      </c>
      <c r="E737" s="12" t="s">
        <v>3940</v>
      </c>
      <c r="F737" s="12">
        <v>1507</v>
      </c>
      <c r="H737" s="12" t="s">
        <v>3518</v>
      </c>
      <c r="I737" s="41" t="s">
        <v>7006</v>
      </c>
      <c r="M737" s="41" t="e">
        <f>VLOOKUP(I737,错误mRNA总表!D:I,6,FALSE)</f>
        <v>#N/A</v>
      </c>
    </row>
    <row r="738" spans="1:13" x14ac:dyDescent="0.2">
      <c r="A738" s="12" t="s">
        <v>4423</v>
      </c>
      <c r="B738" s="12" t="s">
        <v>4049</v>
      </c>
      <c r="C738" s="12">
        <v>1585773</v>
      </c>
      <c r="D738" s="12">
        <v>1608686</v>
      </c>
      <c r="E738" s="12" t="s">
        <v>3940</v>
      </c>
      <c r="F738" s="12">
        <v>118</v>
      </c>
      <c r="H738" s="12" t="s">
        <v>3518</v>
      </c>
      <c r="I738" s="41" t="s">
        <v>7006</v>
      </c>
      <c r="M738" s="41" t="e">
        <f>VLOOKUP(I738,错误mRNA总表!D:I,6,FALSE)</f>
        <v>#N/A</v>
      </c>
    </row>
    <row r="739" spans="1:13" x14ac:dyDescent="0.2">
      <c r="A739" s="12" t="s">
        <v>4423</v>
      </c>
      <c r="B739" s="12" t="s">
        <v>4049</v>
      </c>
      <c r="C739" s="12">
        <v>1585773</v>
      </c>
      <c r="D739" s="12">
        <v>1610445</v>
      </c>
      <c r="E739" s="12" t="s">
        <v>3943</v>
      </c>
      <c r="F739" s="12">
        <v>1</v>
      </c>
      <c r="H739" s="12" t="s">
        <v>3518</v>
      </c>
      <c r="I739" s="41" t="s">
        <v>7006</v>
      </c>
      <c r="M739" s="41" t="e">
        <f>VLOOKUP(I739,错误mRNA总表!D:I,6,FALSE)</f>
        <v>#N/A</v>
      </c>
    </row>
    <row r="740" spans="1:13" x14ac:dyDescent="0.2">
      <c r="A740" s="12" t="s">
        <v>4423</v>
      </c>
      <c r="B740" s="12" t="s">
        <v>4049</v>
      </c>
      <c r="C740" s="12">
        <v>1585773</v>
      </c>
      <c r="D740" s="12">
        <v>1610511</v>
      </c>
      <c r="E740" s="12" t="s">
        <v>3943</v>
      </c>
      <c r="F740" s="12">
        <v>14</v>
      </c>
      <c r="H740" s="12" t="s">
        <v>3518</v>
      </c>
      <c r="I740" s="41" t="s">
        <v>7006</v>
      </c>
      <c r="M740" s="41" t="e">
        <f>VLOOKUP(I740,错误mRNA总表!D:I,6,FALSE)</f>
        <v>#N/A</v>
      </c>
    </row>
    <row r="741" spans="1:13" x14ac:dyDescent="0.2">
      <c r="A741" s="12" t="s">
        <v>4424</v>
      </c>
      <c r="B741" s="12" t="s">
        <v>3996</v>
      </c>
      <c r="C741" s="12">
        <v>3116416</v>
      </c>
      <c r="D741" s="12">
        <v>3116512</v>
      </c>
      <c r="E741" s="12" t="s">
        <v>3943</v>
      </c>
      <c r="F741" s="12">
        <v>4</v>
      </c>
      <c r="H741" s="12" t="s">
        <v>3558</v>
      </c>
      <c r="I741" s="41" t="s">
        <v>7007</v>
      </c>
      <c r="M741" s="41" t="e">
        <f>VLOOKUP(I741,错误mRNA总表!D:I,6,FALSE)</f>
        <v>#N/A</v>
      </c>
    </row>
    <row r="742" spans="1:13" x14ac:dyDescent="0.2">
      <c r="A742" s="12" t="s">
        <v>4425</v>
      </c>
      <c r="B742" s="12" t="s">
        <v>3957</v>
      </c>
      <c r="C742" s="12">
        <v>46638826</v>
      </c>
      <c r="D742" s="12">
        <v>46694313</v>
      </c>
      <c r="E742" s="12" t="s">
        <v>3943</v>
      </c>
      <c r="F742" s="12">
        <v>2</v>
      </c>
      <c r="G742" s="41" t="s">
        <v>36</v>
      </c>
      <c r="H742" s="12" t="s">
        <v>6397</v>
      </c>
      <c r="I742" s="41" t="s">
        <v>7008</v>
      </c>
      <c r="M742" s="41" t="e">
        <f>VLOOKUP(I742,错误mRNA总表!D:I,6,FALSE)</f>
        <v>#N/A</v>
      </c>
    </row>
    <row r="743" spans="1:13" x14ac:dyDescent="0.2">
      <c r="A743" s="12" t="s">
        <v>4136</v>
      </c>
      <c r="B743" s="12" t="s">
        <v>4098</v>
      </c>
      <c r="C743" s="12">
        <v>248816</v>
      </c>
      <c r="D743" s="12">
        <v>248851</v>
      </c>
      <c r="E743" s="12" t="s">
        <v>3940</v>
      </c>
      <c r="F743" s="12">
        <v>2</v>
      </c>
      <c r="H743" s="12" t="s">
        <v>3657</v>
      </c>
      <c r="I743" s="41" t="s">
        <v>6726</v>
      </c>
      <c r="M743" s="41" t="e">
        <f>VLOOKUP(I743,错误mRNA总表!D:I,6,FALSE)</f>
        <v>#N/A</v>
      </c>
    </row>
    <row r="744" spans="1:13" x14ac:dyDescent="0.2">
      <c r="A744" s="12" t="s">
        <v>4426</v>
      </c>
      <c r="B744" s="12" t="s">
        <v>4059</v>
      </c>
      <c r="C744" s="12">
        <v>90539619</v>
      </c>
      <c r="D744" s="12">
        <v>90581108</v>
      </c>
      <c r="E744" s="12" t="s">
        <v>3940</v>
      </c>
      <c r="F744" s="12">
        <v>47</v>
      </c>
      <c r="G744" s="41" t="s">
        <v>175</v>
      </c>
      <c r="H744" s="12" t="s">
        <v>691</v>
      </c>
      <c r="I744" s="41" t="s">
        <v>3235</v>
      </c>
      <c r="J744" s="41" t="s">
        <v>3235</v>
      </c>
      <c r="K744" s="41" t="str">
        <f>VLOOKUP(J744,错误mRNA总表!D:J,7,FALSE)</f>
        <v/>
      </c>
      <c r="M744" s="41">
        <f>VLOOKUP(I744,错误mRNA总表!D:I,6,FALSE)</f>
        <v>0</v>
      </c>
    </row>
    <row r="745" spans="1:13" x14ac:dyDescent="0.2">
      <c r="A745" s="12" t="s">
        <v>4427</v>
      </c>
      <c r="B745" s="12" t="s">
        <v>3939</v>
      </c>
      <c r="C745" s="12">
        <v>148678216</v>
      </c>
      <c r="D745" s="12">
        <v>148713418</v>
      </c>
      <c r="E745" s="12" t="s">
        <v>3940</v>
      </c>
      <c r="F745" s="12">
        <v>27</v>
      </c>
      <c r="G745" s="41" t="s">
        <v>73</v>
      </c>
      <c r="H745" s="12" t="s">
        <v>5897</v>
      </c>
      <c r="I745" s="41" t="s">
        <v>7009</v>
      </c>
      <c r="M745" s="41" t="e">
        <f>VLOOKUP(I745,错误mRNA总表!D:I,6,FALSE)</f>
        <v>#N/A</v>
      </c>
    </row>
    <row r="746" spans="1:13" x14ac:dyDescent="0.2">
      <c r="A746" s="12" t="s">
        <v>4009</v>
      </c>
      <c r="B746" s="12" t="s">
        <v>3994</v>
      </c>
      <c r="C746" s="12">
        <v>3565774</v>
      </c>
      <c r="D746" s="12">
        <v>3565811</v>
      </c>
      <c r="E746" s="12" t="s">
        <v>3940</v>
      </c>
      <c r="F746" s="12">
        <v>6</v>
      </c>
      <c r="H746" s="12" t="s">
        <v>5784</v>
      </c>
      <c r="I746" s="41" t="s">
        <v>7010</v>
      </c>
      <c r="M746" s="41" t="e">
        <f>VLOOKUP(I746,错误mRNA总表!D:I,6,FALSE)</f>
        <v>#N/A</v>
      </c>
    </row>
    <row r="747" spans="1:13" x14ac:dyDescent="0.2">
      <c r="A747" s="12" t="s">
        <v>4009</v>
      </c>
      <c r="B747" s="12" t="s">
        <v>3994</v>
      </c>
      <c r="C747" s="12">
        <v>3565774</v>
      </c>
      <c r="D747" s="12">
        <v>3717161</v>
      </c>
      <c r="E747" s="12" t="s">
        <v>3940</v>
      </c>
      <c r="F747" s="12">
        <v>1</v>
      </c>
      <c r="H747" s="12" t="s">
        <v>5784</v>
      </c>
      <c r="I747" s="41" t="s">
        <v>7010</v>
      </c>
      <c r="M747" s="41" t="e">
        <f>VLOOKUP(I747,错误mRNA总表!D:I,6,FALSE)</f>
        <v>#N/A</v>
      </c>
    </row>
    <row r="748" spans="1:13" x14ac:dyDescent="0.2">
      <c r="A748" s="12" t="s">
        <v>4428</v>
      </c>
      <c r="B748" s="12" t="s">
        <v>3962</v>
      </c>
      <c r="C748" s="12">
        <v>62119365</v>
      </c>
      <c r="D748" s="12">
        <v>62119590</v>
      </c>
      <c r="E748" s="12" t="s">
        <v>3943</v>
      </c>
      <c r="F748" s="12">
        <v>2</v>
      </c>
      <c r="G748" s="41" t="s">
        <v>53</v>
      </c>
      <c r="H748" s="12" t="s">
        <v>6511</v>
      </c>
      <c r="I748" s="41" t="s">
        <v>7011</v>
      </c>
      <c r="M748" s="41" t="e">
        <f>VLOOKUP(I748,错误mRNA总表!D:I,6,FALSE)</f>
        <v>#N/A</v>
      </c>
    </row>
    <row r="749" spans="1:13" x14ac:dyDescent="0.2">
      <c r="A749" s="12" t="s">
        <v>4429</v>
      </c>
      <c r="B749" s="12" t="s">
        <v>3989</v>
      </c>
      <c r="C749" s="12">
        <v>1186894</v>
      </c>
      <c r="D749" s="12">
        <v>1186936</v>
      </c>
      <c r="E749" s="12" t="s">
        <v>3940</v>
      </c>
      <c r="F749" s="12">
        <v>6</v>
      </c>
      <c r="H749" s="12" t="s">
        <v>6398</v>
      </c>
      <c r="I749" s="41" t="s">
        <v>7012</v>
      </c>
      <c r="M749" s="41" t="e">
        <f>VLOOKUP(I749,错误mRNA总表!D:I,6,FALSE)</f>
        <v>#N/A</v>
      </c>
    </row>
    <row r="750" spans="1:13" x14ac:dyDescent="0.2">
      <c r="A750" s="12" t="s">
        <v>4430</v>
      </c>
      <c r="B750" s="12" t="s">
        <v>4089</v>
      </c>
      <c r="C750" s="12">
        <v>166178</v>
      </c>
      <c r="D750" s="12">
        <v>169309</v>
      </c>
      <c r="E750" s="12" t="s">
        <v>3943</v>
      </c>
      <c r="F750" s="12">
        <v>3</v>
      </c>
      <c r="H750" s="12" t="s">
        <v>3651</v>
      </c>
      <c r="I750" s="41" t="s">
        <v>7013</v>
      </c>
      <c r="M750" s="41" t="e">
        <f>VLOOKUP(I750,错误mRNA总表!D:I,6,FALSE)</f>
        <v>#N/A</v>
      </c>
    </row>
    <row r="751" spans="1:13" x14ac:dyDescent="0.2">
      <c r="A751" s="12" t="s">
        <v>4431</v>
      </c>
      <c r="B751" s="12" t="s">
        <v>3989</v>
      </c>
      <c r="C751" s="12">
        <v>1272216</v>
      </c>
      <c r="D751" s="12">
        <v>1272580</v>
      </c>
      <c r="E751" s="12" t="s">
        <v>3940</v>
      </c>
      <c r="F751" s="12">
        <v>5</v>
      </c>
      <c r="H751" s="12" t="s">
        <v>5898</v>
      </c>
      <c r="I751" s="41" t="s">
        <v>7014</v>
      </c>
      <c r="M751" s="41" t="e">
        <f>VLOOKUP(I751,错误mRNA总表!D:I,6,FALSE)</f>
        <v>#N/A</v>
      </c>
    </row>
    <row r="752" spans="1:13" x14ac:dyDescent="0.2">
      <c r="A752" s="12" t="s">
        <v>4432</v>
      </c>
      <c r="B752" s="12" t="s">
        <v>4066</v>
      </c>
      <c r="C752" s="12">
        <v>600249</v>
      </c>
      <c r="D752" s="12">
        <v>604320</v>
      </c>
      <c r="E752" s="12" t="s">
        <v>3943</v>
      </c>
      <c r="F752" s="12">
        <v>4</v>
      </c>
      <c r="H752" s="12" t="s">
        <v>5899</v>
      </c>
      <c r="I752" s="41" t="s">
        <v>7015</v>
      </c>
      <c r="M752" s="41" t="e">
        <f>VLOOKUP(I752,错误mRNA总表!D:I,6,FALSE)</f>
        <v>#N/A</v>
      </c>
    </row>
    <row r="753" spans="1:13" x14ac:dyDescent="0.2">
      <c r="A753" s="12" t="s">
        <v>4432</v>
      </c>
      <c r="B753" s="12" t="s">
        <v>4066</v>
      </c>
      <c r="C753" s="12">
        <v>600249</v>
      </c>
      <c r="D753" s="12">
        <v>604665</v>
      </c>
      <c r="E753" s="12" t="s">
        <v>3943</v>
      </c>
      <c r="F753" s="12">
        <v>1</v>
      </c>
      <c r="H753" s="12" t="s">
        <v>5899</v>
      </c>
      <c r="I753" s="41" t="s">
        <v>7015</v>
      </c>
      <c r="M753" s="41" t="e">
        <f>VLOOKUP(I753,错误mRNA总表!D:I,6,FALSE)</f>
        <v>#N/A</v>
      </c>
    </row>
    <row r="754" spans="1:13" x14ac:dyDescent="0.2">
      <c r="A754" s="12" t="s">
        <v>4433</v>
      </c>
      <c r="B754" s="12" t="s">
        <v>3946</v>
      </c>
      <c r="C754" s="12">
        <v>79373521</v>
      </c>
      <c r="D754" s="12">
        <v>79373717</v>
      </c>
      <c r="E754" s="12" t="s">
        <v>3940</v>
      </c>
      <c r="F754" s="12">
        <v>92</v>
      </c>
      <c r="G754" s="41" t="s">
        <v>47</v>
      </c>
      <c r="H754" s="12" t="s">
        <v>5900</v>
      </c>
      <c r="I754" s="41" t="s">
        <v>7016</v>
      </c>
      <c r="M754" s="41" t="e">
        <f>VLOOKUP(I754,错误mRNA总表!D:I,6,FALSE)</f>
        <v>#N/A</v>
      </c>
    </row>
    <row r="755" spans="1:13" x14ac:dyDescent="0.2">
      <c r="A755" s="12" t="s">
        <v>4433</v>
      </c>
      <c r="B755" s="12" t="s">
        <v>3946</v>
      </c>
      <c r="C755" s="12">
        <v>79373521</v>
      </c>
      <c r="D755" s="12">
        <v>79394672</v>
      </c>
      <c r="E755" s="12" t="s">
        <v>3940</v>
      </c>
      <c r="F755" s="12">
        <v>75</v>
      </c>
      <c r="G755" s="41" t="s">
        <v>47</v>
      </c>
      <c r="H755" s="12" t="s">
        <v>5900</v>
      </c>
      <c r="I755" s="41" t="s">
        <v>7016</v>
      </c>
      <c r="M755" s="41" t="e">
        <f>VLOOKUP(I755,错误mRNA总表!D:I,6,FALSE)</f>
        <v>#N/A</v>
      </c>
    </row>
    <row r="756" spans="1:13" x14ac:dyDescent="0.2">
      <c r="A756" s="12" t="s">
        <v>4434</v>
      </c>
      <c r="B756" s="12" t="s">
        <v>3973</v>
      </c>
      <c r="C756" s="12">
        <v>149576161</v>
      </c>
      <c r="D756" s="12">
        <v>149576464</v>
      </c>
      <c r="E756" s="12" t="s">
        <v>3940</v>
      </c>
      <c r="F756" s="12">
        <v>3</v>
      </c>
      <c r="G756" s="41" t="s">
        <v>139</v>
      </c>
      <c r="H756" s="12" t="s">
        <v>5901</v>
      </c>
      <c r="I756" s="41" t="s">
        <v>7017</v>
      </c>
      <c r="M756" s="41" t="e">
        <f>VLOOKUP(I756,错误mRNA总表!D:I,6,FALSE)</f>
        <v>#N/A</v>
      </c>
    </row>
    <row r="757" spans="1:13" x14ac:dyDescent="0.2">
      <c r="A757" s="12" t="s">
        <v>4434</v>
      </c>
      <c r="B757" s="12" t="s">
        <v>3973</v>
      </c>
      <c r="C757" s="12">
        <v>149576161</v>
      </c>
      <c r="D757" s="12">
        <v>149636164</v>
      </c>
      <c r="E757" s="12" t="s">
        <v>3940</v>
      </c>
      <c r="F757" s="12">
        <v>1</v>
      </c>
      <c r="G757" s="41" t="s">
        <v>139</v>
      </c>
      <c r="H757" s="12" t="s">
        <v>5901</v>
      </c>
      <c r="I757" s="41" t="s">
        <v>7017</v>
      </c>
      <c r="M757" s="41" t="e">
        <f>VLOOKUP(I757,错误mRNA总表!D:I,6,FALSE)</f>
        <v>#N/A</v>
      </c>
    </row>
    <row r="758" spans="1:13" x14ac:dyDescent="0.2">
      <c r="A758" s="12" t="s">
        <v>4434</v>
      </c>
      <c r="B758" s="12" t="s">
        <v>3973</v>
      </c>
      <c r="C758" s="12">
        <v>149576161</v>
      </c>
      <c r="D758" s="12">
        <v>149649082</v>
      </c>
      <c r="E758" s="12" t="s">
        <v>3940</v>
      </c>
      <c r="F758" s="12">
        <v>1</v>
      </c>
      <c r="G758" s="41" t="s">
        <v>139</v>
      </c>
      <c r="H758" s="12" t="s">
        <v>5901</v>
      </c>
      <c r="I758" s="41" t="s">
        <v>7017</v>
      </c>
      <c r="M758" s="41" t="e">
        <f>VLOOKUP(I758,错误mRNA总表!D:I,6,FALSE)</f>
        <v>#N/A</v>
      </c>
    </row>
    <row r="759" spans="1:13" x14ac:dyDescent="0.2">
      <c r="A759" s="12" t="s">
        <v>4434</v>
      </c>
      <c r="B759" s="12" t="s">
        <v>3973</v>
      </c>
      <c r="C759" s="12">
        <v>149576161</v>
      </c>
      <c r="D759" s="12">
        <v>149649546</v>
      </c>
      <c r="E759" s="12" t="s">
        <v>3940</v>
      </c>
      <c r="F759" s="12">
        <v>1</v>
      </c>
      <c r="G759" s="41" t="s">
        <v>139</v>
      </c>
      <c r="H759" s="12" t="s">
        <v>5901</v>
      </c>
      <c r="I759" s="41" t="s">
        <v>7017</v>
      </c>
      <c r="M759" s="41" t="e">
        <f>VLOOKUP(I759,错误mRNA总表!D:I,6,FALSE)</f>
        <v>#N/A</v>
      </c>
    </row>
    <row r="760" spans="1:13" x14ac:dyDescent="0.2">
      <c r="A760" s="12" t="s">
        <v>4434</v>
      </c>
      <c r="B760" s="12" t="s">
        <v>3973</v>
      </c>
      <c r="C760" s="12">
        <v>149576161</v>
      </c>
      <c r="D760" s="12">
        <v>149650446</v>
      </c>
      <c r="E760" s="12" t="s">
        <v>3940</v>
      </c>
      <c r="F760" s="12">
        <v>1</v>
      </c>
      <c r="G760" s="41" t="s">
        <v>139</v>
      </c>
      <c r="H760" s="12" t="s">
        <v>5901</v>
      </c>
      <c r="I760" s="41" t="s">
        <v>7017</v>
      </c>
      <c r="M760" s="41" t="e">
        <f>VLOOKUP(I760,错误mRNA总表!D:I,6,FALSE)</f>
        <v>#N/A</v>
      </c>
    </row>
    <row r="761" spans="1:13" x14ac:dyDescent="0.2">
      <c r="A761" s="12" t="s">
        <v>4435</v>
      </c>
      <c r="B761" s="12" t="s">
        <v>4436</v>
      </c>
      <c r="C761" s="12">
        <v>799</v>
      </c>
      <c r="D761" s="12">
        <v>1530</v>
      </c>
      <c r="E761" s="12" t="s">
        <v>3940</v>
      </c>
      <c r="F761" s="12">
        <v>1592</v>
      </c>
      <c r="H761" s="12" t="s">
        <v>3612</v>
      </c>
      <c r="I761" s="41" t="s">
        <v>7018</v>
      </c>
      <c r="M761" s="41" t="e">
        <f>VLOOKUP(I761,错误mRNA总表!D:I,6,FALSE)</f>
        <v>#N/A</v>
      </c>
    </row>
    <row r="762" spans="1:13" x14ac:dyDescent="0.2">
      <c r="A762" s="12" t="s">
        <v>4435</v>
      </c>
      <c r="B762" s="12" t="s">
        <v>4436</v>
      </c>
      <c r="C762" s="12">
        <v>799</v>
      </c>
      <c r="D762" s="12">
        <v>1455</v>
      </c>
      <c r="E762" s="12" t="s">
        <v>3940</v>
      </c>
      <c r="F762" s="12">
        <v>4</v>
      </c>
      <c r="H762" s="12" t="s">
        <v>3612</v>
      </c>
      <c r="I762" s="41" t="s">
        <v>7018</v>
      </c>
      <c r="M762" s="41" t="e">
        <f>VLOOKUP(I762,错误mRNA总表!D:I,6,FALSE)</f>
        <v>#N/A</v>
      </c>
    </row>
    <row r="763" spans="1:13" x14ac:dyDescent="0.2">
      <c r="A763" s="12" t="s">
        <v>4435</v>
      </c>
      <c r="B763" s="12" t="s">
        <v>4436</v>
      </c>
      <c r="C763" s="12">
        <v>799</v>
      </c>
      <c r="D763" s="12">
        <v>1517</v>
      </c>
      <c r="E763" s="12" t="s">
        <v>3943</v>
      </c>
      <c r="F763" s="12">
        <v>3</v>
      </c>
      <c r="H763" s="12" t="s">
        <v>3612</v>
      </c>
      <c r="I763" s="41" t="s">
        <v>7018</v>
      </c>
      <c r="M763" s="41" t="e">
        <f>VLOOKUP(I763,错误mRNA总表!D:I,6,FALSE)</f>
        <v>#N/A</v>
      </c>
    </row>
    <row r="764" spans="1:13" x14ac:dyDescent="0.2">
      <c r="A764" s="12" t="s">
        <v>4435</v>
      </c>
      <c r="B764" s="12" t="s">
        <v>4436</v>
      </c>
      <c r="C764" s="12">
        <v>799</v>
      </c>
      <c r="D764" s="12">
        <v>808</v>
      </c>
      <c r="E764" s="12" t="s">
        <v>3940</v>
      </c>
      <c r="F764" s="12">
        <v>2</v>
      </c>
      <c r="H764" s="12" t="s">
        <v>3612</v>
      </c>
      <c r="I764" s="41" t="s">
        <v>7018</v>
      </c>
      <c r="M764" s="41" t="e">
        <f>VLOOKUP(I764,错误mRNA总表!D:I,6,FALSE)</f>
        <v>#N/A</v>
      </c>
    </row>
    <row r="765" spans="1:13" x14ac:dyDescent="0.2">
      <c r="A765" s="12" t="s">
        <v>4435</v>
      </c>
      <c r="B765" s="12" t="s">
        <v>4436</v>
      </c>
      <c r="C765" s="12">
        <v>799</v>
      </c>
      <c r="D765" s="12">
        <v>811</v>
      </c>
      <c r="E765" s="12" t="s">
        <v>3940</v>
      </c>
      <c r="F765" s="12">
        <v>1</v>
      </c>
      <c r="H765" s="12" t="s">
        <v>3612</v>
      </c>
      <c r="I765" s="41" t="s">
        <v>7018</v>
      </c>
      <c r="M765" s="41" t="e">
        <f>VLOOKUP(I765,错误mRNA总表!D:I,6,FALSE)</f>
        <v>#N/A</v>
      </c>
    </row>
    <row r="766" spans="1:13" x14ac:dyDescent="0.2">
      <c r="A766" s="12" t="s">
        <v>4435</v>
      </c>
      <c r="B766" s="12" t="s">
        <v>4436</v>
      </c>
      <c r="C766" s="12">
        <v>799</v>
      </c>
      <c r="D766" s="12">
        <v>821</v>
      </c>
      <c r="E766" s="12" t="s">
        <v>3943</v>
      </c>
      <c r="F766" s="12">
        <v>1</v>
      </c>
      <c r="H766" s="12" t="s">
        <v>3612</v>
      </c>
      <c r="I766" s="41" t="s">
        <v>7018</v>
      </c>
      <c r="M766" s="41" t="e">
        <f>VLOOKUP(I766,错误mRNA总表!D:I,6,FALSE)</f>
        <v>#N/A</v>
      </c>
    </row>
    <row r="767" spans="1:13" x14ac:dyDescent="0.2">
      <c r="A767" s="12" t="s">
        <v>4435</v>
      </c>
      <c r="B767" s="12" t="s">
        <v>4436</v>
      </c>
      <c r="C767" s="12">
        <v>799</v>
      </c>
      <c r="D767" s="12">
        <v>826</v>
      </c>
      <c r="E767" s="12" t="s">
        <v>3943</v>
      </c>
      <c r="F767" s="12">
        <v>11</v>
      </c>
      <c r="H767" s="12" t="s">
        <v>3612</v>
      </c>
      <c r="I767" s="41" t="s">
        <v>7018</v>
      </c>
      <c r="M767" s="41" t="e">
        <f>VLOOKUP(I767,错误mRNA总表!D:I,6,FALSE)</f>
        <v>#N/A</v>
      </c>
    </row>
    <row r="768" spans="1:13" x14ac:dyDescent="0.2">
      <c r="A768" s="12" t="s">
        <v>4437</v>
      </c>
      <c r="B768" s="12" t="s">
        <v>4004</v>
      </c>
      <c r="C768" s="12">
        <v>17354597</v>
      </c>
      <c r="D768" s="12">
        <v>17425539</v>
      </c>
      <c r="E768" s="12" t="s">
        <v>3940</v>
      </c>
      <c r="F768" s="12">
        <v>1</v>
      </c>
      <c r="G768" s="41" t="s">
        <v>103</v>
      </c>
      <c r="H768" s="12" t="s">
        <v>6512</v>
      </c>
      <c r="I768" s="41" t="s">
        <v>7019</v>
      </c>
      <c r="M768" s="41" t="e">
        <f>VLOOKUP(I768,错误mRNA总表!D:I,6,FALSE)</f>
        <v>#N/A</v>
      </c>
    </row>
    <row r="769" spans="1:13" x14ac:dyDescent="0.2">
      <c r="A769" s="12" t="s">
        <v>4299</v>
      </c>
      <c r="B769" s="12" t="s">
        <v>4382</v>
      </c>
      <c r="C769" s="12">
        <v>65785</v>
      </c>
      <c r="D769" s="12">
        <v>66646</v>
      </c>
      <c r="E769" s="12" t="s">
        <v>3943</v>
      </c>
      <c r="F769" s="12">
        <v>1</v>
      </c>
      <c r="H769" s="12" t="s">
        <v>3613</v>
      </c>
      <c r="I769" s="41" t="s">
        <v>7020</v>
      </c>
      <c r="M769" s="41" t="e">
        <f>VLOOKUP(I769,错误mRNA总表!D:I,6,FALSE)</f>
        <v>#N/A</v>
      </c>
    </row>
    <row r="770" spans="1:13" x14ac:dyDescent="0.2">
      <c r="A770" s="12" t="s">
        <v>4438</v>
      </c>
      <c r="B770" s="12" t="s">
        <v>3969</v>
      </c>
      <c r="C770" s="12">
        <v>928111</v>
      </c>
      <c r="D770" s="12">
        <v>943463</v>
      </c>
      <c r="E770" s="12" t="s">
        <v>3943</v>
      </c>
      <c r="F770" s="12">
        <v>4</v>
      </c>
      <c r="H770" s="12" t="s">
        <v>3522</v>
      </c>
      <c r="I770" s="41" t="s">
        <v>7021</v>
      </c>
      <c r="M770" s="41" t="e">
        <f>VLOOKUP(I770,错误mRNA总表!D:I,6,FALSE)</f>
        <v>#N/A</v>
      </c>
    </row>
    <row r="771" spans="1:13" x14ac:dyDescent="0.2">
      <c r="A771" s="12" t="s">
        <v>4439</v>
      </c>
      <c r="B771" s="12" t="s">
        <v>3948</v>
      </c>
      <c r="C771" s="12">
        <v>100472701</v>
      </c>
      <c r="D771" s="12">
        <v>100472933</v>
      </c>
      <c r="E771" s="12" t="s">
        <v>3940</v>
      </c>
      <c r="F771" s="12">
        <v>1</v>
      </c>
      <c r="G771" s="41" t="s">
        <v>40</v>
      </c>
      <c r="H771" s="12" t="s">
        <v>5902</v>
      </c>
      <c r="I771" s="41" t="s">
        <v>7022</v>
      </c>
      <c r="M771" s="41" t="e">
        <f>VLOOKUP(I771,错误mRNA总表!D:I,6,FALSE)</f>
        <v>#N/A</v>
      </c>
    </row>
    <row r="772" spans="1:13" x14ac:dyDescent="0.2">
      <c r="A772" s="12" t="s">
        <v>4440</v>
      </c>
      <c r="B772" s="12" t="s">
        <v>4004</v>
      </c>
      <c r="C772" s="12">
        <v>64081112</v>
      </c>
      <c r="D772" s="12">
        <v>64098729</v>
      </c>
      <c r="E772" s="12" t="s">
        <v>3940</v>
      </c>
      <c r="F772" s="12">
        <v>1</v>
      </c>
      <c r="G772" s="41" t="s">
        <v>103</v>
      </c>
      <c r="H772" s="12" t="s">
        <v>3444</v>
      </c>
      <c r="I772" s="41" t="s">
        <v>7023</v>
      </c>
      <c r="M772" s="41" t="e">
        <f>VLOOKUP(I772,错误mRNA总表!D:I,6,FALSE)</f>
        <v>#N/A</v>
      </c>
    </row>
    <row r="773" spans="1:13" x14ac:dyDescent="0.2">
      <c r="A773" s="12" t="s">
        <v>4441</v>
      </c>
      <c r="B773" s="12" t="s">
        <v>3939</v>
      </c>
      <c r="C773" s="12">
        <v>49644470</v>
      </c>
      <c r="D773" s="12">
        <v>49646966</v>
      </c>
      <c r="E773" s="12" t="s">
        <v>3943</v>
      </c>
      <c r="F773" s="12">
        <v>1</v>
      </c>
      <c r="G773" s="41" t="s">
        <v>73</v>
      </c>
      <c r="H773" s="12" t="s">
        <v>3694</v>
      </c>
      <c r="I773" s="41" t="s">
        <v>7024</v>
      </c>
      <c r="M773" s="41" t="e">
        <f>VLOOKUP(I773,错误mRNA总表!D:I,6,FALSE)</f>
        <v>#N/A</v>
      </c>
    </row>
    <row r="774" spans="1:13" x14ac:dyDescent="0.2">
      <c r="A774" s="12" t="s">
        <v>4442</v>
      </c>
      <c r="B774" s="12" t="s">
        <v>3986</v>
      </c>
      <c r="C774" s="12">
        <v>4472193</v>
      </c>
      <c r="D774" s="12">
        <v>4499664</v>
      </c>
      <c r="E774" s="12" t="s">
        <v>3943</v>
      </c>
      <c r="F774" s="12">
        <v>15</v>
      </c>
      <c r="G774" s="41" t="s">
        <v>50</v>
      </c>
      <c r="H774" s="12" t="s">
        <v>1228</v>
      </c>
      <c r="I774" s="41" t="s">
        <v>7025</v>
      </c>
      <c r="J774" s="41" t="s">
        <v>2284</v>
      </c>
      <c r="K774" s="41" t="str">
        <f>VLOOKUP(J774,错误mRNA总表!D:J,7,FALSE)</f>
        <v>纠后正确，少了5个氨基酸chr19:4499665-4502022</v>
      </c>
      <c r="M774" s="41" t="e">
        <f>VLOOKUP(I774,错误mRNA总表!D:I,6,FALSE)</f>
        <v>#N/A</v>
      </c>
    </row>
    <row r="775" spans="1:13" x14ac:dyDescent="0.2">
      <c r="A775" s="12" t="s">
        <v>4443</v>
      </c>
      <c r="B775" s="12" t="s">
        <v>3942</v>
      </c>
      <c r="C775" s="12">
        <v>175810940</v>
      </c>
      <c r="D775" s="12">
        <v>175811094</v>
      </c>
      <c r="E775" s="12" t="s">
        <v>3940</v>
      </c>
      <c r="F775" s="12">
        <v>2</v>
      </c>
      <c r="G775" s="41" t="s">
        <v>186</v>
      </c>
      <c r="H775" s="12" t="s">
        <v>5947</v>
      </c>
      <c r="I775" s="41" t="s">
        <v>7026</v>
      </c>
      <c r="M775" s="41" t="e">
        <f>VLOOKUP(I775,错误mRNA总表!D:I,6,FALSE)</f>
        <v>#N/A</v>
      </c>
    </row>
    <row r="776" spans="1:13" x14ac:dyDescent="0.2">
      <c r="A776" s="12" t="s">
        <v>4444</v>
      </c>
      <c r="B776" s="12" t="s">
        <v>3969</v>
      </c>
      <c r="C776" s="12">
        <v>4226965</v>
      </c>
      <c r="D776" s="12">
        <v>4227045</v>
      </c>
      <c r="E776" s="12" t="s">
        <v>3940</v>
      </c>
      <c r="F776" s="12">
        <v>3</v>
      </c>
      <c r="H776" s="12" t="s">
        <v>3436</v>
      </c>
      <c r="I776" s="41" t="s">
        <v>7027</v>
      </c>
      <c r="M776" s="41" t="e">
        <f>VLOOKUP(I776,错误mRNA总表!D:I,6,FALSE)</f>
        <v>#N/A</v>
      </c>
    </row>
    <row r="777" spans="1:13" x14ac:dyDescent="0.2">
      <c r="A777" s="12" t="s">
        <v>4444</v>
      </c>
      <c r="B777" s="12" t="s">
        <v>3969</v>
      </c>
      <c r="C777" s="12">
        <v>4226965</v>
      </c>
      <c r="D777" s="12">
        <v>4229948</v>
      </c>
      <c r="E777" s="12" t="s">
        <v>3943</v>
      </c>
      <c r="F777" s="12">
        <v>1</v>
      </c>
      <c r="H777" s="12" t="s">
        <v>3436</v>
      </c>
      <c r="I777" s="41" t="s">
        <v>7027</v>
      </c>
      <c r="M777" s="41" t="e">
        <f>VLOOKUP(I777,错误mRNA总表!D:I,6,FALSE)</f>
        <v>#N/A</v>
      </c>
    </row>
    <row r="778" spans="1:13" x14ac:dyDescent="0.2">
      <c r="A778" s="12" t="s">
        <v>4445</v>
      </c>
      <c r="B778" s="12" t="s">
        <v>3957</v>
      </c>
      <c r="C778" s="12">
        <v>27676440</v>
      </c>
      <c r="D778" s="12">
        <v>27676545</v>
      </c>
      <c r="E778" s="12" t="s">
        <v>3943</v>
      </c>
      <c r="F778" s="12">
        <v>1</v>
      </c>
      <c r="G778" s="41" t="s">
        <v>36</v>
      </c>
      <c r="H778" s="12" t="s">
        <v>6605</v>
      </c>
      <c r="I778" s="41" t="s">
        <v>7028</v>
      </c>
      <c r="M778" s="41" t="e">
        <f>VLOOKUP(I778,错误mRNA总表!D:I,6,FALSE)</f>
        <v>#N/A</v>
      </c>
    </row>
    <row r="779" spans="1:13" x14ac:dyDescent="0.2">
      <c r="A779" s="12" t="s">
        <v>4445</v>
      </c>
      <c r="B779" s="12" t="s">
        <v>3957</v>
      </c>
      <c r="C779" s="12">
        <v>27676440</v>
      </c>
      <c r="D779" s="12">
        <v>27679010</v>
      </c>
      <c r="E779" s="12" t="s">
        <v>3943</v>
      </c>
      <c r="F779" s="12">
        <v>1</v>
      </c>
      <c r="G779" s="41" t="s">
        <v>36</v>
      </c>
      <c r="H779" s="12" t="s">
        <v>6605</v>
      </c>
      <c r="I779" s="41" t="s">
        <v>7028</v>
      </c>
      <c r="M779" s="41" t="e">
        <f>VLOOKUP(I779,错误mRNA总表!D:I,6,FALSE)</f>
        <v>#N/A</v>
      </c>
    </row>
    <row r="780" spans="1:13" x14ac:dyDescent="0.2">
      <c r="A780" s="12" t="s">
        <v>4445</v>
      </c>
      <c r="B780" s="12" t="s">
        <v>3957</v>
      </c>
      <c r="C780" s="12">
        <v>27676440</v>
      </c>
      <c r="D780" s="12">
        <v>27680343</v>
      </c>
      <c r="E780" s="12" t="s">
        <v>3940</v>
      </c>
      <c r="F780" s="12">
        <v>1</v>
      </c>
      <c r="G780" s="41" t="s">
        <v>36</v>
      </c>
      <c r="H780" s="12" t="s">
        <v>6605</v>
      </c>
      <c r="I780" s="41" t="s">
        <v>7028</v>
      </c>
      <c r="M780" s="41" t="e">
        <f>VLOOKUP(I780,错误mRNA总表!D:I,6,FALSE)</f>
        <v>#N/A</v>
      </c>
    </row>
    <row r="781" spans="1:13" x14ac:dyDescent="0.2">
      <c r="A781" s="12" t="s">
        <v>4445</v>
      </c>
      <c r="B781" s="12" t="s">
        <v>3957</v>
      </c>
      <c r="C781" s="12">
        <v>27676440</v>
      </c>
      <c r="D781" s="12">
        <v>27680362</v>
      </c>
      <c r="E781" s="12" t="s">
        <v>3943</v>
      </c>
      <c r="F781" s="12">
        <v>1</v>
      </c>
      <c r="G781" s="41" t="s">
        <v>36</v>
      </c>
      <c r="H781" s="12" t="s">
        <v>6605</v>
      </c>
      <c r="I781" s="41" t="s">
        <v>7028</v>
      </c>
      <c r="M781" s="41" t="e">
        <f>VLOOKUP(I781,错误mRNA总表!D:I,6,FALSE)</f>
        <v>#N/A</v>
      </c>
    </row>
    <row r="782" spans="1:13" x14ac:dyDescent="0.2">
      <c r="A782" s="12" t="s">
        <v>4186</v>
      </c>
      <c r="B782" s="12" t="s">
        <v>3964</v>
      </c>
      <c r="C782" s="12">
        <v>1150003</v>
      </c>
      <c r="D782" s="12">
        <v>1150242</v>
      </c>
      <c r="E782" s="12" t="s">
        <v>3940</v>
      </c>
      <c r="F782" s="12">
        <v>6</v>
      </c>
      <c r="H782" s="12" t="s">
        <v>6398</v>
      </c>
      <c r="I782" s="41" t="s">
        <v>7029</v>
      </c>
      <c r="M782" s="41" t="e">
        <f>VLOOKUP(I782,错误mRNA总表!D:I,6,FALSE)</f>
        <v>#N/A</v>
      </c>
    </row>
    <row r="783" spans="1:13" x14ac:dyDescent="0.2">
      <c r="A783" s="12" t="s">
        <v>4186</v>
      </c>
      <c r="B783" s="12" t="s">
        <v>3964</v>
      </c>
      <c r="C783" s="12">
        <v>1150003</v>
      </c>
      <c r="D783" s="12">
        <v>1151759</v>
      </c>
      <c r="E783" s="12" t="s">
        <v>3940</v>
      </c>
      <c r="F783" s="12">
        <v>1</v>
      </c>
      <c r="H783" s="12" t="s">
        <v>6398</v>
      </c>
      <c r="I783" s="41" t="s">
        <v>7029</v>
      </c>
      <c r="M783" s="41" t="e">
        <f>VLOOKUP(I783,错误mRNA总表!D:I,6,FALSE)</f>
        <v>#N/A</v>
      </c>
    </row>
    <row r="784" spans="1:13" x14ac:dyDescent="0.2">
      <c r="A784" s="12" t="s">
        <v>4186</v>
      </c>
      <c r="B784" s="12" t="s">
        <v>3964</v>
      </c>
      <c r="C784" s="12">
        <v>1150003</v>
      </c>
      <c r="D784" s="12">
        <v>1151882</v>
      </c>
      <c r="E784" s="12" t="s">
        <v>3940</v>
      </c>
      <c r="F784" s="12">
        <v>1</v>
      </c>
      <c r="H784" s="12" t="s">
        <v>6398</v>
      </c>
      <c r="I784" s="41" t="s">
        <v>7029</v>
      </c>
      <c r="M784" s="41" t="e">
        <f>VLOOKUP(I784,错误mRNA总表!D:I,6,FALSE)</f>
        <v>#N/A</v>
      </c>
    </row>
    <row r="785" spans="1:13" x14ac:dyDescent="0.2">
      <c r="A785" s="12" t="s">
        <v>4186</v>
      </c>
      <c r="B785" s="12" t="s">
        <v>3964</v>
      </c>
      <c r="C785" s="12">
        <v>1150003</v>
      </c>
      <c r="D785" s="12">
        <v>1153158</v>
      </c>
      <c r="E785" s="12" t="s">
        <v>3940</v>
      </c>
      <c r="F785" s="12">
        <v>4</v>
      </c>
      <c r="H785" s="12" t="s">
        <v>6398</v>
      </c>
      <c r="I785" s="41" t="s">
        <v>7029</v>
      </c>
      <c r="M785" s="41" t="e">
        <f>VLOOKUP(I785,错误mRNA总表!D:I,6,FALSE)</f>
        <v>#N/A</v>
      </c>
    </row>
    <row r="786" spans="1:13" x14ac:dyDescent="0.2">
      <c r="A786" s="12" t="s">
        <v>4446</v>
      </c>
      <c r="B786" s="12" t="s">
        <v>3954</v>
      </c>
      <c r="C786" s="12">
        <v>53179</v>
      </c>
      <c r="D786" s="12">
        <v>85997</v>
      </c>
      <c r="E786" s="12" t="s">
        <v>3940</v>
      </c>
      <c r="F786" s="12">
        <v>1</v>
      </c>
      <c r="G786" s="41" t="s">
        <v>569</v>
      </c>
      <c r="H786" s="12" t="s">
        <v>5903</v>
      </c>
      <c r="I786" s="41" t="s">
        <v>7030</v>
      </c>
      <c r="M786" s="41" t="e">
        <f>VLOOKUP(I786,错误mRNA总表!D:I,6,FALSE)</f>
        <v>#N/A</v>
      </c>
    </row>
    <row r="787" spans="1:13" x14ac:dyDescent="0.2">
      <c r="A787" s="12" t="s">
        <v>4446</v>
      </c>
      <c r="B787" s="12" t="s">
        <v>3954</v>
      </c>
      <c r="C787" s="12">
        <v>53179</v>
      </c>
      <c r="D787" s="12">
        <v>86017</v>
      </c>
      <c r="E787" s="12" t="s">
        <v>3940</v>
      </c>
      <c r="F787" s="12">
        <v>1</v>
      </c>
      <c r="G787" s="41" t="s">
        <v>569</v>
      </c>
      <c r="H787" s="12" t="s">
        <v>5903</v>
      </c>
      <c r="I787" s="41" t="s">
        <v>7030</v>
      </c>
      <c r="M787" s="41" t="e">
        <f>VLOOKUP(I787,错误mRNA总表!D:I,6,FALSE)</f>
        <v>#N/A</v>
      </c>
    </row>
    <row r="788" spans="1:13" x14ac:dyDescent="0.2">
      <c r="A788" s="12" t="s">
        <v>4446</v>
      </c>
      <c r="B788" s="12" t="s">
        <v>3954</v>
      </c>
      <c r="C788" s="12">
        <v>53179</v>
      </c>
      <c r="D788" s="12">
        <v>86032</v>
      </c>
      <c r="E788" s="12" t="s">
        <v>3943</v>
      </c>
      <c r="F788" s="12">
        <v>2</v>
      </c>
      <c r="G788" s="41" t="s">
        <v>569</v>
      </c>
      <c r="H788" s="12" t="s">
        <v>5903</v>
      </c>
      <c r="I788" s="41" t="s">
        <v>7030</v>
      </c>
      <c r="M788" s="41" t="e">
        <f>VLOOKUP(I788,错误mRNA总表!D:I,6,FALSE)</f>
        <v>#N/A</v>
      </c>
    </row>
    <row r="789" spans="1:13" x14ac:dyDescent="0.2">
      <c r="A789" s="12" t="s">
        <v>4446</v>
      </c>
      <c r="B789" s="12" t="s">
        <v>3954</v>
      </c>
      <c r="C789" s="12">
        <v>53179</v>
      </c>
      <c r="D789" s="12">
        <v>86102</v>
      </c>
      <c r="E789" s="12" t="s">
        <v>3940</v>
      </c>
      <c r="F789" s="12">
        <v>1</v>
      </c>
      <c r="G789" s="41" t="s">
        <v>569</v>
      </c>
      <c r="H789" s="12" t="s">
        <v>5903</v>
      </c>
      <c r="I789" s="41" t="s">
        <v>7030</v>
      </c>
      <c r="M789" s="41" t="e">
        <f>VLOOKUP(I789,错误mRNA总表!D:I,6,FALSE)</f>
        <v>#N/A</v>
      </c>
    </row>
    <row r="790" spans="1:13" x14ac:dyDescent="0.2">
      <c r="A790" s="12" t="s">
        <v>4446</v>
      </c>
      <c r="B790" s="12" t="s">
        <v>3954</v>
      </c>
      <c r="C790" s="12">
        <v>53179</v>
      </c>
      <c r="D790" s="12">
        <v>87314</v>
      </c>
      <c r="E790" s="12" t="s">
        <v>3940</v>
      </c>
      <c r="F790" s="12">
        <v>1</v>
      </c>
      <c r="G790" s="41" t="s">
        <v>569</v>
      </c>
      <c r="H790" s="12" t="s">
        <v>5903</v>
      </c>
      <c r="I790" s="41" t="s">
        <v>7030</v>
      </c>
      <c r="M790" s="41" t="e">
        <f>VLOOKUP(I790,错误mRNA总表!D:I,6,FALSE)</f>
        <v>#N/A</v>
      </c>
    </row>
    <row r="791" spans="1:13" x14ac:dyDescent="0.2">
      <c r="A791" s="12" t="s">
        <v>4446</v>
      </c>
      <c r="B791" s="12" t="s">
        <v>3954</v>
      </c>
      <c r="C791" s="12">
        <v>53179</v>
      </c>
      <c r="D791" s="12">
        <v>87626</v>
      </c>
      <c r="E791" s="12" t="s">
        <v>3940</v>
      </c>
      <c r="F791" s="12">
        <v>1</v>
      </c>
      <c r="G791" s="41" t="s">
        <v>569</v>
      </c>
      <c r="H791" s="12" t="s">
        <v>5903</v>
      </c>
      <c r="I791" s="41" t="s">
        <v>7030</v>
      </c>
      <c r="M791" s="41" t="e">
        <f>VLOOKUP(I791,错误mRNA总表!D:I,6,FALSE)</f>
        <v>#N/A</v>
      </c>
    </row>
    <row r="792" spans="1:13" x14ac:dyDescent="0.2">
      <c r="A792" s="12" t="s">
        <v>4447</v>
      </c>
      <c r="B792" s="12" t="s">
        <v>3989</v>
      </c>
      <c r="C792" s="12">
        <v>2959804</v>
      </c>
      <c r="D792" s="12">
        <v>2959820</v>
      </c>
      <c r="E792" s="12" t="s">
        <v>3943</v>
      </c>
      <c r="F792" s="12">
        <v>5</v>
      </c>
      <c r="H792" s="12" t="s">
        <v>3567</v>
      </c>
      <c r="I792" s="41" t="s">
        <v>7031</v>
      </c>
      <c r="M792" s="41" t="e">
        <f>VLOOKUP(I792,错误mRNA总表!D:I,6,FALSE)</f>
        <v>#N/A</v>
      </c>
    </row>
    <row r="793" spans="1:13" x14ac:dyDescent="0.2">
      <c r="A793" s="12" t="s">
        <v>4447</v>
      </c>
      <c r="B793" s="12" t="s">
        <v>3989</v>
      </c>
      <c r="C793" s="12">
        <v>2959804</v>
      </c>
      <c r="D793" s="12">
        <v>2960280</v>
      </c>
      <c r="E793" s="12" t="s">
        <v>3943</v>
      </c>
      <c r="F793" s="12">
        <v>1</v>
      </c>
      <c r="H793" s="12" t="s">
        <v>3567</v>
      </c>
      <c r="I793" s="41" t="s">
        <v>7031</v>
      </c>
      <c r="M793" s="41" t="e">
        <f>VLOOKUP(I793,错误mRNA总表!D:I,6,FALSE)</f>
        <v>#N/A</v>
      </c>
    </row>
    <row r="794" spans="1:13" x14ac:dyDescent="0.2">
      <c r="A794" s="12" t="s">
        <v>4447</v>
      </c>
      <c r="B794" s="12" t="s">
        <v>3989</v>
      </c>
      <c r="C794" s="12">
        <v>2959804</v>
      </c>
      <c r="D794" s="12">
        <v>2960400</v>
      </c>
      <c r="E794" s="12" t="s">
        <v>3940</v>
      </c>
      <c r="F794" s="12">
        <v>1</v>
      </c>
      <c r="H794" s="12" t="s">
        <v>3567</v>
      </c>
      <c r="I794" s="41" t="s">
        <v>7031</v>
      </c>
      <c r="M794" s="41" t="e">
        <f>VLOOKUP(I794,错误mRNA总表!D:I,6,FALSE)</f>
        <v>#N/A</v>
      </c>
    </row>
    <row r="795" spans="1:13" x14ac:dyDescent="0.2">
      <c r="A795" s="12" t="s">
        <v>4448</v>
      </c>
      <c r="B795" s="12" t="s">
        <v>3962</v>
      </c>
      <c r="C795" s="12">
        <v>35202010</v>
      </c>
      <c r="D795" s="12">
        <v>35221684</v>
      </c>
      <c r="E795" s="12" t="s">
        <v>3943</v>
      </c>
      <c r="F795" s="12">
        <v>4</v>
      </c>
      <c r="G795" s="41" t="s">
        <v>53</v>
      </c>
      <c r="H795" s="12" t="s">
        <v>6624</v>
      </c>
      <c r="I795" s="41" t="s">
        <v>7032</v>
      </c>
      <c r="M795" s="41" t="e">
        <f>VLOOKUP(I795,错误mRNA总表!D:I,6,FALSE)</f>
        <v>#N/A</v>
      </c>
    </row>
    <row r="796" spans="1:13" x14ac:dyDescent="0.2">
      <c r="A796" s="12" t="s">
        <v>4449</v>
      </c>
      <c r="B796" s="12" t="s">
        <v>3957</v>
      </c>
      <c r="C796" s="12">
        <v>35453374</v>
      </c>
      <c r="D796" s="12">
        <v>35453796</v>
      </c>
      <c r="E796" s="12" t="s">
        <v>3943</v>
      </c>
      <c r="F796" s="12">
        <v>1</v>
      </c>
      <c r="G796" s="41" t="s">
        <v>36</v>
      </c>
      <c r="H796" s="12" t="s">
        <v>6444</v>
      </c>
      <c r="I796" s="41" t="s">
        <v>7033</v>
      </c>
      <c r="M796" s="41" t="e">
        <f>VLOOKUP(I796,错误mRNA总表!D:I,6,FALSE)</f>
        <v>#N/A</v>
      </c>
    </row>
    <row r="797" spans="1:13" x14ac:dyDescent="0.2">
      <c r="A797" s="12" t="s">
        <v>4450</v>
      </c>
      <c r="B797" s="12" t="s">
        <v>3989</v>
      </c>
      <c r="C797" s="12">
        <v>2793463</v>
      </c>
      <c r="D797" s="12">
        <v>2793546</v>
      </c>
      <c r="E797" s="12" t="s">
        <v>3940</v>
      </c>
      <c r="F797" s="12">
        <v>4</v>
      </c>
      <c r="H797" s="12" t="s">
        <v>5904</v>
      </c>
      <c r="I797" s="41" t="s">
        <v>7034</v>
      </c>
      <c r="M797" s="41" t="e">
        <f>VLOOKUP(I797,错误mRNA总表!D:I,6,FALSE)</f>
        <v>#N/A</v>
      </c>
    </row>
    <row r="798" spans="1:13" x14ac:dyDescent="0.2">
      <c r="A798" s="12" t="s">
        <v>4450</v>
      </c>
      <c r="B798" s="12" t="s">
        <v>3989</v>
      </c>
      <c r="C798" s="12">
        <v>2793463</v>
      </c>
      <c r="D798" s="12">
        <v>2793551</v>
      </c>
      <c r="E798" s="12" t="s">
        <v>3943</v>
      </c>
      <c r="F798" s="12">
        <v>4</v>
      </c>
      <c r="H798" s="12" t="s">
        <v>5904</v>
      </c>
      <c r="I798" s="41" t="s">
        <v>7034</v>
      </c>
      <c r="M798" s="41" t="e">
        <f>VLOOKUP(I798,错误mRNA总表!D:I,6,FALSE)</f>
        <v>#N/A</v>
      </c>
    </row>
    <row r="799" spans="1:13" x14ac:dyDescent="0.2">
      <c r="A799" s="12" t="s">
        <v>4450</v>
      </c>
      <c r="B799" s="12" t="s">
        <v>3989</v>
      </c>
      <c r="C799" s="12">
        <v>2793463</v>
      </c>
      <c r="D799" s="12">
        <v>2793557</v>
      </c>
      <c r="E799" s="12" t="s">
        <v>3943</v>
      </c>
      <c r="F799" s="12">
        <v>5</v>
      </c>
      <c r="H799" s="12" t="s">
        <v>5904</v>
      </c>
      <c r="I799" s="41" t="s">
        <v>7034</v>
      </c>
      <c r="M799" s="41" t="e">
        <f>VLOOKUP(I799,错误mRNA总表!D:I,6,FALSE)</f>
        <v>#N/A</v>
      </c>
    </row>
    <row r="800" spans="1:13" x14ac:dyDescent="0.2">
      <c r="A800" s="12" t="s">
        <v>4450</v>
      </c>
      <c r="B800" s="12" t="s">
        <v>3989</v>
      </c>
      <c r="C800" s="12">
        <v>2793463</v>
      </c>
      <c r="D800" s="12">
        <v>2808573</v>
      </c>
      <c r="E800" s="12" t="s">
        <v>3940</v>
      </c>
      <c r="F800" s="12">
        <v>2</v>
      </c>
      <c r="H800" s="12" t="s">
        <v>5904</v>
      </c>
      <c r="I800" s="41" t="s">
        <v>7034</v>
      </c>
      <c r="M800" s="41" t="e">
        <f>VLOOKUP(I800,错误mRNA总表!D:I,6,FALSE)</f>
        <v>#N/A</v>
      </c>
    </row>
    <row r="801" spans="1:13" x14ac:dyDescent="0.2">
      <c r="A801" s="12" t="s">
        <v>4450</v>
      </c>
      <c r="B801" s="12" t="s">
        <v>3989</v>
      </c>
      <c r="C801" s="12">
        <v>2793463</v>
      </c>
      <c r="D801" s="12">
        <v>2809142</v>
      </c>
      <c r="E801" s="12" t="s">
        <v>3943</v>
      </c>
      <c r="F801" s="12">
        <v>6</v>
      </c>
      <c r="H801" s="12" t="s">
        <v>5904</v>
      </c>
      <c r="I801" s="41" t="s">
        <v>7034</v>
      </c>
      <c r="M801" s="41" t="e">
        <f>VLOOKUP(I801,错误mRNA总表!D:I,6,FALSE)</f>
        <v>#N/A</v>
      </c>
    </row>
    <row r="802" spans="1:13" x14ac:dyDescent="0.2">
      <c r="A802" s="12" t="s">
        <v>4451</v>
      </c>
      <c r="B802" s="12" t="s">
        <v>3948</v>
      </c>
      <c r="C802" s="12">
        <v>142560514</v>
      </c>
      <c r="D802" s="12">
        <v>142560588</v>
      </c>
      <c r="E802" s="12" t="s">
        <v>3943</v>
      </c>
      <c r="F802" s="12">
        <v>1</v>
      </c>
      <c r="G802" s="41" t="s">
        <v>40</v>
      </c>
      <c r="H802" s="12" t="s">
        <v>3598</v>
      </c>
      <c r="I802" s="41" t="s">
        <v>7035</v>
      </c>
      <c r="M802" s="41" t="e">
        <f>VLOOKUP(I802,错误mRNA总表!D:I,6,FALSE)</f>
        <v>#N/A</v>
      </c>
    </row>
    <row r="803" spans="1:13" x14ac:dyDescent="0.2">
      <c r="A803" s="12" t="s">
        <v>4451</v>
      </c>
      <c r="B803" s="12" t="s">
        <v>3948</v>
      </c>
      <c r="C803" s="12">
        <v>142560514</v>
      </c>
      <c r="D803" s="12">
        <v>142562076</v>
      </c>
      <c r="E803" s="12" t="s">
        <v>3940</v>
      </c>
      <c r="F803" s="12">
        <v>3</v>
      </c>
      <c r="G803" s="41" t="s">
        <v>40</v>
      </c>
      <c r="H803" s="12" t="s">
        <v>3598</v>
      </c>
      <c r="I803" s="41" t="s">
        <v>7035</v>
      </c>
      <c r="M803" s="41" t="e">
        <f>VLOOKUP(I803,错误mRNA总表!D:I,6,FALSE)</f>
        <v>#N/A</v>
      </c>
    </row>
    <row r="804" spans="1:13" x14ac:dyDescent="0.2">
      <c r="A804" s="12" t="s">
        <v>4451</v>
      </c>
      <c r="B804" s="12" t="s">
        <v>3948</v>
      </c>
      <c r="C804" s="12">
        <v>142560514</v>
      </c>
      <c r="D804" s="12">
        <v>142568772</v>
      </c>
      <c r="E804" s="12" t="s">
        <v>3943</v>
      </c>
      <c r="F804" s="12">
        <v>1</v>
      </c>
      <c r="G804" s="41" t="s">
        <v>40</v>
      </c>
      <c r="H804" s="12" t="s">
        <v>3598</v>
      </c>
      <c r="I804" s="41" t="s">
        <v>7035</v>
      </c>
      <c r="M804" s="41" t="e">
        <f>VLOOKUP(I804,错误mRNA总表!D:I,6,FALSE)</f>
        <v>#N/A</v>
      </c>
    </row>
    <row r="805" spans="1:13" x14ac:dyDescent="0.2">
      <c r="A805" s="12" t="s">
        <v>4452</v>
      </c>
      <c r="B805" s="12" t="s">
        <v>4052</v>
      </c>
      <c r="C805" s="12">
        <v>89623195</v>
      </c>
      <c r="D805" s="12">
        <v>89623860</v>
      </c>
      <c r="E805" s="12" t="s">
        <v>3943</v>
      </c>
      <c r="F805" s="12">
        <v>1</v>
      </c>
      <c r="G805" s="41" t="s">
        <v>93</v>
      </c>
      <c r="H805" s="12" t="s">
        <v>5905</v>
      </c>
      <c r="I805" s="41" t="s">
        <v>7036</v>
      </c>
      <c r="M805" s="41" t="e">
        <f>VLOOKUP(I805,错误mRNA总表!D:I,6,FALSE)</f>
        <v>#N/A</v>
      </c>
    </row>
    <row r="806" spans="1:13" x14ac:dyDescent="0.2">
      <c r="A806" s="12" t="s">
        <v>4453</v>
      </c>
      <c r="B806" s="12" t="s">
        <v>3996</v>
      </c>
      <c r="C806" s="12">
        <v>2641060</v>
      </c>
      <c r="D806" s="12">
        <v>2646363</v>
      </c>
      <c r="E806" s="12" t="s">
        <v>3943</v>
      </c>
      <c r="F806" s="12">
        <v>1</v>
      </c>
      <c r="H806" s="12" t="s">
        <v>3554</v>
      </c>
      <c r="I806" s="41" t="s">
        <v>7037</v>
      </c>
      <c r="M806" s="41" t="e">
        <f>VLOOKUP(I806,错误mRNA总表!D:I,6,FALSE)</f>
        <v>#N/A</v>
      </c>
    </row>
    <row r="807" spans="1:13" x14ac:dyDescent="0.2">
      <c r="A807" s="12" t="s">
        <v>4454</v>
      </c>
      <c r="B807" s="12" t="s">
        <v>3986</v>
      </c>
      <c r="C807" s="12">
        <v>4910105</v>
      </c>
      <c r="D807" s="12">
        <v>4954680</v>
      </c>
      <c r="E807" s="12" t="s">
        <v>3940</v>
      </c>
      <c r="F807" s="12">
        <v>1</v>
      </c>
      <c r="G807" s="41" t="s">
        <v>50</v>
      </c>
      <c r="H807" s="12" t="s">
        <v>5906</v>
      </c>
      <c r="I807" s="41" t="s">
        <v>7038</v>
      </c>
      <c r="M807" s="41" t="e">
        <f>VLOOKUP(I807,错误mRNA总表!D:I,6,FALSE)</f>
        <v>#N/A</v>
      </c>
    </row>
    <row r="808" spans="1:13" x14ac:dyDescent="0.2">
      <c r="A808" s="12" t="s">
        <v>4455</v>
      </c>
      <c r="B808" s="12" t="s">
        <v>3962</v>
      </c>
      <c r="C808" s="12">
        <v>278204</v>
      </c>
      <c r="D808" s="12">
        <v>278687</v>
      </c>
      <c r="E808" s="12" t="s">
        <v>3943</v>
      </c>
      <c r="F808" s="12">
        <v>3</v>
      </c>
      <c r="G808" s="41" t="s">
        <v>53</v>
      </c>
      <c r="H808" s="12" t="s">
        <v>1291</v>
      </c>
      <c r="I808" s="41" t="s">
        <v>2290</v>
      </c>
      <c r="J808" s="41" t="s">
        <v>2290</v>
      </c>
      <c r="K808" s="41" t="str">
        <f>VLOOKUP(J808,错误mRNA总表!D:J,7,FALSE)</f>
        <v>纠后正确，少1个氨基酸chr20:278691-279442</v>
      </c>
      <c r="L808" s="41" t="s">
        <v>8340</v>
      </c>
      <c r="M808" s="41">
        <f>VLOOKUP(I808,错误mRNA总表!D:I,6,FALSE)</f>
        <v>0</v>
      </c>
    </row>
    <row r="809" spans="1:13" x14ac:dyDescent="0.2">
      <c r="A809" s="12" t="s">
        <v>4456</v>
      </c>
      <c r="B809" s="12" t="s">
        <v>4457</v>
      </c>
      <c r="C809" s="12">
        <v>29325</v>
      </c>
      <c r="D809" s="12">
        <v>29388</v>
      </c>
      <c r="E809" s="12" t="s">
        <v>3940</v>
      </c>
      <c r="F809" s="12">
        <v>3</v>
      </c>
      <c r="H809" s="12" t="s">
        <v>5907</v>
      </c>
      <c r="I809" s="41" t="s">
        <v>7039</v>
      </c>
      <c r="M809" s="41" t="e">
        <f>VLOOKUP(I809,错误mRNA总表!D:I,6,FALSE)</f>
        <v>#N/A</v>
      </c>
    </row>
    <row r="810" spans="1:13" x14ac:dyDescent="0.2">
      <c r="A810" s="12" t="s">
        <v>4456</v>
      </c>
      <c r="B810" s="12" t="s">
        <v>4457</v>
      </c>
      <c r="C810" s="12">
        <v>29325</v>
      </c>
      <c r="D810" s="12">
        <v>29398</v>
      </c>
      <c r="E810" s="12" t="s">
        <v>3940</v>
      </c>
      <c r="F810" s="12">
        <v>3</v>
      </c>
      <c r="H810" s="12" t="s">
        <v>5907</v>
      </c>
      <c r="I810" s="41" t="s">
        <v>7039</v>
      </c>
      <c r="M810" s="41" t="e">
        <f>VLOOKUP(I810,错误mRNA总表!D:I,6,FALSE)</f>
        <v>#N/A</v>
      </c>
    </row>
    <row r="811" spans="1:13" x14ac:dyDescent="0.2">
      <c r="A811" s="12" t="s">
        <v>4456</v>
      </c>
      <c r="B811" s="12" t="s">
        <v>4457</v>
      </c>
      <c r="C811" s="12">
        <v>29325</v>
      </c>
      <c r="D811" s="12">
        <v>29433</v>
      </c>
      <c r="E811" s="12" t="s">
        <v>3940</v>
      </c>
      <c r="F811" s="12">
        <v>4</v>
      </c>
      <c r="H811" s="12" t="s">
        <v>5907</v>
      </c>
      <c r="I811" s="41" t="s">
        <v>7039</v>
      </c>
      <c r="M811" s="41" t="e">
        <f>VLOOKUP(I811,错误mRNA总表!D:I,6,FALSE)</f>
        <v>#N/A</v>
      </c>
    </row>
    <row r="812" spans="1:13" x14ac:dyDescent="0.2">
      <c r="A812" s="12" t="s">
        <v>4456</v>
      </c>
      <c r="B812" s="12" t="s">
        <v>4457</v>
      </c>
      <c r="C812" s="12">
        <v>29325</v>
      </c>
      <c r="D812" s="12">
        <v>29635</v>
      </c>
      <c r="E812" s="12" t="s">
        <v>3943</v>
      </c>
      <c r="F812" s="12">
        <v>4</v>
      </c>
      <c r="H812" s="12" t="s">
        <v>5907</v>
      </c>
      <c r="I812" s="41" t="s">
        <v>7039</v>
      </c>
      <c r="M812" s="41" t="e">
        <f>VLOOKUP(I812,错误mRNA总表!D:I,6,FALSE)</f>
        <v>#N/A</v>
      </c>
    </row>
    <row r="813" spans="1:13" x14ac:dyDescent="0.2">
      <c r="A813" s="12" t="s">
        <v>4456</v>
      </c>
      <c r="B813" s="12" t="s">
        <v>4457</v>
      </c>
      <c r="C813" s="12">
        <v>29325</v>
      </c>
      <c r="D813" s="12">
        <v>29734</v>
      </c>
      <c r="E813" s="12" t="s">
        <v>3943</v>
      </c>
      <c r="F813" s="12">
        <v>7</v>
      </c>
      <c r="H813" s="12" t="s">
        <v>5907</v>
      </c>
      <c r="I813" s="41" t="s">
        <v>7039</v>
      </c>
      <c r="M813" s="41" t="e">
        <f>VLOOKUP(I813,错误mRNA总表!D:I,6,FALSE)</f>
        <v>#N/A</v>
      </c>
    </row>
    <row r="814" spans="1:13" x14ac:dyDescent="0.2">
      <c r="A814" s="12" t="s">
        <v>4456</v>
      </c>
      <c r="B814" s="12" t="s">
        <v>4457</v>
      </c>
      <c r="C814" s="12">
        <v>29325</v>
      </c>
      <c r="D814" s="12">
        <v>29747</v>
      </c>
      <c r="E814" s="12" t="s">
        <v>3940</v>
      </c>
      <c r="F814" s="12">
        <v>2</v>
      </c>
      <c r="H814" s="12" t="s">
        <v>5907</v>
      </c>
      <c r="I814" s="41" t="s">
        <v>7039</v>
      </c>
      <c r="M814" s="41" t="e">
        <f>VLOOKUP(I814,错误mRNA总表!D:I,6,FALSE)</f>
        <v>#N/A</v>
      </c>
    </row>
    <row r="815" spans="1:13" x14ac:dyDescent="0.2">
      <c r="A815" s="12" t="s">
        <v>4456</v>
      </c>
      <c r="B815" s="12" t="s">
        <v>4457</v>
      </c>
      <c r="C815" s="12">
        <v>29325</v>
      </c>
      <c r="D815" s="12">
        <v>29969</v>
      </c>
      <c r="E815" s="12" t="s">
        <v>3943</v>
      </c>
      <c r="F815" s="12">
        <v>6</v>
      </c>
      <c r="H815" s="12" t="s">
        <v>5907</v>
      </c>
      <c r="I815" s="41" t="s">
        <v>7039</v>
      </c>
      <c r="M815" s="41" t="e">
        <f>VLOOKUP(I815,错误mRNA总表!D:I,6,FALSE)</f>
        <v>#N/A</v>
      </c>
    </row>
    <row r="816" spans="1:13" x14ac:dyDescent="0.2">
      <c r="A816" s="12" t="s">
        <v>4456</v>
      </c>
      <c r="B816" s="12" t="s">
        <v>4457</v>
      </c>
      <c r="C816" s="12">
        <v>29325</v>
      </c>
      <c r="D816" s="12">
        <v>29993</v>
      </c>
      <c r="E816" s="12" t="s">
        <v>3943</v>
      </c>
      <c r="F816" s="12">
        <v>1</v>
      </c>
      <c r="H816" s="12" t="s">
        <v>5907</v>
      </c>
      <c r="I816" s="41" t="s">
        <v>7039</v>
      </c>
      <c r="M816" s="41" t="e">
        <f>VLOOKUP(I816,错误mRNA总表!D:I,6,FALSE)</f>
        <v>#N/A</v>
      </c>
    </row>
    <row r="817" spans="1:13" x14ac:dyDescent="0.2">
      <c r="A817" s="12" t="s">
        <v>4456</v>
      </c>
      <c r="B817" s="12" t="s">
        <v>4457</v>
      </c>
      <c r="C817" s="12">
        <v>29325</v>
      </c>
      <c r="D817" s="12">
        <v>30161</v>
      </c>
      <c r="E817" s="12" t="s">
        <v>3943</v>
      </c>
      <c r="F817" s="12">
        <v>10</v>
      </c>
      <c r="H817" s="12" t="s">
        <v>5907</v>
      </c>
      <c r="I817" s="41" t="s">
        <v>7039</v>
      </c>
      <c r="M817" s="41" t="e">
        <f>VLOOKUP(I817,错误mRNA总表!D:I,6,FALSE)</f>
        <v>#N/A</v>
      </c>
    </row>
    <row r="818" spans="1:13" x14ac:dyDescent="0.2">
      <c r="A818" s="12" t="s">
        <v>4456</v>
      </c>
      <c r="B818" s="12" t="s">
        <v>4457</v>
      </c>
      <c r="C818" s="12">
        <v>29325</v>
      </c>
      <c r="D818" s="12">
        <v>30351</v>
      </c>
      <c r="E818" s="12" t="s">
        <v>3943</v>
      </c>
      <c r="F818" s="12">
        <v>2</v>
      </c>
      <c r="H818" s="12" t="s">
        <v>5907</v>
      </c>
      <c r="I818" s="41" t="s">
        <v>7039</v>
      </c>
      <c r="M818" s="41" t="e">
        <f>VLOOKUP(I818,错误mRNA总表!D:I,6,FALSE)</f>
        <v>#N/A</v>
      </c>
    </row>
    <row r="819" spans="1:13" x14ac:dyDescent="0.2">
      <c r="A819" s="12" t="s">
        <v>4456</v>
      </c>
      <c r="B819" s="12" t="s">
        <v>4457</v>
      </c>
      <c r="C819" s="12">
        <v>29325</v>
      </c>
      <c r="D819" s="12">
        <v>30904</v>
      </c>
      <c r="E819" s="12" t="s">
        <v>3943</v>
      </c>
      <c r="F819" s="12">
        <v>1</v>
      </c>
      <c r="H819" s="12" t="s">
        <v>5907</v>
      </c>
      <c r="I819" s="41" t="s">
        <v>7039</v>
      </c>
      <c r="M819" s="41" t="e">
        <f>VLOOKUP(I819,错误mRNA总表!D:I,6,FALSE)</f>
        <v>#N/A</v>
      </c>
    </row>
    <row r="820" spans="1:13" x14ac:dyDescent="0.2">
      <c r="A820" s="12" t="s">
        <v>3959</v>
      </c>
      <c r="B820" s="12" t="s">
        <v>3986</v>
      </c>
      <c r="C820" s="12">
        <v>54694119</v>
      </c>
      <c r="D820" s="12">
        <v>54698196</v>
      </c>
      <c r="E820" s="12" t="s">
        <v>3943</v>
      </c>
      <c r="F820" s="12">
        <v>3</v>
      </c>
      <c r="G820" s="41" t="s">
        <v>50</v>
      </c>
      <c r="H820" s="12" t="s">
        <v>3650</v>
      </c>
      <c r="I820" s="41" t="s">
        <v>7040</v>
      </c>
      <c r="M820" s="41" t="e">
        <f>VLOOKUP(I820,错误mRNA总表!D:I,6,FALSE)</f>
        <v>#N/A</v>
      </c>
    </row>
    <row r="821" spans="1:13" x14ac:dyDescent="0.2">
      <c r="A821" s="12" t="s">
        <v>4458</v>
      </c>
      <c r="B821" s="12" t="s">
        <v>3964</v>
      </c>
      <c r="C821" s="12">
        <v>1150036</v>
      </c>
      <c r="D821" s="12">
        <v>1150242</v>
      </c>
      <c r="E821" s="12" t="s">
        <v>3940</v>
      </c>
      <c r="F821" s="12">
        <v>6</v>
      </c>
      <c r="H821" s="12" t="s">
        <v>6398</v>
      </c>
      <c r="I821" s="41" t="s">
        <v>7041</v>
      </c>
      <c r="M821" s="41" t="e">
        <f>VLOOKUP(I821,错误mRNA总表!D:I,6,FALSE)</f>
        <v>#N/A</v>
      </c>
    </row>
    <row r="822" spans="1:13" x14ac:dyDescent="0.2">
      <c r="A822" s="12" t="s">
        <v>4458</v>
      </c>
      <c r="B822" s="12" t="s">
        <v>3964</v>
      </c>
      <c r="C822" s="12">
        <v>1150036</v>
      </c>
      <c r="D822" s="12">
        <v>1151759</v>
      </c>
      <c r="E822" s="12" t="s">
        <v>3940</v>
      </c>
      <c r="F822" s="12">
        <v>1</v>
      </c>
      <c r="H822" s="12" t="s">
        <v>6398</v>
      </c>
      <c r="I822" s="41" t="s">
        <v>7041</v>
      </c>
      <c r="M822" s="41" t="e">
        <f>VLOOKUP(I822,错误mRNA总表!D:I,6,FALSE)</f>
        <v>#N/A</v>
      </c>
    </row>
    <row r="823" spans="1:13" x14ac:dyDescent="0.2">
      <c r="A823" s="12" t="s">
        <v>4458</v>
      </c>
      <c r="B823" s="12" t="s">
        <v>3964</v>
      </c>
      <c r="C823" s="12">
        <v>1150036</v>
      </c>
      <c r="D823" s="12">
        <v>1151882</v>
      </c>
      <c r="E823" s="12" t="s">
        <v>3940</v>
      </c>
      <c r="F823" s="12">
        <v>1</v>
      </c>
      <c r="H823" s="12" t="s">
        <v>6398</v>
      </c>
      <c r="I823" s="41" t="s">
        <v>7041</v>
      </c>
      <c r="M823" s="41" t="e">
        <f>VLOOKUP(I823,错误mRNA总表!D:I,6,FALSE)</f>
        <v>#N/A</v>
      </c>
    </row>
    <row r="824" spans="1:13" x14ac:dyDescent="0.2">
      <c r="A824" s="12" t="s">
        <v>4458</v>
      </c>
      <c r="B824" s="12" t="s">
        <v>3964</v>
      </c>
      <c r="C824" s="12">
        <v>1150036</v>
      </c>
      <c r="D824" s="12">
        <v>1153158</v>
      </c>
      <c r="E824" s="12" t="s">
        <v>3940</v>
      </c>
      <c r="F824" s="12">
        <v>4</v>
      </c>
      <c r="H824" s="12" t="s">
        <v>6398</v>
      </c>
      <c r="I824" s="41" t="s">
        <v>7041</v>
      </c>
      <c r="M824" s="41" t="e">
        <f>VLOOKUP(I824,错误mRNA总表!D:I,6,FALSE)</f>
        <v>#N/A</v>
      </c>
    </row>
    <row r="825" spans="1:13" x14ac:dyDescent="0.2">
      <c r="A825" s="12" t="s">
        <v>4194</v>
      </c>
      <c r="B825" s="12" t="s">
        <v>3964</v>
      </c>
      <c r="C825" s="12">
        <v>927947</v>
      </c>
      <c r="D825" s="12">
        <v>943295</v>
      </c>
      <c r="E825" s="12" t="s">
        <v>3940</v>
      </c>
      <c r="F825" s="12">
        <v>4</v>
      </c>
      <c r="H825" s="12" t="s">
        <v>3526</v>
      </c>
      <c r="I825" s="41" t="s">
        <v>7042</v>
      </c>
      <c r="M825" s="41" t="e">
        <f>VLOOKUP(I825,错误mRNA总表!D:I,6,FALSE)</f>
        <v>#N/A</v>
      </c>
    </row>
    <row r="826" spans="1:13" x14ac:dyDescent="0.2">
      <c r="A826" s="12" t="s">
        <v>4459</v>
      </c>
      <c r="B826" s="12" t="s">
        <v>4460</v>
      </c>
      <c r="C826" s="12">
        <v>60802</v>
      </c>
      <c r="D826" s="12">
        <v>86649</v>
      </c>
      <c r="E826" s="12" t="s">
        <v>3940</v>
      </c>
      <c r="F826" s="12">
        <v>3</v>
      </c>
      <c r="H826" s="12" t="s">
        <v>3627</v>
      </c>
      <c r="I826" s="41" t="s">
        <v>7043</v>
      </c>
      <c r="M826" s="41" t="e">
        <f>VLOOKUP(I826,错误mRNA总表!D:I,6,FALSE)</f>
        <v>#N/A</v>
      </c>
    </row>
    <row r="827" spans="1:13" x14ac:dyDescent="0.2">
      <c r="A827" s="12" t="s">
        <v>4132</v>
      </c>
      <c r="B827" s="12" t="s">
        <v>3986</v>
      </c>
      <c r="C827" s="12">
        <v>54694582</v>
      </c>
      <c r="D827" s="12">
        <v>54698196</v>
      </c>
      <c r="E827" s="12" t="s">
        <v>3943</v>
      </c>
      <c r="F827" s="12">
        <v>3</v>
      </c>
      <c r="G827" s="41" t="s">
        <v>50</v>
      </c>
      <c r="H827" s="12" t="s">
        <v>5810</v>
      </c>
      <c r="I827" s="41" t="s">
        <v>7044</v>
      </c>
      <c r="M827" s="41" t="e">
        <f>VLOOKUP(I827,错误mRNA总表!D:I,6,FALSE)</f>
        <v>#N/A</v>
      </c>
    </row>
    <row r="828" spans="1:13" x14ac:dyDescent="0.2">
      <c r="A828" s="12" t="s">
        <v>4458</v>
      </c>
      <c r="B828" s="12" t="s">
        <v>3984</v>
      </c>
      <c r="C828" s="12">
        <v>1150076</v>
      </c>
      <c r="D828" s="12">
        <v>1150282</v>
      </c>
      <c r="E828" s="12" t="s">
        <v>3940</v>
      </c>
      <c r="F828" s="12">
        <v>6</v>
      </c>
      <c r="H828" s="12" t="s">
        <v>6398</v>
      </c>
      <c r="I828" s="41" t="s">
        <v>7045</v>
      </c>
      <c r="M828" s="41" t="e">
        <f>VLOOKUP(I828,错误mRNA总表!D:I,6,FALSE)</f>
        <v>#N/A</v>
      </c>
    </row>
    <row r="829" spans="1:13" x14ac:dyDescent="0.2">
      <c r="A829" s="12" t="s">
        <v>4458</v>
      </c>
      <c r="B829" s="12" t="s">
        <v>3984</v>
      </c>
      <c r="C829" s="12">
        <v>1150076</v>
      </c>
      <c r="D829" s="12">
        <v>1151798</v>
      </c>
      <c r="E829" s="12" t="s">
        <v>3940</v>
      </c>
      <c r="F829" s="12">
        <v>1</v>
      </c>
      <c r="H829" s="12" t="s">
        <v>6398</v>
      </c>
      <c r="I829" s="41" t="s">
        <v>7045</v>
      </c>
      <c r="M829" s="41" t="e">
        <f>VLOOKUP(I829,错误mRNA总表!D:I,6,FALSE)</f>
        <v>#N/A</v>
      </c>
    </row>
    <row r="830" spans="1:13" x14ac:dyDescent="0.2">
      <c r="A830" s="12" t="s">
        <v>4458</v>
      </c>
      <c r="B830" s="12" t="s">
        <v>3984</v>
      </c>
      <c r="C830" s="12">
        <v>1150076</v>
      </c>
      <c r="D830" s="12">
        <v>1151921</v>
      </c>
      <c r="E830" s="12" t="s">
        <v>3940</v>
      </c>
      <c r="F830" s="12">
        <v>1</v>
      </c>
      <c r="H830" s="12" t="s">
        <v>6398</v>
      </c>
      <c r="I830" s="41" t="s">
        <v>7045</v>
      </c>
      <c r="M830" s="41" t="e">
        <f>VLOOKUP(I830,错误mRNA总表!D:I,6,FALSE)</f>
        <v>#N/A</v>
      </c>
    </row>
    <row r="831" spans="1:13" x14ac:dyDescent="0.2">
      <c r="A831" s="12" t="s">
        <v>4458</v>
      </c>
      <c r="B831" s="12" t="s">
        <v>3984</v>
      </c>
      <c r="C831" s="12">
        <v>1150076</v>
      </c>
      <c r="D831" s="12">
        <v>1153197</v>
      </c>
      <c r="E831" s="12" t="s">
        <v>3940</v>
      </c>
      <c r="F831" s="12">
        <v>4</v>
      </c>
      <c r="H831" s="12" t="s">
        <v>6398</v>
      </c>
      <c r="I831" s="41" t="s">
        <v>7045</v>
      </c>
      <c r="M831" s="41" t="e">
        <f>VLOOKUP(I831,错误mRNA总表!D:I,6,FALSE)</f>
        <v>#N/A</v>
      </c>
    </row>
    <row r="832" spans="1:13" x14ac:dyDescent="0.2">
      <c r="A832" s="12" t="s">
        <v>4461</v>
      </c>
      <c r="B832" s="12" t="s">
        <v>3948</v>
      </c>
      <c r="C832" s="12">
        <v>65112767</v>
      </c>
      <c r="D832" s="12">
        <v>65150717</v>
      </c>
      <c r="E832" s="12" t="s">
        <v>3940</v>
      </c>
      <c r="F832" s="12">
        <v>1</v>
      </c>
      <c r="G832" s="41" t="s">
        <v>40</v>
      </c>
      <c r="H832" s="12" t="s">
        <v>6054</v>
      </c>
      <c r="I832" s="41" t="s">
        <v>7046</v>
      </c>
      <c r="M832" s="41" t="e">
        <f>VLOOKUP(I832,错误mRNA总表!D:I,6,FALSE)</f>
        <v>#N/A</v>
      </c>
    </row>
    <row r="833" spans="1:13" x14ac:dyDescent="0.2">
      <c r="A833" s="12" t="s">
        <v>4388</v>
      </c>
      <c r="B833" s="12" t="s">
        <v>3969</v>
      </c>
      <c r="C833" s="12">
        <v>4567658</v>
      </c>
      <c r="D833" s="12">
        <v>4567711</v>
      </c>
      <c r="E833" s="12" t="s">
        <v>3943</v>
      </c>
      <c r="F833" s="12">
        <v>2</v>
      </c>
      <c r="H833" s="12" t="s">
        <v>3592</v>
      </c>
      <c r="I833" s="41" t="s">
        <v>7047</v>
      </c>
      <c r="M833" s="41" t="e">
        <f>VLOOKUP(I833,错误mRNA总表!D:I,6,FALSE)</f>
        <v>#N/A</v>
      </c>
    </row>
    <row r="834" spans="1:13" x14ac:dyDescent="0.2">
      <c r="A834" s="12" t="s">
        <v>4462</v>
      </c>
      <c r="B834" s="12" t="s">
        <v>4098</v>
      </c>
      <c r="C834" s="12">
        <v>248816</v>
      </c>
      <c r="D834" s="12">
        <v>248851</v>
      </c>
      <c r="E834" s="12" t="s">
        <v>3940</v>
      </c>
      <c r="F834" s="12">
        <v>2</v>
      </c>
      <c r="H834" s="12" t="s">
        <v>5908</v>
      </c>
      <c r="I834" s="41" t="s">
        <v>6844</v>
      </c>
      <c r="M834" s="41" t="e">
        <f>VLOOKUP(I834,错误mRNA总表!D:I,6,FALSE)</f>
        <v>#N/A</v>
      </c>
    </row>
    <row r="835" spans="1:13" x14ac:dyDescent="0.2">
      <c r="A835" s="12" t="s">
        <v>4463</v>
      </c>
      <c r="B835" s="12" t="s">
        <v>4098</v>
      </c>
      <c r="C835" s="12">
        <v>44262</v>
      </c>
      <c r="D835" s="12">
        <v>50700</v>
      </c>
      <c r="E835" s="12" t="s">
        <v>3943</v>
      </c>
      <c r="F835" s="12">
        <v>16</v>
      </c>
      <c r="H835" s="12" t="s">
        <v>5909</v>
      </c>
      <c r="I835" s="41" t="s">
        <v>7048</v>
      </c>
      <c r="M835" s="41" t="e">
        <f>VLOOKUP(I835,错误mRNA总表!D:I,6,FALSE)</f>
        <v>#N/A</v>
      </c>
    </row>
    <row r="836" spans="1:13" x14ac:dyDescent="0.2">
      <c r="A836" s="12" t="s">
        <v>4212</v>
      </c>
      <c r="B836" s="12" t="s">
        <v>4001</v>
      </c>
      <c r="C836" s="12">
        <v>3618628</v>
      </c>
      <c r="D836" s="12">
        <v>3618647</v>
      </c>
      <c r="E836" s="12" t="s">
        <v>3940</v>
      </c>
      <c r="F836" s="12">
        <v>43</v>
      </c>
      <c r="H836" s="12" t="s">
        <v>5831</v>
      </c>
      <c r="I836" s="41" t="s">
        <v>7049</v>
      </c>
      <c r="M836" s="41" t="e">
        <f>VLOOKUP(I836,错误mRNA总表!D:I,6,FALSE)</f>
        <v>#N/A</v>
      </c>
    </row>
    <row r="837" spans="1:13" x14ac:dyDescent="0.2">
      <c r="A837" s="12" t="s">
        <v>4212</v>
      </c>
      <c r="B837" s="12" t="s">
        <v>4001</v>
      </c>
      <c r="C837" s="12">
        <v>3618628</v>
      </c>
      <c r="D837" s="12">
        <v>3619527</v>
      </c>
      <c r="E837" s="12" t="s">
        <v>3940</v>
      </c>
      <c r="F837" s="12">
        <v>46</v>
      </c>
      <c r="H837" s="12" t="s">
        <v>5831</v>
      </c>
      <c r="I837" s="41" t="s">
        <v>7049</v>
      </c>
      <c r="M837" s="41" t="e">
        <f>VLOOKUP(I837,错误mRNA总表!D:I,6,FALSE)</f>
        <v>#N/A</v>
      </c>
    </row>
    <row r="838" spans="1:13" x14ac:dyDescent="0.2">
      <c r="A838" s="12" t="s">
        <v>4464</v>
      </c>
      <c r="B838" s="12" t="s">
        <v>4001</v>
      </c>
      <c r="C838" s="12">
        <v>1566817</v>
      </c>
      <c r="D838" s="12">
        <v>1602381</v>
      </c>
      <c r="E838" s="12" t="s">
        <v>3940</v>
      </c>
      <c r="F838" s="12">
        <v>66</v>
      </c>
      <c r="H838" s="12" t="s">
        <v>6399</v>
      </c>
      <c r="I838" s="41" t="s">
        <v>7050</v>
      </c>
      <c r="M838" s="41" t="e">
        <f>VLOOKUP(I838,错误mRNA总表!D:I,6,FALSE)</f>
        <v>#N/A</v>
      </c>
    </row>
    <row r="839" spans="1:13" x14ac:dyDescent="0.2">
      <c r="A839" s="12" t="s">
        <v>4464</v>
      </c>
      <c r="B839" s="12" t="s">
        <v>4001</v>
      </c>
      <c r="C839" s="12">
        <v>1566817</v>
      </c>
      <c r="D839" s="12">
        <v>1575659</v>
      </c>
      <c r="E839" s="12" t="s">
        <v>3940</v>
      </c>
      <c r="F839" s="12">
        <v>111</v>
      </c>
      <c r="H839" s="12" t="s">
        <v>6399</v>
      </c>
      <c r="I839" s="41" t="s">
        <v>7050</v>
      </c>
      <c r="M839" s="41" t="e">
        <f>VLOOKUP(I839,错误mRNA总表!D:I,6,FALSE)</f>
        <v>#N/A</v>
      </c>
    </row>
    <row r="840" spans="1:13" x14ac:dyDescent="0.2">
      <c r="A840" s="12" t="s">
        <v>4464</v>
      </c>
      <c r="B840" s="12" t="s">
        <v>4001</v>
      </c>
      <c r="C840" s="12">
        <v>1566817</v>
      </c>
      <c r="D840" s="12">
        <v>1602363</v>
      </c>
      <c r="E840" s="12" t="s">
        <v>3940</v>
      </c>
      <c r="F840" s="12">
        <v>1</v>
      </c>
      <c r="H840" s="12" t="s">
        <v>6399</v>
      </c>
      <c r="I840" s="41" t="s">
        <v>7050</v>
      </c>
      <c r="M840" s="41" t="e">
        <f>VLOOKUP(I840,错误mRNA总表!D:I,6,FALSE)</f>
        <v>#N/A</v>
      </c>
    </row>
    <row r="841" spans="1:13" x14ac:dyDescent="0.2">
      <c r="A841" s="12" t="s">
        <v>4464</v>
      </c>
      <c r="B841" s="12" t="s">
        <v>4001</v>
      </c>
      <c r="C841" s="12">
        <v>1566817</v>
      </c>
      <c r="D841" s="12">
        <v>1602373</v>
      </c>
      <c r="E841" s="12" t="s">
        <v>3940</v>
      </c>
      <c r="F841" s="12">
        <v>3</v>
      </c>
      <c r="H841" s="12" t="s">
        <v>6399</v>
      </c>
      <c r="I841" s="41" t="s">
        <v>7050</v>
      </c>
      <c r="M841" s="41" t="e">
        <f>VLOOKUP(I841,错误mRNA总表!D:I,6,FALSE)</f>
        <v>#N/A</v>
      </c>
    </row>
    <row r="842" spans="1:13" x14ac:dyDescent="0.2">
      <c r="A842" s="12" t="s">
        <v>4465</v>
      </c>
      <c r="B842" s="12" t="s">
        <v>4018</v>
      </c>
      <c r="C842" s="12">
        <v>17960918</v>
      </c>
      <c r="D842" s="12">
        <v>17981988</v>
      </c>
      <c r="E842" s="12" t="s">
        <v>3940</v>
      </c>
      <c r="F842" s="12">
        <v>1</v>
      </c>
      <c r="G842" s="41" t="s">
        <v>241</v>
      </c>
      <c r="H842" s="12" t="s">
        <v>5910</v>
      </c>
      <c r="I842" s="41" t="s">
        <v>7051</v>
      </c>
      <c r="M842" s="41" t="e">
        <f>VLOOKUP(I842,错误mRNA总表!D:I,6,FALSE)</f>
        <v>#N/A</v>
      </c>
    </row>
    <row r="843" spans="1:13" x14ac:dyDescent="0.2">
      <c r="A843" s="12" t="s">
        <v>3959</v>
      </c>
      <c r="B843" s="12" t="s">
        <v>4273</v>
      </c>
      <c r="C843" s="12">
        <v>165232</v>
      </c>
      <c r="D843" s="12">
        <v>169309</v>
      </c>
      <c r="E843" s="12" t="s">
        <v>3943</v>
      </c>
      <c r="F843" s="12">
        <v>3</v>
      </c>
      <c r="H843" s="12" t="s">
        <v>3650</v>
      </c>
      <c r="I843" s="41" t="s">
        <v>6637</v>
      </c>
      <c r="M843" s="41" t="e">
        <f>VLOOKUP(I843,错误mRNA总表!D:I,6,FALSE)</f>
        <v>#N/A</v>
      </c>
    </row>
    <row r="844" spans="1:13" x14ac:dyDescent="0.2">
      <c r="A844" s="12" t="s">
        <v>4466</v>
      </c>
      <c r="B844" s="12" t="s">
        <v>3948</v>
      </c>
      <c r="C844" s="12">
        <v>130146079</v>
      </c>
      <c r="D844" s="12">
        <v>130287359</v>
      </c>
      <c r="E844" s="12" t="s">
        <v>3940</v>
      </c>
      <c r="F844" s="12">
        <v>308</v>
      </c>
      <c r="G844" s="41" t="s">
        <v>40</v>
      </c>
      <c r="H844" s="12" t="s">
        <v>758</v>
      </c>
      <c r="I844" s="41" t="s">
        <v>2249</v>
      </c>
      <c r="J844" s="41" t="s">
        <v>2249</v>
      </c>
      <c r="K844" s="41" t="str">
        <f>VLOOKUP(J844,错误mRNA总表!D:J,7,FALSE)</f>
        <v>纠后正确，区间略有变化，加433个氨基酸chr7:130146517-130287359</v>
      </c>
      <c r="L844" s="41" t="s">
        <v>3866</v>
      </c>
      <c r="M844" s="41" t="str">
        <f>VLOOKUP(I844,错误mRNA总表!D:I,6,FALSE)</f>
        <v>纠后正确，区间略有变化，加433个氨基酸chr7:130146517-130287359</v>
      </c>
    </row>
    <row r="845" spans="1:13" x14ac:dyDescent="0.2">
      <c r="A845" s="12" t="s">
        <v>4466</v>
      </c>
      <c r="B845" s="12" t="s">
        <v>3948</v>
      </c>
      <c r="C845" s="12">
        <v>130146079</v>
      </c>
      <c r="D845" s="12">
        <v>130277168</v>
      </c>
      <c r="E845" s="12" t="s">
        <v>3940</v>
      </c>
      <c r="F845" s="12">
        <v>317</v>
      </c>
      <c r="G845" s="41" t="s">
        <v>40</v>
      </c>
      <c r="H845" s="12" t="s">
        <v>758</v>
      </c>
      <c r="I845" s="41" t="s">
        <v>2249</v>
      </c>
      <c r="J845" s="41" t="s">
        <v>2249</v>
      </c>
      <c r="K845" s="41" t="str">
        <f>VLOOKUP(J845,错误mRNA总表!D:J,7,FALSE)</f>
        <v>纠后正确，区间略有变化，加433个氨基酸chr7:130146517-130287359</v>
      </c>
      <c r="L845" s="41" t="s">
        <v>3866</v>
      </c>
      <c r="M845" s="41" t="str">
        <f>VLOOKUP(I845,错误mRNA总表!D:I,6,FALSE)</f>
        <v>纠后正确，区间略有变化，加433个氨基酸chr7:130146517-130287359</v>
      </c>
    </row>
    <row r="846" spans="1:13" x14ac:dyDescent="0.2">
      <c r="A846" s="12" t="s">
        <v>4466</v>
      </c>
      <c r="B846" s="12" t="s">
        <v>3948</v>
      </c>
      <c r="C846" s="12">
        <v>130146079</v>
      </c>
      <c r="D846" s="12">
        <v>130273732</v>
      </c>
      <c r="E846" s="12" t="s">
        <v>3940</v>
      </c>
      <c r="F846" s="12">
        <v>29</v>
      </c>
      <c r="G846" s="41" t="s">
        <v>40</v>
      </c>
      <c r="H846" s="12" t="s">
        <v>758</v>
      </c>
      <c r="I846" s="41" t="s">
        <v>2249</v>
      </c>
      <c r="J846" s="41" t="s">
        <v>2249</v>
      </c>
      <c r="K846" s="41" t="str">
        <f>VLOOKUP(J846,错误mRNA总表!D:J,7,FALSE)</f>
        <v>纠后正确，区间略有变化，加433个氨基酸chr7:130146517-130287359</v>
      </c>
      <c r="L846" s="41" t="s">
        <v>3866</v>
      </c>
      <c r="M846" s="41" t="str">
        <f>VLOOKUP(I846,错误mRNA总表!D:I,6,FALSE)</f>
        <v>纠后正确，区间略有变化，加433个氨基酸chr7:130146517-130287359</v>
      </c>
    </row>
    <row r="847" spans="1:13" x14ac:dyDescent="0.2">
      <c r="A847" s="12" t="s">
        <v>4466</v>
      </c>
      <c r="B847" s="12" t="s">
        <v>3948</v>
      </c>
      <c r="C847" s="12">
        <v>130146079</v>
      </c>
      <c r="D847" s="12">
        <v>130277162</v>
      </c>
      <c r="E847" s="12" t="s">
        <v>3940</v>
      </c>
      <c r="F847" s="12">
        <v>2</v>
      </c>
      <c r="G847" s="41" t="s">
        <v>40</v>
      </c>
      <c r="H847" s="12" t="s">
        <v>758</v>
      </c>
      <c r="I847" s="41" t="s">
        <v>2249</v>
      </c>
      <c r="J847" s="41" t="s">
        <v>2249</v>
      </c>
      <c r="K847" s="41" t="str">
        <f>VLOOKUP(J847,错误mRNA总表!D:J,7,FALSE)</f>
        <v>纠后正确，区间略有变化，加433个氨基酸chr7:130146517-130287359</v>
      </c>
      <c r="L847" s="41" t="s">
        <v>3866</v>
      </c>
      <c r="M847" s="41" t="str">
        <f>VLOOKUP(I847,错误mRNA总表!D:I,6,FALSE)</f>
        <v>纠后正确，区间略有变化，加433个氨基酸chr7:130146517-130287359</v>
      </c>
    </row>
    <row r="848" spans="1:13" x14ac:dyDescent="0.2">
      <c r="A848" s="12" t="s">
        <v>4466</v>
      </c>
      <c r="B848" s="12" t="s">
        <v>3948</v>
      </c>
      <c r="C848" s="12">
        <v>130146079</v>
      </c>
      <c r="D848" s="12">
        <v>130269215</v>
      </c>
      <c r="E848" s="12" t="s">
        <v>3940</v>
      </c>
      <c r="F848" s="12">
        <v>68</v>
      </c>
      <c r="G848" s="41" t="s">
        <v>40</v>
      </c>
      <c r="H848" s="12" t="s">
        <v>758</v>
      </c>
      <c r="I848" s="41" t="s">
        <v>2249</v>
      </c>
      <c r="J848" s="41" t="s">
        <v>2249</v>
      </c>
      <c r="K848" s="41" t="str">
        <f>VLOOKUP(J848,错误mRNA总表!D:J,7,FALSE)</f>
        <v>纠后正确，区间略有变化，加433个氨基酸chr7:130146517-130287359</v>
      </c>
      <c r="L848" s="41" t="s">
        <v>3866</v>
      </c>
      <c r="M848" s="41" t="str">
        <f>VLOOKUP(I848,错误mRNA总表!D:I,6,FALSE)</f>
        <v>纠后正确，区间略有变化，加433个氨基酸chr7:130146517-130287359</v>
      </c>
    </row>
    <row r="849" spans="1:13" x14ac:dyDescent="0.2">
      <c r="A849" s="12" t="s">
        <v>4466</v>
      </c>
      <c r="B849" s="12" t="s">
        <v>3948</v>
      </c>
      <c r="C849" s="12">
        <v>130146079</v>
      </c>
      <c r="D849" s="12">
        <v>130255198</v>
      </c>
      <c r="E849" s="12" t="s">
        <v>3940</v>
      </c>
      <c r="F849" s="12">
        <v>364</v>
      </c>
      <c r="G849" s="41" t="s">
        <v>40</v>
      </c>
      <c r="H849" s="12" t="s">
        <v>758</v>
      </c>
      <c r="I849" s="41" t="s">
        <v>2249</v>
      </c>
      <c r="J849" s="41" t="s">
        <v>2249</v>
      </c>
      <c r="K849" s="41" t="str">
        <f>VLOOKUP(J849,错误mRNA总表!D:J,7,FALSE)</f>
        <v>纠后正确，区间略有变化，加433个氨基酸chr7:130146517-130287359</v>
      </c>
      <c r="L849" s="41" t="s">
        <v>3866</v>
      </c>
      <c r="M849" s="41" t="str">
        <f>VLOOKUP(I849,错误mRNA总表!D:I,6,FALSE)</f>
        <v>纠后正确，区间略有变化，加433个氨基酸chr7:130146517-130287359</v>
      </c>
    </row>
    <row r="850" spans="1:13" x14ac:dyDescent="0.2">
      <c r="A850" s="12" t="s">
        <v>4466</v>
      </c>
      <c r="B850" s="12" t="s">
        <v>3948</v>
      </c>
      <c r="C850" s="12">
        <v>130146079</v>
      </c>
      <c r="D850" s="12">
        <v>130153710</v>
      </c>
      <c r="E850" s="12" t="s">
        <v>3943</v>
      </c>
      <c r="F850" s="12">
        <v>1</v>
      </c>
      <c r="G850" s="41" t="s">
        <v>40</v>
      </c>
      <c r="H850" s="12" t="s">
        <v>758</v>
      </c>
      <c r="I850" s="41" t="s">
        <v>2249</v>
      </c>
      <c r="J850" s="41" t="s">
        <v>2249</v>
      </c>
      <c r="K850" s="41" t="str">
        <f>VLOOKUP(J850,错误mRNA总表!D:J,7,FALSE)</f>
        <v>纠后正确，区间略有变化，加433个氨基酸chr7:130146517-130287359</v>
      </c>
      <c r="L850" s="41" t="s">
        <v>3866</v>
      </c>
      <c r="M850" s="41" t="str">
        <f>VLOOKUP(I850,错误mRNA总表!D:I,6,FALSE)</f>
        <v>纠后正确，区间略有变化，加433个氨基酸chr7:130146517-130287359</v>
      </c>
    </row>
    <row r="851" spans="1:13" x14ac:dyDescent="0.2">
      <c r="A851" s="12" t="s">
        <v>4466</v>
      </c>
      <c r="B851" s="12" t="s">
        <v>3948</v>
      </c>
      <c r="C851" s="12">
        <v>130146079</v>
      </c>
      <c r="D851" s="12">
        <v>130148522</v>
      </c>
      <c r="E851" s="12" t="s">
        <v>3940</v>
      </c>
      <c r="F851" s="12">
        <v>190</v>
      </c>
      <c r="G851" s="41" t="s">
        <v>40</v>
      </c>
      <c r="H851" s="12" t="s">
        <v>758</v>
      </c>
      <c r="I851" s="41" t="s">
        <v>2249</v>
      </c>
      <c r="J851" s="41" t="s">
        <v>2249</v>
      </c>
      <c r="K851" s="41" t="str">
        <f>VLOOKUP(J851,错误mRNA总表!D:J,7,FALSE)</f>
        <v>纠后正确，区间略有变化，加433个氨基酸chr7:130146517-130287359</v>
      </c>
      <c r="L851" s="41" t="s">
        <v>3866</v>
      </c>
      <c r="M851" s="41" t="str">
        <f>VLOOKUP(I851,错误mRNA总表!D:I,6,FALSE)</f>
        <v>纠后正确，区间略有变化，加433个氨基酸chr7:130146517-130287359</v>
      </c>
    </row>
    <row r="852" spans="1:13" x14ac:dyDescent="0.2">
      <c r="A852" s="12" t="s">
        <v>4466</v>
      </c>
      <c r="B852" s="12" t="s">
        <v>3948</v>
      </c>
      <c r="C852" s="12">
        <v>130146079</v>
      </c>
      <c r="D852" s="12">
        <v>130148502</v>
      </c>
      <c r="E852" s="12" t="s">
        <v>3943</v>
      </c>
      <c r="F852" s="12">
        <v>3</v>
      </c>
      <c r="G852" s="41" t="s">
        <v>40</v>
      </c>
      <c r="H852" s="12" t="s">
        <v>758</v>
      </c>
      <c r="I852" s="41" t="s">
        <v>2249</v>
      </c>
      <c r="J852" s="41" t="s">
        <v>2249</v>
      </c>
      <c r="K852" s="41" t="str">
        <f>VLOOKUP(J852,错误mRNA总表!D:J,7,FALSE)</f>
        <v>纠后正确，区间略有变化，加433个氨基酸chr7:130146517-130287359</v>
      </c>
      <c r="L852" s="41" t="s">
        <v>3866</v>
      </c>
      <c r="M852" s="41" t="str">
        <f>VLOOKUP(I852,错误mRNA总表!D:I,6,FALSE)</f>
        <v>纠后正确，区间略有变化，加433个氨基酸chr7:130146517-130287359</v>
      </c>
    </row>
    <row r="853" spans="1:13" x14ac:dyDescent="0.2">
      <c r="A853" s="12" t="s">
        <v>4466</v>
      </c>
      <c r="B853" s="12" t="s">
        <v>3948</v>
      </c>
      <c r="C853" s="12">
        <v>130146079</v>
      </c>
      <c r="D853" s="12">
        <v>130148514</v>
      </c>
      <c r="E853" s="12" t="s">
        <v>3940</v>
      </c>
      <c r="F853" s="12">
        <v>8</v>
      </c>
      <c r="G853" s="41" t="s">
        <v>40</v>
      </c>
      <c r="H853" s="12" t="s">
        <v>758</v>
      </c>
      <c r="I853" s="41" t="s">
        <v>2249</v>
      </c>
      <c r="J853" s="41" t="s">
        <v>2249</v>
      </c>
      <c r="K853" s="41" t="str">
        <f>VLOOKUP(J853,错误mRNA总表!D:J,7,FALSE)</f>
        <v>纠后正确，区间略有变化，加433个氨基酸chr7:130146517-130287359</v>
      </c>
      <c r="L853" s="41" t="s">
        <v>3866</v>
      </c>
      <c r="M853" s="41" t="str">
        <f>VLOOKUP(I853,错误mRNA总表!D:I,6,FALSE)</f>
        <v>纠后正确，区间略有变化，加433个氨基酸chr7:130146517-130287359</v>
      </c>
    </row>
    <row r="854" spans="1:13" x14ac:dyDescent="0.2">
      <c r="A854" s="12" t="s">
        <v>4466</v>
      </c>
      <c r="B854" s="12" t="s">
        <v>3948</v>
      </c>
      <c r="C854" s="12">
        <v>130146079</v>
      </c>
      <c r="D854" s="12">
        <v>130146326</v>
      </c>
      <c r="E854" s="12" t="s">
        <v>3943</v>
      </c>
      <c r="F854" s="12">
        <v>1</v>
      </c>
      <c r="G854" s="41" t="s">
        <v>40</v>
      </c>
      <c r="H854" s="12" t="s">
        <v>758</v>
      </c>
      <c r="I854" s="41" t="s">
        <v>2249</v>
      </c>
      <c r="J854" s="41" t="s">
        <v>2249</v>
      </c>
      <c r="K854" s="41" t="str">
        <f>VLOOKUP(J854,错误mRNA总表!D:J,7,FALSE)</f>
        <v>纠后正确，区间略有变化，加433个氨基酸chr7:130146517-130287359</v>
      </c>
      <c r="L854" s="41" t="s">
        <v>3866</v>
      </c>
      <c r="M854" s="41" t="str">
        <f>VLOOKUP(I854,错误mRNA总表!D:I,6,FALSE)</f>
        <v>纠后正确，区间略有变化，加433个氨基酸chr7:130146517-130287359</v>
      </c>
    </row>
    <row r="855" spans="1:13" x14ac:dyDescent="0.2">
      <c r="A855" s="12" t="s">
        <v>4467</v>
      </c>
      <c r="B855" s="12" t="s">
        <v>4468</v>
      </c>
      <c r="C855" s="12">
        <v>129900</v>
      </c>
      <c r="D855" s="12">
        <v>191105</v>
      </c>
      <c r="E855" s="12" t="s">
        <v>3943</v>
      </c>
      <c r="F855" s="12">
        <v>1</v>
      </c>
      <c r="H855" s="12" t="s">
        <v>3615</v>
      </c>
      <c r="I855" s="41" t="s">
        <v>7052</v>
      </c>
      <c r="M855" s="41" t="e">
        <f>VLOOKUP(I855,错误mRNA总表!D:I,6,FALSE)</f>
        <v>#N/A</v>
      </c>
    </row>
    <row r="856" spans="1:13" x14ac:dyDescent="0.2">
      <c r="A856" s="12" t="s">
        <v>4469</v>
      </c>
      <c r="B856" s="12" t="s">
        <v>4171</v>
      </c>
      <c r="C856" s="12">
        <v>57520</v>
      </c>
      <c r="D856" s="12">
        <v>57998</v>
      </c>
      <c r="E856" s="12" t="s">
        <v>3943</v>
      </c>
      <c r="F856" s="12">
        <v>1</v>
      </c>
      <c r="H856" s="12" t="s">
        <v>3509</v>
      </c>
      <c r="I856" s="41" t="s">
        <v>7053</v>
      </c>
      <c r="M856" s="41" t="e">
        <f>VLOOKUP(I856,错误mRNA总表!D:I,6,FALSE)</f>
        <v>#N/A</v>
      </c>
    </row>
    <row r="857" spans="1:13" x14ac:dyDescent="0.2">
      <c r="A857" s="12" t="s">
        <v>4343</v>
      </c>
      <c r="B857" s="12" t="s">
        <v>3991</v>
      </c>
      <c r="C857" s="12">
        <v>99841</v>
      </c>
      <c r="D857" s="12">
        <v>100372</v>
      </c>
      <c r="E857" s="12" t="s">
        <v>3940</v>
      </c>
      <c r="F857" s="12">
        <v>1</v>
      </c>
      <c r="H857" s="12" t="s">
        <v>6118</v>
      </c>
      <c r="I857" s="41" t="s">
        <v>6654</v>
      </c>
      <c r="M857" s="41" t="e">
        <f>VLOOKUP(I857,错误mRNA总表!D:I,6,FALSE)</f>
        <v>#N/A</v>
      </c>
    </row>
    <row r="858" spans="1:13" x14ac:dyDescent="0.2">
      <c r="A858" s="12" t="s">
        <v>4343</v>
      </c>
      <c r="B858" s="12" t="s">
        <v>3991</v>
      </c>
      <c r="C858" s="12">
        <v>99841</v>
      </c>
      <c r="D858" s="12">
        <v>100375</v>
      </c>
      <c r="E858" s="12" t="s">
        <v>3940</v>
      </c>
      <c r="F858" s="12">
        <v>5</v>
      </c>
      <c r="H858" s="12" t="s">
        <v>6118</v>
      </c>
      <c r="I858" s="41" t="s">
        <v>6654</v>
      </c>
      <c r="M858" s="41" t="e">
        <f>VLOOKUP(I858,错误mRNA总表!D:I,6,FALSE)</f>
        <v>#N/A</v>
      </c>
    </row>
    <row r="859" spans="1:13" x14ac:dyDescent="0.2">
      <c r="A859" s="12" t="s">
        <v>4343</v>
      </c>
      <c r="B859" s="12" t="s">
        <v>3991</v>
      </c>
      <c r="C859" s="12">
        <v>99841</v>
      </c>
      <c r="D859" s="12">
        <v>100411</v>
      </c>
      <c r="E859" s="12" t="s">
        <v>3943</v>
      </c>
      <c r="F859" s="12">
        <v>5</v>
      </c>
      <c r="H859" s="12" t="s">
        <v>6118</v>
      </c>
      <c r="I859" s="41" t="s">
        <v>6654</v>
      </c>
      <c r="M859" s="41" t="e">
        <f>VLOOKUP(I859,错误mRNA总表!D:I,6,FALSE)</f>
        <v>#N/A</v>
      </c>
    </row>
    <row r="860" spans="1:13" x14ac:dyDescent="0.2">
      <c r="A860" s="12" t="s">
        <v>4343</v>
      </c>
      <c r="B860" s="12" t="s">
        <v>3991</v>
      </c>
      <c r="C860" s="12">
        <v>99841</v>
      </c>
      <c r="D860" s="12">
        <v>100419</v>
      </c>
      <c r="E860" s="12" t="s">
        <v>3943</v>
      </c>
      <c r="F860" s="12">
        <v>1</v>
      </c>
      <c r="H860" s="12" t="s">
        <v>6118</v>
      </c>
      <c r="I860" s="41" t="s">
        <v>6654</v>
      </c>
      <c r="M860" s="41" t="e">
        <f>VLOOKUP(I860,错误mRNA总表!D:I,6,FALSE)</f>
        <v>#N/A</v>
      </c>
    </row>
    <row r="861" spans="1:13" x14ac:dyDescent="0.2">
      <c r="A861" s="12" t="s">
        <v>4343</v>
      </c>
      <c r="B861" s="12" t="s">
        <v>3991</v>
      </c>
      <c r="C861" s="12">
        <v>99841</v>
      </c>
      <c r="D861" s="12">
        <v>100441</v>
      </c>
      <c r="E861" s="12" t="s">
        <v>3943</v>
      </c>
      <c r="F861" s="12">
        <v>1</v>
      </c>
      <c r="H861" s="12" t="s">
        <v>6118</v>
      </c>
      <c r="I861" s="41" t="s">
        <v>6654</v>
      </c>
      <c r="M861" s="41" t="e">
        <f>VLOOKUP(I861,错误mRNA总表!D:I,6,FALSE)</f>
        <v>#N/A</v>
      </c>
    </row>
    <row r="862" spans="1:13" x14ac:dyDescent="0.2">
      <c r="A862" s="12" t="s">
        <v>4438</v>
      </c>
      <c r="B862" s="12" t="s">
        <v>4001</v>
      </c>
      <c r="C862" s="12">
        <v>928284</v>
      </c>
      <c r="D862" s="12">
        <v>943634</v>
      </c>
      <c r="E862" s="12" t="s">
        <v>3943</v>
      </c>
      <c r="F862" s="12">
        <v>4</v>
      </c>
      <c r="H862" s="12" t="s">
        <v>3522</v>
      </c>
      <c r="I862" s="41" t="s">
        <v>7054</v>
      </c>
      <c r="M862" s="41" t="e">
        <f>VLOOKUP(I862,错误mRNA总表!D:I,6,FALSE)</f>
        <v>#N/A</v>
      </c>
    </row>
    <row r="863" spans="1:13" x14ac:dyDescent="0.2">
      <c r="A863" s="12" t="s">
        <v>4470</v>
      </c>
      <c r="B863" s="12" t="s">
        <v>4182</v>
      </c>
      <c r="C863" s="12">
        <v>7487</v>
      </c>
      <c r="D863" s="12">
        <v>7606</v>
      </c>
      <c r="E863" s="12" t="s">
        <v>3940</v>
      </c>
      <c r="F863" s="12">
        <v>315</v>
      </c>
      <c r="H863" s="12" t="s">
        <v>3457</v>
      </c>
      <c r="I863" s="41" t="s">
        <v>7055</v>
      </c>
      <c r="M863" s="41" t="e">
        <f>VLOOKUP(I863,错误mRNA总表!D:I,6,FALSE)</f>
        <v>#N/A</v>
      </c>
    </row>
    <row r="864" spans="1:13" x14ac:dyDescent="0.2">
      <c r="A864" s="12" t="s">
        <v>4470</v>
      </c>
      <c r="B864" s="12" t="s">
        <v>4182</v>
      </c>
      <c r="C864" s="12">
        <v>7487</v>
      </c>
      <c r="D864" s="12">
        <v>11613</v>
      </c>
      <c r="E864" s="12" t="s">
        <v>3940</v>
      </c>
      <c r="F864" s="12">
        <v>502</v>
      </c>
      <c r="H864" s="12" t="s">
        <v>3457</v>
      </c>
      <c r="I864" s="41" t="s">
        <v>7055</v>
      </c>
      <c r="M864" s="41" t="e">
        <f>VLOOKUP(I864,错误mRNA总表!D:I,6,FALSE)</f>
        <v>#N/A</v>
      </c>
    </row>
    <row r="865" spans="1:13" x14ac:dyDescent="0.2">
      <c r="A865" s="12" t="s">
        <v>4470</v>
      </c>
      <c r="B865" s="12" t="s">
        <v>4182</v>
      </c>
      <c r="C865" s="12">
        <v>7487</v>
      </c>
      <c r="D865" s="12">
        <v>11603</v>
      </c>
      <c r="E865" s="12" t="s">
        <v>3943</v>
      </c>
      <c r="F865" s="12">
        <v>1</v>
      </c>
      <c r="H865" s="12" t="s">
        <v>3457</v>
      </c>
      <c r="I865" s="41" t="s">
        <v>7055</v>
      </c>
      <c r="M865" s="41" t="e">
        <f>VLOOKUP(I865,错误mRNA总表!D:I,6,FALSE)</f>
        <v>#N/A</v>
      </c>
    </row>
    <row r="866" spans="1:13" x14ac:dyDescent="0.2">
      <c r="A866" s="12" t="s">
        <v>4470</v>
      </c>
      <c r="B866" s="12" t="s">
        <v>4182</v>
      </c>
      <c r="C866" s="12">
        <v>7487</v>
      </c>
      <c r="D866" s="12">
        <v>14720</v>
      </c>
      <c r="E866" s="12" t="s">
        <v>3940</v>
      </c>
      <c r="F866" s="12">
        <v>307</v>
      </c>
      <c r="H866" s="12" t="s">
        <v>3457</v>
      </c>
      <c r="I866" s="41" t="s">
        <v>7055</v>
      </c>
      <c r="M866" s="41" t="e">
        <f>VLOOKUP(I866,错误mRNA总表!D:I,6,FALSE)</f>
        <v>#N/A</v>
      </c>
    </row>
    <row r="867" spans="1:13" x14ac:dyDescent="0.2">
      <c r="A867" s="12" t="s">
        <v>4470</v>
      </c>
      <c r="B867" s="12" t="s">
        <v>4182</v>
      </c>
      <c r="C867" s="12">
        <v>7487</v>
      </c>
      <c r="D867" s="12">
        <v>15843</v>
      </c>
      <c r="E867" s="12" t="s">
        <v>3940</v>
      </c>
      <c r="F867" s="12">
        <v>172</v>
      </c>
      <c r="H867" s="12" t="s">
        <v>3457</v>
      </c>
      <c r="I867" s="41" t="s">
        <v>7055</v>
      </c>
      <c r="M867" s="41" t="e">
        <f>VLOOKUP(I867,错误mRNA总表!D:I,6,FALSE)</f>
        <v>#N/A</v>
      </c>
    </row>
    <row r="868" spans="1:13" x14ac:dyDescent="0.2">
      <c r="A868" s="12" t="s">
        <v>4470</v>
      </c>
      <c r="B868" s="12" t="s">
        <v>4182</v>
      </c>
      <c r="C868" s="12">
        <v>7487</v>
      </c>
      <c r="D868" s="12">
        <v>15821</v>
      </c>
      <c r="E868" s="12" t="s">
        <v>3940</v>
      </c>
      <c r="F868" s="12">
        <v>3</v>
      </c>
      <c r="H868" s="12" t="s">
        <v>3457</v>
      </c>
      <c r="I868" s="41" t="s">
        <v>7055</v>
      </c>
      <c r="M868" s="41" t="e">
        <f>VLOOKUP(I868,错误mRNA总表!D:I,6,FALSE)</f>
        <v>#N/A</v>
      </c>
    </row>
    <row r="869" spans="1:13" x14ac:dyDescent="0.2">
      <c r="A869" s="12" t="s">
        <v>4009</v>
      </c>
      <c r="B869" s="12" t="s">
        <v>3964</v>
      </c>
      <c r="C869" s="12">
        <v>3602827</v>
      </c>
      <c r="D869" s="12">
        <v>3602941</v>
      </c>
      <c r="E869" s="12" t="s">
        <v>3940</v>
      </c>
      <c r="F869" s="12">
        <v>40</v>
      </c>
      <c r="H869" s="12" t="s">
        <v>5784</v>
      </c>
      <c r="I869" s="41" t="s">
        <v>7056</v>
      </c>
      <c r="M869" s="41" t="e">
        <f>VLOOKUP(I869,错误mRNA总表!D:I,6,FALSE)</f>
        <v>#N/A</v>
      </c>
    </row>
    <row r="870" spans="1:13" x14ac:dyDescent="0.2">
      <c r="A870" s="12" t="s">
        <v>4009</v>
      </c>
      <c r="B870" s="12" t="s">
        <v>3964</v>
      </c>
      <c r="C870" s="12">
        <v>3602827</v>
      </c>
      <c r="D870" s="12">
        <v>3681382</v>
      </c>
      <c r="E870" s="12" t="s">
        <v>3940</v>
      </c>
      <c r="F870" s="12">
        <v>23</v>
      </c>
      <c r="H870" s="12" t="s">
        <v>5784</v>
      </c>
      <c r="I870" s="41" t="s">
        <v>7056</v>
      </c>
      <c r="M870" s="41" t="e">
        <f>VLOOKUP(I870,错误mRNA总表!D:I,6,FALSE)</f>
        <v>#N/A</v>
      </c>
    </row>
    <row r="871" spans="1:13" x14ac:dyDescent="0.2">
      <c r="A871" s="12" t="s">
        <v>4009</v>
      </c>
      <c r="B871" s="12" t="s">
        <v>3964</v>
      </c>
      <c r="C871" s="12">
        <v>3602827</v>
      </c>
      <c r="D871" s="12">
        <v>3685858</v>
      </c>
      <c r="E871" s="12" t="s">
        <v>3940</v>
      </c>
      <c r="F871" s="12">
        <v>18</v>
      </c>
      <c r="H871" s="12" t="s">
        <v>5784</v>
      </c>
      <c r="I871" s="41" t="s">
        <v>7056</v>
      </c>
      <c r="M871" s="41" t="e">
        <f>VLOOKUP(I871,错误mRNA总表!D:I,6,FALSE)</f>
        <v>#N/A</v>
      </c>
    </row>
    <row r="872" spans="1:13" x14ac:dyDescent="0.2">
      <c r="A872" s="12" t="s">
        <v>4009</v>
      </c>
      <c r="B872" s="12" t="s">
        <v>3964</v>
      </c>
      <c r="C872" s="12">
        <v>3602827</v>
      </c>
      <c r="D872" s="12">
        <v>3685845</v>
      </c>
      <c r="E872" s="12" t="s">
        <v>3943</v>
      </c>
      <c r="F872" s="12">
        <v>3</v>
      </c>
      <c r="H872" s="12" t="s">
        <v>5784</v>
      </c>
      <c r="I872" s="41" t="s">
        <v>7056</v>
      </c>
      <c r="M872" s="41" t="e">
        <f>VLOOKUP(I872,错误mRNA总表!D:I,6,FALSE)</f>
        <v>#N/A</v>
      </c>
    </row>
    <row r="873" spans="1:13" x14ac:dyDescent="0.2">
      <c r="A873" s="12" t="s">
        <v>4009</v>
      </c>
      <c r="B873" s="12" t="s">
        <v>3964</v>
      </c>
      <c r="C873" s="12">
        <v>3602827</v>
      </c>
      <c r="D873" s="12">
        <v>3697474</v>
      </c>
      <c r="E873" s="12" t="s">
        <v>3940</v>
      </c>
      <c r="F873" s="12">
        <v>6</v>
      </c>
      <c r="H873" s="12" t="s">
        <v>5784</v>
      </c>
      <c r="I873" s="41" t="s">
        <v>7056</v>
      </c>
      <c r="M873" s="41" t="e">
        <f>VLOOKUP(I873,错误mRNA总表!D:I,6,FALSE)</f>
        <v>#N/A</v>
      </c>
    </row>
    <row r="874" spans="1:13" x14ac:dyDescent="0.2">
      <c r="A874" s="12" t="s">
        <v>4009</v>
      </c>
      <c r="B874" s="12" t="s">
        <v>3964</v>
      </c>
      <c r="C874" s="12">
        <v>3602827</v>
      </c>
      <c r="D874" s="12">
        <v>3753864</v>
      </c>
      <c r="E874" s="12" t="s">
        <v>3940</v>
      </c>
      <c r="F874" s="12">
        <v>1</v>
      </c>
      <c r="H874" s="12" t="s">
        <v>5784</v>
      </c>
      <c r="I874" s="41" t="s">
        <v>7056</v>
      </c>
      <c r="M874" s="41" t="e">
        <f>VLOOKUP(I874,错误mRNA总表!D:I,6,FALSE)</f>
        <v>#N/A</v>
      </c>
    </row>
    <row r="875" spans="1:13" x14ac:dyDescent="0.2">
      <c r="A875" s="12" t="s">
        <v>4424</v>
      </c>
      <c r="B875" s="12" t="s">
        <v>3984</v>
      </c>
      <c r="C875" s="12">
        <v>2900437</v>
      </c>
      <c r="D875" s="12">
        <v>2900533</v>
      </c>
      <c r="E875" s="12" t="s">
        <v>3943</v>
      </c>
      <c r="F875" s="12">
        <v>4</v>
      </c>
      <c r="H875" s="12" t="s">
        <v>3558</v>
      </c>
      <c r="I875" s="41" t="s">
        <v>7057</v>
      </c>
      <c r="M875" s="41" t="e">
        <f>VLOOKUP(I875,错误mRNA总表!D:I,6,FALSE)</f>
        <v>#N/A</v>
      </c>
    </row>
    <row r="876" spans="1:13" x14ac:dyDescent="0.2">
      <c r="A876" s="12" t="s">
        <v>4375</v>
      </c>
      <c r="B876" s="12" t="s">
        <v>4001</v>
      </c>
      <c r="C876" s="12">
        <v>4203377</v>
      </c>
      <c r="D876" s="12">
        <v>4203526</v>
      </c>
      <c r="E876" s="12" t="s">
        <v>3943</v>
      </c>
      <c r="F876" s="12">
        <v>3</v>
      </c>
      <c r="H876" s="12" t="s">
        <v>3584</v>
      </c>
      <c r="I876" s="41" t="s">
        <v>7058</v>
      </c>
      <c r="M876" s="41" t="e">
        <f>VLOOKUP(I876,错误mRNA总表!D:I,6,FALSE)</f>
        <v>#N/A</v>
      </c>
    </row>
    <row r="877" spans="1:13" x14ac:dyDescent="0.2">
      <c r="A877" s="12" t="s">
        <v>4471</v>
      </c>
      <c r="B877" s="12" t="s">
        <v>3954</v>
      </c>
      <c r="C877" s="12">
        <v>39046451</v>
      </c>
      <c r="D877" s="12">
        <v>39046586</v>
      </c>
      <c r="E877" s="12" t="s">
        <v>3943</v>
      </c>
      <c r="F877" s="12">
        <v>1</v>
      </c>
      <c r="G877" s="41" t="s">
        <v>569</v>
      </c>
      <c r="H877" s="12" t="s">
        <v>6400</v>
      </c>
      <c r="I877" s="41" t="s">
        <v>7059</v>
      </c>
      <c r="M877" s="41" t="e">
        <f>VLOOKUP(I877,错误mRNA总表!D:I,6,FALSE)</f>
        <v>#N/A</v>
      </c>
    </row>
    <row r="878" spans="1:13" x14ac:dyDescent="0.2">
      <c r="A878" s="12" t="s">
        <v>4472</v>
      </c>
      <c r="B878" s="12" t="s">
        <v>3957</v>
      </c>
      <c r="C878" s="12">
        <v>46638826</v>
      </c>
      <c r="D878" s="12">
        <v>46694313</v>
      </c>
      <c r="E878" s="12" t="s">
        <v>3943</v>
      </c>
      <c r="F878" s="12">
        <v>2</v>
      </c>
      <c r="G878" s="41" t="s">
        <v>36</v>
      </c>
      <c r="H878" s="12" t="s">
        <v>5911</v>
      </c>
      <c r="I878" s="41" t="s">
        <v>7060</v>
      </c>
      <c r="M878" s="41" t="e">
        <f>VLOOKUP(I878,错误mRNA总表!D:I,6,FALSE)</f>
        <v>#N/A</v>
      </c>
    </row>
    <row r="879" spans="1:13" x14ac:dyDescent="0.2">
      <c r="A879" s="12" t="s">
        <v>4473</v>
      </c>
      <c r="B879" s="12" t="s">
        <v>3948</v>
      </c>
      <c r="C879" s="12">
        <v>142568956</v>
      </c>
      <c r="D879" s="12">
        <v>142569362</v>
      </c>
      <c r="E879" s="12" t="s">
        <v>3943</v>
      </c>
      <c r="F879" s="12">
        <v>1</v>
      </c>
      <c r="G879" s="41" t="s">
        <v>40</v>
      </c>
      <c r="H879" s="12" t="s">
        <v>3600</v>
      </c>
      <c r="I879" s="41" t="s">
        <v>7061</v>
      </c>
      <c r="M879" s="41" t="e">
        <f>VLOOKUP(I879,错误mRNA总表!D:I,6,FALSE)</f>
        <v>#N/A</v>
      </c>
    </row>
    <row r="880" spans="1:13" x14ac:dyDescent="0.2">
      <c r="A880" s="12" t="s">
        <v>4474</v>
      </c>
      <c r="B880" s="12" t="s">
        <v>4052</v>
      </c>
      <c r="C880" s="12">
        <v>51026433</v>
      </c>
      <c r="D880" s="12">
        <v>51371103</v>
      </c>
      <c r="E880" s="12" t="s">
        <v>3943</v>
      </c>
      <c r="F880" s="12">
        <v>1</v>
      </c>
      <c r="G880" s="41" t="s">
        <v>93</v>
      </c>
      <c r="H880" s="12" t="s">
        <v>5912</v>
      </c>
      <c r="I880" s="41" t="s">
        <v>7062</v>
      </c>
      <c r="M880" s="41" t="e">
        <f>VLOOKUP(I880,错误mRNA总表!D:I,6,FALSE)</f>
        <v>#N/A</v>
      </c>
    </row>
    <row r="881" spans="1:13" x14ac:dyDescent="0.2">
      <c r="A881" s="12" t="s">
        <v>4474</v>
      </c>
      <c r="B881" s="12" t="s">
        <v>4052</v>
      </c>
      <c r="C881" s="12">
        <v>51026433</v>
      </c>
      <c r="D881" s="12">
        <v>51371122</v>
      </c>
      <c r="E881" s="12" t="s">
        <v>3943</v>
      </c>
      <c r="F881" s="12">
        <v>1</v>
      </c>
      <c r="G881" s="41" t="s">
        <v>93</v>
      </c>
      <c r="H881" s="12" t="s">
        <v>5912</v>
      </c>
      <c r="I881" s="41" t="s">
        <v>7062</v>
      </c>
      <c r="M881" s="41" t="e">
        <f>VLOOKUP(I881,错误mRNA总表!D:I,6,FALSE)</f>
        <v>#N/A</v>
      </c>
    </row>
    <row r="882" spans="1:13" x14ac:dyDescent="0.2">
      <c r="A882" s="12" t="s">
        <v>4474</v>
      </c>
      <c r="B882" s="12" t="s">
        <v>4052</v>
      </c>
      <c r="C882" s="12">
        <v>51026433</v>
      </c>
      <c r="D882" s="12">
        <v>51371131</v>
      </c>
      <c r="E882" s="12" t="s">
        <v>3940</v>
      </c>
      <c r="F882" s="12">
        <v>1</v>
      </c>
      <c r="G882" s="41" t="s">
        <v>93</v>
      </c>
      <c r="H882" s="12" t="s">
        <v>5912</v>
      </c>
      <c r="I882" s="41" t="s">
        <v>7062</v>
      </c>
      <c r="M882" s="41" t="e">
        <f>VLOOKUP(I882,错误mRNA总表!D:I,6,FALSE)</f>
        <v>#N/A</v>
      </c>
    </row>
    <row r="883" spans="1:13" x14ac:dyDescent="0.2">
      <c r="A883" s="12" t="s">
        <v>4043</v>
      </c>
      <c r="B883" s="12" t="s">
        <v>4059</v>
      </c>
      <c r="C883" s="12">
        <v>29892369</v>
      </c>
      <c r="D883" s="12">
        <v>29892447</v>
      </c>
      <c r="E883" s="12" t="s">
        <v>3943</v>
      </c>
      <c r="F883" s="12">
        <v>1</v>
      </c>
      <c r="G883" s="41" t="s">
        <v>175</v>
      </c>
      <c r="H883" s="12" t="s">
        <v>6374</v>
      </c>
      <c r="I883" s="41" t="s">
        <v>7063</v>
      </c>
      <c r="M883" s="41" t="e">
        <f>VLOOKUP(I883,错误mRNA总表!D:I,6,FALSE)</f>
        <v>#N/A</v>
      </c>
    </row>
    <row r="884" spans="1:13" x14ac:dyDescent="0.2">
      <c r="A884" s="12" t="s">
        <v>4043</v>
      </c>
      <c r="B884" s="12" t="s">
        <v>4059</v>
      </c>
      <c r="C884" s="12">
        <v>29892369</v>
      </c>
      <c r="D884" s="12">
        <v>29892571</v>
      </c>
      <c r="E884" s="12" t="s">
        <v>3940</v>
      </c>
      <c r="F884" s="12">
        <v>4</v>
      </c>
      <c r="G884" s="41" t="s">
        <v>175</v>
      </c>
      <c r="H884" s="12" t="s">
        <v>6374</v>
      </c>
      <c r="I884" s="41" t="s">
        <v>7063</v>
      </c>
      <c r="M884" s="41" t="e">
        <f>VLOOKUP(I884,错误mRNA总表!D:I,6,FALSE)</f>
        <v>#N/A</v>
      </c>
    </row>
    <row r="885" spans="1:13" x14ac:dyDescent="0.2">
      <c r="A885" s="12" t="s">
        <v>4043</v>
      </c>
      <c r="B885" s="12" t="s">
        <v>4059</v>
      </c>
      <c r="C885" s="12">
        <v>29892369</v>
      </c>
      <c r="D885" s="12">
        <v>29893012</v>
      </c>
      <c r="E885" s="12" t="s">
        <v>3940</v>
      </c>
      <c r="F885" s="12">
        <v>1</v>
      </c>
      <c r="G885" s="41" t="s">
        <v>175</v>
      </c>
      <c r="H885" s="12" t="s">
        <v>6374</v>
      </c>
      <c r="I885" s="41" t="s">
        <v>7063</v>
      </c>
      <c r="M885" s="41" t="e">
        <f>VLOOKUP(I885,错误mRNA总表!D:I,6,FALSE)</f>
        <v>#N/A</v>
      </c>
    </row>
    <row r="886" spans="1:13" x14ac:dyDescent="0.2">
      <c r="A886" s="12" t="s">
        <v>4043</v>
      </c>
      <c r="B886" s="12" t="s">
        <v>4059</v>
      </c>
      <c r="C886" s="12">
        <v>29892369</v>
      </c>
      <c r="D886" s="12">
        <v>29893482</v>
      </c>
      <c r="E886" s="12" t="s">
        <v>3943</v>
      </c>
      <c r="F886" s="12">
        <v>1</v>
      </c>
      <c r="G886" s="41" t="s">
        <v>175</v>
      </c>
      <c r="H886" s="12" t="s">
        <v>6374</v>
      </c>
      <c r="I886" s="41" t="s">
        <v>7063</v>
      </c>
      <c r="M886" s="41" t="e">
        <f>VLOOKUP(I886,错误mRNA总表!D:I,6,FALSE)</f>
        <v>#N/A</v>
      </c>
    </row>
    <row r="887" spans="1:13" x14ac:dyDescent="0.2">
      <c r="A887" s="12" t="s">
        <v>4043</v>
      </c>
      <c r="B887" s="12" t="s">
        <v>4059</v>
      </c>
      <c r="C887" s="12">
        <v>29892369</v>
      </c>
      <c r="D887" s="12">
        <v>29893549</v>
      </c>
      <c r="E887" s="12" t="s">
        <v>3943</v>
      </c>
      <c r="F887" s="12">
        <v>4</v>
      </c>
      <c r="G887" s="41" t="s">
        <v>175</v>
      </c>
      <c r="H887" s="12" t="s">
        <v>6374</v>
      </c>
      <c r="I887" s="41" t="s">
        <v>7063</v>
      </c>
      <c r="M887" s="41" t="e">
        <f>VLOOKUP(I887,错误mRNA总表!D:I,6,FALSE)</f>
        <v>#N/A</v>
      </c>
    </row>
    <row r="888" spans="1:13" x14ac:dyDescent="0.2">
      <c r="A888" s="12" t="s">
        <v>4475</v>
      </c>
      <c r="B888" s="12" t="s">
        <v>4004</v>
      </c>
      <c r="C888" s="12">
        <v>21964383</v>
      </c>
      <c r="D888" s="12">
        <v>21966700</v>
      </c>
      <c r="E888" s="12" t="s">
        <v>3943</v>
      </c>
      <c r="F888" s="12">
        <v>1</v>
      </c>
      <c r="G888" s="41" t="s">
        <v>103</v>
      </c>
      <c r="H888" s="12" t="s">
        <v>108</v>
      </c>
      <c r="I888" s="41" t="s">
        <v>2111</v>
      </c>
      <c r="J888" s="41" t="s">
        <v>2111</v>
      </c>
      <c r="K888" s="41" t="str">
        <f>VLOOKUP(J888,错误mRNA总表!D:J,7,FALSE)</f>
        <v>纠后正确</v>
      </c>
      <c r="L888" s="41" t="s">
        <v>3763</v>
      </c>
      <c r="M888" s="41">
        <f>VLOOKUP(I888,错误mRNA总表!D:I,6,FALSE)</f>
        <v>0</v>
      </c>
    </row>
    <row r="889" spans="1:13" x14ac:dyDescent="0.2">
      <c r="A889" s="12" t="s">
        <v>4475</v>
      </c>
      <c r="B889" s="12" t="s">
        <v>4004</v>
      </c>
      <c r="C889" s="12">
        <v>21964383</v>
      </c>
      <c r="D889" s="12">
        <v>21966707</v>
      </c>
      <c r="E889" s="12" t="s">
        <v>3943</v>
      </c>
      <c r="F889" s="12">
        <v>1</v>
      </c>
      <c r="G889" s="41" t="s">
        <v>103</v>
      </c>
      <c r="H889" s="12" t="s">
        <v>108</v>
      </c>
      <c r="I889" s="41" t="s">
        <v>2111</v>
      </c>
      <c r="J889" s="41" t="s">
        <v>2111</v>
      </c>
      <c r="K889" s="41" t="str">
        <f>VLOOKUP(J889,错误mRNA总表!D:J,7,FALSE)</f>
        <v>纠后正确</v>
      </c>
      <c r="L889" s="41" t="s">
        <v>3763</v>
      </c>
      <c r="M889" s="41">
        <f>VLOOKUP(I889,错误mRNA总表!D:I,6,FALSE)</f>
        <v>0</v>
      </c>
    </row>
    <row r="890" spans="1:13" x14ac:dyDescent="0.2">
      <c r="A890" s="12" t="s">
        <v>4036</v>
      </c>
      <c r="B890" s="12" t="s">
        <v>3989</v>
      </c>
      <c r="C890" s="12">
        <v>2305960</v>
      </c>
      <c r="D890" s="12">
        <v>2329842</v>
      </c>
      <c r="E890" s="12" t="s">
        <v>3940</v>
      </c>
      <c r="F890" s="12">
        <v>30</v>
      </c>
      <c r="H890" s="12" t="s">
        <v>5789</v>
      </c>
      <c r="I890" s="41" t="s">
        <v>7064</v>
      </c>
      <c r="M890" s="41" t="e">
        <f>VLOOKUP(I890,错误mRNA总表!D:I,6,FALSE)</f>
        <v>#N/A</v>
      </c>
    </row>
    <row r="891" spans="1:13" x14ac:dyDescent="0.2">
      <c r="A891" s="12" t="s">
        <v>4476</v>
      </c>
      <c r="B891" s="12" t="s">
        <v>3984</v>
      </c>
      <c r="C891" s="12">
        <v>2401158</v>
      </c>
      <c r="D891" s="12">
        <v>2401203</v>
      </c>
      <c r="E891" s="12" t="s">
        <v>3940</v>
      </c>
      <c r="F891" s="12">
        <v>1</v>
      </c>
      <c r="H891" s="12" t="s">
        <v>3552</v>
      </c>
      <c r="I891" s="41" t="s">
        <v>7065</v>
      </c>
      <c r="M891" s="41" t="e">
        <f>VLOOKUP(I891,错误mRNA总表!D:I,6,FALSE)</f>
        <v>#N/A</v>
      </c>
    </row>
    <row r="892" spans="1:13" x14ac:dyDescent="0.2">
      <c r="A892" s="12" t="s">
        <v>4331</v>
      </c>
      <c r="B892" s="12" t="s">
        <v>3969</v>
      </c>
      <c r="C892" s="12">
        <v>2429238</v>
      </c>
      <c r="D892" s="12">
        <v>2431252</v>
      </c>
      <c r="E892" s="12" t="s">
        <v>3943</v>
      </c>
      <c r="F892" s="12">
        <v>3</v>
      </c>
      <c r="H892" s="12" t="s">
        <v>5872</v>
      </c>
      <c r="I892" s="41" t="s">
        <v>7066</v>
      </c>
      <c r="M892" s="41" t="e">
        <f>VLOOKUP(I892,错误mRNA总表!D:I,6,FALSE)</f>
        <v>#N/A</v>
      </c>
    </row>
    <row r="893" spans="1:13" x14ac:dyDescent="0.2">
      <c r="A893" s="12" t="s">
        <v>4331</v>
      </c>
      <c r="B893" s="12" t="s">
        <v>3969</v>
      </c>
      <c r="C893" s="12">
        <v>2429238</v>
      </c>
      <c r="D893" s="12">
        <v>2431576</v>
      </c>
      <c r="E893" s="12" t="s">
        <v>3940</v>
      </c>
      <c r="F893" s="12">
        <v>1</v>
      </c>
      <c r="H893" s="12" t="s">
        <v>5872</v>
      </c>
      <c r="I893" s="41" t="s">
        <v>7066</v>
      </c>
      <c r="M893" s="41" t="e">
        <f>VLOOKUP(I893,错误mRNA总表!D:I,6,FALSE)</f>
        <v>#N/A</v>
      </c>
    </row>
    <row r="894" spans="1:13" x14ac:dyDescent="0.2">
      <c r="A894" s="12" t="s">
        <v>4331</v>
      </c>
      <c r="B894" s="12" t="s">
        <v>3969</v>
      </c>
      <c r="C894" s="12">
        <v>2429238</v>
      </c>
      <c r="D894" s="12">
        <v>2431857</v>
      </c>
      <c r="E894" s="12" t="s">
        <v>3943</v>
      </c>
      <c r="F894" s="12">
        <v>3</v>
      </c>
      <c r="H894" s="12" t="s">
        <v>5872</v>
      </c>
      <c r="I894" s="41" t="s">
        <v>7066</v>
      </c>
      <c r="M894" s="41" t="e">
        <f>VLOOKUP(I894,错误mRNA总表!D:I,6,FALSE)</f>
        <v>#N/A</v>
      </c>
    </row>
    <row r="895" spans="1:13" x14ac:dyDescent="0.2">
      <c r="A895" s="12" t="s">
        <v>4463</v>
      </c>
      <c r="B895" s="12" t="s">
        <v>3960</v>
      </c>
      <c r="C895" s="12">
        <v>44262</v>
      </c>
      <c r="D895" s="12">
        <v>50700</v>
      </c>
      <c r="E895" s="12" t="s">
        <v>3943</v>
      </c>
      <c r="F895" s="12">
        <v>16</v>
      </c>
      <c r="H895" s="12" t="s">
        <v>5909</v>
      </c>
      <c r="I895" s="41" t="s">
        <v>7048</v>
      </c>
      <c r="M895" s="41" t="e">
        <f>VLOOKUP(I895,错误mRNA总表!D:I,6,FALSE)</f>
        <v>#N/A</v>
      </c>
    </row>
    <row r="896" spans="1:13" x14ac:dyDescent="0.2">
      <c r="A896" s="12" t="s">
        <v>4477</v>
      </c>
      <c r="B896" s="12" t="s">
        <v>4055</v>
      </c>
      <c r="C896" s="12">
        <v>109301905</v>
      </c>
      <c r="D896" s="12">
        <v>109372440</v>
      </c>
      <c r="E896" s="12" t="s">
        <v>3940</v>
      </c>
      <c r="F896" s="12">
        <v>5</v>
      </c>
      <c r="G896" s="41" t="s">
        <v>212</v>
      </c>
      <c r="H896" s="12" t="s">
        <v>1044</v>
      </c>
      <c r="I896" s="41" t="s">
        <v>7067</v>
      </c>
      <c r="J896" s="41" t="s">
        <v>3372</v>
      </c>
      <c r="K896" s="41" t="str">
        <f>VLOOKUP(J896,错误mRNA总表!D:J,7,FALSE)</f>
        <v>纠后正确</v>
      </c>
      <c r="M896" s="41" t="e">
        <f>VLOOKUP(I896,错误mRNA总表!D:I,6,FALSE)</f>
        <v>#N/A</v>
      </c>
    </row>
    <row r="897" spans="1:13" x14ac:dyDescent="0.2">
      <c r="A897" s="12" t="s">
        <v>4478</v>
      </c>
      <c r="B897" s="12" t="s">
        <v>4115</v>
      </c>
      <c r="C897" s="12">
        <v>67290451</v>
      </c>
      <c r="D897" s="12">
        <v>67290560</v>
      </c>
      <c r="E897" s="12" t="s">
        <v>3940</v>
      </c>
      <c r="F897" s="12">
        <v>1</v>
      </c>
      <c r="G897" s="41" t="s">
        <v>33</v>
      </c>
      <c r="H897" s="12" t="s">
        <v>5913</v>
      </c>
      <c r="I897" s="41" t="s">
        <v>7068</v>
      </c>
      <c r="M897" s="41" t="e">
        <f>VLOOKUP(I897,错误mRNA总表!D:I,6,FALSE)</f>
        <v>#N/A</v>
      </c>
    </row>
    <row r="898" spans="1:13" x14ac:dyDescent="0.2">
      <c r="A898" s="12" t="s">
        <v>4479</v>
      </c>
      <c r="B898" s="12" t="s">
        <v>4059</v>
      </c>
      <c r="C898" s="12">
        <v>90539619</v>
      </c>
      <c r="D898" s="12">
        <v>90581108</v>
      </c>
      <c r="E898" s="12" t="s">
        <v>3940</v>
      </c>
      <c r="F898" s="12">
        <v>47</v>
      </c>
      <c r="G898" s="41" t="s">
        <v>175</v>
      </c>
      <c r="H898" s="12" t="s">
        <v>692</v>
      </c>
      <c r="I898" s="41" t="s">
        <v>3236</v>
      </c>
      <c r="J898" s="41" t="s">
        <v>3236</v>
      </c>
      <c r="K898" s="41" t="str">
        <f>VLOOKUP(J898,错误mRNA总表!D:J,7,FALSE)</f>
        <v/>
      </c>
      <c r="M898" s="41">
        <f>VLOOKUP(I898,错误mRNA总表!D:I,6,FALSE)</f>
        <v>0</v>
      </c>
    </row>
    <row r="899" spans="1:13" x14ac:dyDescent="0.2">
      <c r="A899" s="12" t="s">
        <v>4480</v>
      </c>
      <c r="B899" s="12" t="s">
        <v>3942</v>
      </c>
      <c r="C899" s="12">
        <v>175810940</v>
      </c>
      <c r="D899" s="12">
        <v>175811094</v>
      </c>
      <c r="E899" s="12" t="s">
        <v>3940</v>
      </c>
      <c r="F899" s="12">
        <v>2</v>
      </c>
      <c r="G899" s="41" t="s">
        <v>186</v>
      </c>
      <c r="H899" s="12" t="s">
        <v>5821</v>
      </c>
      <c r="I899" s="41" t="s">
        <v>6786</v>
      </c>
      <c r="M899" s="41" t="e">
        <f>VLOOKUP(I899,错误mRNA总表!D:I,6,FALSE)</f>
        <v>#N/A</v>
      </c>
    </row>
    <row r="900" spans="1:13" x14ac:dyDescent="0.2">
      <c r="A900" s="12" t="s">
        <v>4198</v>
      </c>
      <c r="B900" s="12" t="s">
        <v>4023</v>
      </c>
      <c r="C900" s="12">
        <v>954315</v>
      </c>
      <c r="D900" s="12">
        <v>955234</v>
      </c>
      <c r="E900" s="12" t="s">
        <v>3943</v>
      </c>
      <c r="F900" s="12">
        <v>1</v>
      </c>
      <c r="H900" s="12" t="s">
        <v>3467</v>
      </c>
      <c r="I900" s="41" t="s">
        <v>7069</v>
      </c>
      <c r="M900" s="41" t="e">
        <f>VLOOKUP(I900,错误mRNA总表!D:I,6,FALSE)</f>
        <v>#N/A</v>
      </c>
    </row>
    <row r="901" spans="1:13" x14ac:dyDescent="0.2">
      <c r="A901" s="12" t="s">
        <v>4481</v>
      </c>
      <c r="B901" s="12" t="s">
        <v>3984</v>
      </c>
      <c r="C901" s="12">
        <v>4499711</v>
      </c>
      <c r="D901" s="12">
        <v>4500677</v>
      </c>
      <c r="E901" s="12" t="s">
        <v>3943</v>
      </c>
      <c r="F901" s="12">
        <v>8</v>
      </c>
      <c r="H901" s="12" t="s">
        <v>3590</v>
      </c>
      <c r="I901" s="41" t="s">
        <v>7070</v>
      </c>
      <c r="M901" s="41" t="e">
        <f>VLOOKUP(I901,错误mRNA总表!D:I,6,FALSE)</f>
        <v>#N/A</v>
      </c>
    </row>
    <row r="902" spans="1:13" x14ac:dyDescent="0.2">
      <c r="A902" s="12" t="s">
        <v>4481</v>
      </c>
      <c r="B902" s="12" t="s">
        <v>3984</v>
      </c>
      <c r="C902" s="12">
        <v>4499711</v>
      </c>
      <c r="D902" s="12">
        <v>4501598</v>
      </c>
      <c r="E902" s="12" t="s">
        <v>3940</v>
      </c>
      <c r="F902" s="12">
        <v>1</v>
      </c>
      <c r="H902" s="12" t="s">
        <v>3590</v>
      </c>
      <c r="I902" s="41" t="s">
        <v>7070</v>
      </c>
      <c r="M902" s="41" t="e">
        <f>VLOOKUP(I902,错误mRNA总表!D:I,6,FALSE)</f>
        <v>#N/A</v>
      </c>
    </row>
    <row r="903" spans="1:13" x14ac:dyDescent="0.2">
      <c r="A903" s="12" t="s">
        <v>4482</v>
      </c>
      <c r="B903" s="12" t="s">
        <v>3948</v>
      </c>
      <c r="C903" s="12">
        <v>100331249</v>
      </c>
      <c r="D903" s="12">
        <v>100371476</v>
      </c>
      <c r="E903" s="12" t="s">
        <v>3940</v>
      </c>
      <c r="F903" s="12">
        <v>1</v>
      </c>
      <c r="G903" s="41" t="s">
        <v>40</v>
      </c>
      <c r="H903" s="12" t="s">
        <v>748</v>
      </c>
      <c r="I903" s="41" t="s">
        <v>3351</v>
      </c>
      <c r="J903" s="41" t="s">
        <v>3351</v>
      </c>
      <c r="K903" s="41" t="str">
        <f>VLOOKUP(J903,错误mRNA总表!D:J,7,FALSE)</f>
        <v>纠后正确</v>
      </c>
      <c r="L903" s="41" t="s">
        <v>3763</v>
      </c>
      <c r="M903" s="41">
        <f>VLOOKUP(I903,错误mRNA总表!D:I,6,FALSE)</f>
        <v>0</v>
      </c>
    </row>
    <row r="904" spans="1:13" x14ac:dyDescent="0.2">
      <c r="A904" s="12" t="s">
        <v>4483</v>
      </c>
      <c r="B904" s="12" t="s">
        <v>3939</v>
      </c>
      <c r="C904" s="12">
        <v>148678216</v>
      </c>
      <c r="D904" s="12">
        <v>148713418</v>
      </c>
      <c r="E904" s="12" t="s">
        <v>3940</v>
      </c>
      <c r="F904" s="12">
        <v>27</v>
      </c>
      <c r="G904" s="41" t="s">
        <v>73</v>
      </c>
      <c r="H904" s="12" t="s">
        <v>1404</v>
      </c>
      <c r="I904" s="41" t="s">
        <v>3206</v>
      </c>
      <c r="J904" s="41" t="s">
        <v>3206</v>
      </c>
      <c r="K904" s="41" t="str">
        <f>VLOOKUP(J904,错误mRNA总表!D:J,7,FALSE)</f>
        <v/>
      </c>
      <c r="M904" s="41">
        <f>VLOOKUP(I904,错误mRNA总表!D:I,6,FALSE)</f>
        <v>0</v>
      </c>
    </row>
    <row r="905" spans="1:13" x14ac:dyDescent="0.2">
      <c r="A905" s="12" t="s">
        <v>4484</v>
      </c>
      <c r="B905" s="12" t="s">
        <v>3952</v>
      </c>
      <c r="C905" s="12">
        <v>248805</v>
      </c>
      <c r="D905" s="12">
        <v>248840</v>
      </c>
      <c r="E905" s="12" t="s">
        <v>3940</v>
      </c>
      <c r="F905" s="12">
        <v>2</v>
      </c>
      <c r="H905" s="12" t="s">
        <v>3654</v>
      </c>
      <c r="I905" s="41" t="s">
        <v>7071</v>
      </c>
      <c r="M905" s="41" t="e">
        <f>VLOOKUP(I905,错误mRNA总表!D:I,6,FALSE)</f>
        <v>#N/A</v>
      </c>
    </row>
    <row r="906" spans="1:13" x14ac:dyDescent="0.2">
      <c r="A906" s="12" t="s">
        <v>4485</v>
      </c>
      <c r="B906" s="12" t="s">
        <v>3957</v>
      </c>
      <c r="C906" s="12">
        <v>27676440</v>
      </c>
      <c r="D906" s="12">
        <v>27676545</v>
      </c>
      <c r="E906" s="12" t="s">
        <v>3943</v>
      </c>
      <c r="F906" s="12">
        <v>1</v>
      </c>
      <c r="G906" s="41" t="s">
        <v>36</v>
      </c>
      <c r="H906" s="12" t="s">
        <v>5914</v>
      </c>
      <c r="I906" s="41" t="s">
        <v>7072</v>
      </c>
      <c r="M906" s="41" t="e">
        <f>VLOOKUP(I906,错误mRNA总表!D:I,6,FALSE)</f>
        <v>#N/A</v>
      </c>
    </row>
    <row r="907" spans="1:13" x14ac:dyDescent="0.2">
      <c r="A907" s="12" t="s">
        <v>4485</v>
      </c>
      <c r="B907" s="12" t="s">
        <v>3957</v>
      </c>
      <c r="C907" s="12">
        <v>27676440</v>
      </c>
      <c r="D907" s="12">
        <v>27679010</v>
      </c>
      <c r="E907" s="12" t="s">
        <v>3943</v>
      </c>
      <c r="F907" s="12">
        <v>1</v>
      </c>
      <c r="G907" s="41" t="s">
        <v>36</v>
      </c>
      <c r="H907" s="12" t="s">
        <v>5914</v>
      </c>
      <c r="I907" s="41" t="s">
        <v>7072</v>
      </c>
      <c r="M907" s="41" t="e">
        <f>VLOOKUP(I907,错误mRNA总表!D:I,6,FALSE)</f>
        <v>#N/A</v>
      </c>
    </row>
    <row r="908" spans="1:13" x14ac:dyDescent="0.2">
      <c r="A908" s="12" t="s">
        <v>4486</v>
      </c>
      <c r="B908" s="12" t="s">
        <v>3986</v>
      </c>
      <c r="C908" s="12">
        <v>7933605</v>
      </c>
      <c r="D908" s="12">
        <v>7938306</v>
      </c>
      <c r="E908" s="12" t="s">
        <v>3940</v>
      </c>
      <c r="F908" s="12">
        <v>1</v>
      </c>
      <c r="G908" s="41" t="s">
        <v>50</v>
      </c>
      <c r="H908" s="12" t="s">
        <v>5915</v>
      </c>
      <c r="I908" s="41" t="s">
        <v>7073</v>
      </c>
      <c r="M908" s="41" t="e">
        <f>VLOOKUP(I908,错误mRNA总表!D:I,6,FALSE)</f>
        <v>#N/A</v>
      </c>
    </row>
    <row r="909" spans="1:13" x14ac:dyDescent="0.2">
      <c r="A909" s="12" t="s">
        <v>4487</v>
      </c>
      <c r="B909" s="12" t="s">
        <v>4052</v>
      </c>
      <c r="C909" s="12">
        <v>60936348</v>
      </c>
      <c r="D909" s="12">
        <v>61006809</v>
      </c>
      <c r="E909" s="12" t="s">
        <v>3940</v>
      </c>
      <c r="F909" s="12">
        <v>1</v>
      </c>
      <c r="G909" s="41" t="s">
        <v>93</v>
      </c>
      <c r="H909" s="12" t="s">
        <v>6513</v>
      </c>
      <c r="I909" s="41" t="s">
        <v>7074</v>
      </c>
      <c r="M909" s="41" t="e">
        <f>VLOOKUP(I909,错误mRNA总表!D:I,6,FALSE)</f>
        <v>#N/A</v>
      </c>
    </row>
    <row r="910" spans="1:13" x14ac:dyDescent="0.2">
      <c r="A910" s="12" t="s">
        <v>4488</v>
      </c>
      <c r="B910" s="12" t="s">
        <v>3948</v>
      </c>
      <c r="C910" s="12">
        <v>128530001</v>
      </c>
      <c r="D910" s="12">
        <v>128550680</v>
      </c>
      <c r="E910" s="12" t="s">
        <v>3943</v>
      </c>
      <c r="F910" s="12">
        <v>1</v>
      </c>
      <c r="G910" s="41" t="s">
        <v>40</v>
      </c>
      <c r="H910" s="12" t="s">
        <v>757</v>
      </c>
      <c r="I910" s="41" t="s">
        <v>2248</v>
      </c>
      <c r="J910" s="41" t="s">
        <v>2248</v>
      </c>
      <c r="K910" s="41" t="str">
        <f>VLOOKUP(J910,错误mRNA总表!D:J,7,FALSE)</f>
        <v>纠后正确</v>
      </c>
      <c r="L910" s="41" t="s">
        <v>3763</v>
      </c>
      <c r="M910" s="41">
        <f>VLOOKUP(I910,错误mRNA总表!D:I,6,FALSE)</f>
        <v>0</v>
      </c>
    </row>
    <row r="911" spans="1:13" x14ac:dyDescent="0.2">
      <c r="A911" s="12" t="s">
        <v>4488</v>
      </c>
      <c r="B911" s="12" t="s">
        <v>3948</v>
      </c>
      <c r="C911" s="12">
        <v>128530001</v>
      </c>
      <c r="D911" s="12">
        <v>128533514</v>
      </c>
      <c r="E911" s="12" t="s">
        <v>3940</v>
      </c>
      <c r="F911" s="12">
        <v>1</v>
      </c>
      <c r="G911" s="41" t="s">
        <v>40</v>
      </c>
      <c r="H911" s="12" t="s">
        <v>757</v>
      </c>
      <c r="I911" s="41" t="s">
        <v>2248</v>
      </c>
      <c r="J911" s="41" t="s">
        <v>2248</v>
      </c>
      <c r="K911" s="41" t="str">
        <f>VLOOKUP(J911,错误mRNA总表!D:J,7,FALSE)</f>
        <v>纠后正确</v>
      </c>
      <c r="L911" s="41" t="s">
        <v>3763</v>
      </c>
      <c r="M911" s="41">
        <f>VLOOKUP(I911,错误mRNA总表!D:I,6,FALSE)</f>
        <v>0</v>
      </c>
    </row>
    <row r="912" spans="1:13" x14ac:dyDescent="0.2">
      <c r="A912" s="12" t="s">
        <v>4489</v>
      </c>
      <c r="B912" s="12" t="s">
        <v>3957</v>
      </c>
      <c r="C912" s="12">
        <v>94800041</v>
      </c>
      <c r="D912" s="12">
        <v>94800903</v>
      </c>
      <c r="E912" s="12" t="s">
        <v>3940</v>
      </c>
      <c r="F912" s="12">
        <v>1</v>
      </c>
      <c r="G912" s="41" t="s">
        <v>36</v>
      </c>
      <c r="H912" s="12" t="s">
        <v>5916</v>
      </c>
      <c r="I912" s="41" t="s">
        <v>7075</v>
      </c>
      <c r="M912" s="41" t="e">
        <f>VLOOKUP(I912,错误mRNA总表!D:I,6,FALSE)</f>
        <v>#N/A</v>
      </c>
    </row>
    <row r="913" spans="1:13" x14ac:dyDescent="0.2">
      <c r="A913" s="12" t="s">
        <v>4490</v>
      </c>
      <c r="B913" s="12" t="s">
        <v>4124</v>
      </c>
      <c r="C913" s="12">
        <v>95831162</v>
      </c>
      <c r="D913" s="12">
        <v>95847046</v>
      </c>
      <c r="E913" s="12" t="s">
        <v>3943</v>
      </c>
      <c r="F913" s="12">
        <v>3</v>
      </c>
      <c r="G913" s="41" t="s">
        <v>1</v>
      </c>
      <c r="H913" s="12" t="s">
        <v>431</v>
      </c>
      <c r="I913" s="41" t="s">
        <v>7076</v>
      </c>
      <c r="J913" s="41" t="s">
        <v>2230</v>
      </c>
      <c r="K913" s="41" t="str">
        <f>VLOOKUP(J913,错误mRNA总表!D:J,7,FALSE)</f>
        <v>纠后正确，氨基酸少1个，chr2：95847047-95847854</v>
      </c>
      <c r="M913" s="41" t="e">
        <f>VLOOKUP(I913,错误mRNA总表!D:I,6,FALSE)</f>
        <v>#N/A</v>
      </c>
    </row>
    <row r="914" spans="1:13" x14ac:dyDescent="0.2">
      <c r="A914" s="12" t="s">
        <v>4091</v>
      </c>
      <c r="B914" s="12" t="s">
        <v>4001</v>
      </c>
      <c r="C914" s="12">
        <v>3467251</v>
      </c>
      <c r="D914" s="12">
        <v>3468046</v>
      </c>
      <c r="E914" s="12" t="s">
        <v>3940</v>
      </c>
      <c r="F914" s="12">
        <v>3</v>
      </c>
      <c r="H914" s="12" t="s">
        <v>3578</v>
      </c>
      <c r="I914" s="41" t="s">
        <v>7077</v>
      </c>
      <c r="M914" s="41" t="e">
        <f>VLOOKUP(I914,错误mRNA总表!D:I,6,FALSE)</f>
        <v>#N/A</v>
      </c>
    </row>
    <row r="915" spans="1:13" x14ac:dyDescent="0.2">
      <c r="A915" s="12" t="s">
        <v>4491</v>
      </c>
      <c r="B915" s="12" t="s">
        <v>4157</v>
      </c>
      <c r="C915" s="12">
        <v>380630</v>
      </c>
      <c r="D915" s="12">
        <v>390653</v>
      </c>
      <c r="E915" s="12" t="s">
        <v>3940</v>
      </c>
      <c r="F915" s="12">
        <v>1</v>
      </c>
      <c r="H915" s="12" t="s">
        <v>5917</v>
      </c>
      <c r="I915" s="41" t="s">
        <v>7078</v>
      </c>
      <c r="M915" s="41" t="e">
        <f>VLOOKUP(I915,错误mRNA总表!D:I,6,FALSE)</f>
        <v>#N/A</v>
      </c>
    </row>
    <row r="916" spans="1:13" x14ac:dyDescent="0.2">
      <c r="A916" s="12" t="s">
        <v>4492</v>
      </c>
      <c r="B916" s="12" t="s">
        <v>3939</v>
      </c>
      <c r="C916" s="12">
        <v>1314869</v>
      </c>
      <c r="D916" s="12">
        <v>1314883</v>
      </c>
      <c r="E916" s="12" t="s">
        <v>3940</v>
      </c>
      <c r="F916" s="12">
        <v>2</v>
      </c>
      <c r="G916" s="41" t="s">
        <v>73</v>
      </c>
      <c r="H916" s="12" t="s">
        <v>1362</v>
      </c>
      <c r="I916" s="41" t="s">
        <v>6851</v>
      </c>
      <c r="J916" s="41" t="s">
        <v>3403</v>
      </c>
      <c r="K916" s="41" t="str">
        <f>VLOOKUP(J916,错误mRNA总表!D:J,7,FALSE)</f>
        <v/>
      </c>
      <c r="M916" s="41" t="e">
        <f>VLOOKUP(I916,错误mRNA总表!D:I,6,FALSE)</f>
        <v>#N/A</v>
      </c>
    </row>
    <row r="917" spans="1:13" x14ac:dyDescent="0.2">
      <c r="A917" s="12" t="s">
        <v>4492</v>
      </c>
      <c r="B917" s="12" t="s">
        <v>3939</v>
      </c>
      <c r="C917" s="12">
        <v>1314869</v>
      </c>
      <c r="D917" s="12">
        <v>1314893</v>
      </c>
      <c r="E917" s="12" t="s">
        <v>3940</v>
      </c>
      <c r="F917" s="12">
        <v>1</v>
      </c>
      <c r="G917" s="41" t="s">
        <v>73</v>
      </c>
      <c r="H917" s="12" t="s">
        <v>1362</v>
      </c>
      <c r="I917" s="41" t="s">
        <v>6851</v>
      </c>
      <c r="J917" s="41" t="s">
        <v>3403</v>
      </c>
      <c r="K917" s="41" t="str">
        <f>VLOOKUP(J917,错误mRNA总表!D:J,7,FALSE)</f>
        <v/>
      </c>
      <c r="M917" s="41" t="e">
        <f>VLOOKUP(I917,错误mRNA总表!D:I,6,FALSE)</f>
        <v>#N/A</v>
      </c>
    </row>
    <row r="918" spans="1:13" x14ac:dyDescent="0.2">
      <c r="A918" s="12" t="s">
        <v>4493</v>
      </c>
      <c r="B918" s="12" t="s">
        <v>4023</v>
      </c>
      <c r="C918" s="12">
        <v>954315</v>
      </c>
      <c r="D918" s="12">
        <v>955234</v>
      </c>
      <c r="E918" s="12" t="s">
        <v>3943</v>
      </c>
      <c r="F918" s="12">
        <v>1</v>
      </c>
      <c r="H918" s="12" t="s">
        <v>3644</v>
      </c>
      <c r="I918" s="41" t="s">
        <v>7079</v>
      </c>
      <c r="M918" s="41" t="e">
        <f>VLOOKUP(I918,错误mRNA总表!D:I,6,FALSE)</f>
        <v>#N/A</v>
      </c>
    </row>
    <row r="919" spans="1:13" x14ac:dyDescent="0.2">
      <c r="A919" s="12" t="s">
        <v>4494</v>
      </c>
      <c r="B919" s="12" t="s">
        <v>3954</v>
      </c>
      <c r="C919" s="12">
        <v>177604685</v>
      </c>
      <c r="D919" s="12">
        <v>177605081</v>
      </c>
      <c r="E919" s="12" t="s">
        <v>3943</v>
      </c>
      <c r="F919" s="12">
        <v>3</v>
      </c>
      <c r="G919" s="41" t="s">
        <v>569</v>
      </c>
      <c r="H919" s="12" t="s">
        <v>632</v>
      </c>
      <c r="I919" s="41" t="s">
        <v>7080</v>
      </c>
      <c r="J919" s="41" t="s">
        <v>3230</v>
      </c>
      <c r="K919" s="41" t="str">
        <f>VLOOKUP(J919,错误mRNA总表!D:J,7,FALSE)</f>
        <v/>
      </c>
      <c r="M919" s="41" t="e">
        <f>VLOOKUP(I919,错误mRNA总表!D:I,6,FALSE)</f>
        <v>#N/A</v>
      </c>
    </row>
    <row r="920" spans="1:13" x14ac:dyDescent="0.2">
      <c r="A920" s="12" t="s">
        <v>4495</v>
      </c>
      <c r="B920" s="12" t="s">
        <v>4185</v>
      </c>
      <c r="C920" s="12">
        <v>500676</v>
      </c>
      <c r="D920" s="12">
        <v>509934</v>
      </c>
      <c r="E920" s="12" t="s">
        <v>3943</v>
      </c>
      <c r="F920" s="12">
        <v>1</v>
      </c>
      <c r="H920" s="12" t="s">
        <v>3675</v>
      </c>
      <c r="I920" s="41" t="s">
        <v>7081</v>
      </c>
      <c r="M920" s="41" t="e">
        <f>VLOOKUP(I920,错误mRNA总表!D:I,6,FALSE)</f>
        <v>#N/A</v>
      </c>
    </row>
    <row r="921" spans="1:13" x14ac:dyDescent="0.2">
      <c r="A921" s="12" t="s">
        <v>4496</v>
      </c>
      <c r="B921" s="12" t="s">
        <v>3946</v>
      </c>
      <c r="C921" s="12">
        <v>46970148</v>
      </c>
      <c r="D921" s="12">
        <v>46973145</v>
      </c>
      <c r="E921" s="12" t="s">
        <v>3943</v>
      </c>
      <c r="F921" s="12">
        <v>1</v>
      </c>
      <c r="G921" s="41" t="s">
        <v>47</v>
      </c>
      <c r="H921" s="12" t="s">
        <v>6401</v>
      </c>
      <c r="I921" s="41" t="s">
        <v>7082</v>
      </c>
      <c r="M921" s="41" t="e">
        <f>VLOOKUP(I921,错误mRNA总表!D:I,6,FALSE)</f>
        <v>#N/A</v>
      </c>
    </row>
    <row r="922" spans="1:13" x14ac:dyDescent="0.2">
      <c r="A922" s="12" t="s">
        <v>4094</v>
      </c>
      <c r="B922" s="12" t="s">
        <v>4098</v>
      </c>
      <c r="C922" s="12">
        <v>248816</v>
      </c>
      <c r="D922" s="12">
        <v>248851</v>
      </c>
      <c r="E922" s="12" t="s">
        <v>3940</v>
      </c>
      <c r="F922" s="12">
        <v>2</v>
      </c>
      <c r="H922" s="12" t="s">
        <v>3656</v>
      </c>
      <c r="I922" s="41" t="s">
        <v>7083</v>
      </c>
      <c r="M922" s="41" t="e">
        <f>VLOOKUP(I922,错误mRNA总表!D:I,6,FALSE)</f>
        <v>#N/A</v>
      </c>
    </row>
    <row r="923" spans="1:13" x14ac:dyDescent="0.2">
      <c r="A923" s="12" t="s">
        <v>4497</v>
      </c>
      <c r="B923" s="12" t="s">
        <v>3957</v>
      </c>
      <c r="C923" s="12">
        <v>118895061</v>
      </c>
      <c r="D923" s="12">
        <v>118898435</v>
      </c>
      <c r="E923" s="12" t="s">
        <v>3943</v>
      </c>
      <c r="F923" s="12">
        <v>1</v>
      </c>
      <c r="G923" s="41" t="s">
        <v>36</v>
      </c>
      <c r="H923" s="12" t="s">
        <v>152</v>
      </c>
      <c r="I923" s="41" t="s">
        <v>2138</v>
      </c>
      <c r="J923" s="41" t="s">
        <v>2138</v>
      </c>
      <c r="K923" s="41" t="str">
        <f>VLOOKUP(J923,错误mRNA总表!D:J,7,FALSE)</f>
        <v>纠后正确</v>
      </c>
      <c r="L923" s="41" t="s">
        <v>3763</v>
      </c>
      <c r="M923" s="41">
        <f>VLOOKUP(I923,错误mRNA总表!D:I,6,FALSE)</f>
        <v>0</v>
      </c>
    </row>
    <row r="924" spans="1:13" x14ac:dyDescent="0.2">
      <c r="A924" s="12" t="s">
        <v>4498</v>
      </c>
      <c r="B924" s="12" t="s">
        <v>3994</v>
      </c>
      <c r="C924" s="12">
        <v>3034010</v>
      </c>
      <c r="D924" s="12">
        <v>3035575</v>
      </c>
      <c r="E924" s="12" t="s">
        <v>3943</v>
      </c>
      <c r="F924" s="12">
        <v>1</v>
      </c>
      <c r="H924" s="12" t="s">
        <v>3571</v>
      </c>
      <c r="I924" s="41" t="s">
        <v>7084</v>
      </c>
      <c r="M924" s="41" t="e">
        <f>VLOOKUP(I924,错误mRNA总表!D:I,6,FALSE)</f>
        <v>#N/A</v>
      </c>
    </row>
    <row r="925" spans="1:13" x14ac:dyDescent="0.2">
      <c r="A925" s="12" t="s">
        <v>4499</v>
      </c>
      <c r="B925" s="12" t="s">
        <v>3950</v>
      </c>
      <c r="C925" s="12">
        <v>165065</v>
      </c>
      <c r="D925" s="12">
        <v>169137</v>
      </c>
      <c r="E925" s="12" t="s">
        <v>3940</v>
      </c>
      <c r="F925" s="12">
        <v>3</v>
      </c>
      <c r="H925" s="12" t="s">
        <v>3650</v>
      </c>
      <c r="I925" s="41" t="s">
        <v>7085</v>
      </c>
      <c r="M925" s="41" t="e">
        <f>VLOOKUP(I925,错误mRNA总表!D:I,6,FALSE)</f>
        <v>#N/A</v>
      </c>
    </row>
    <row r="926" spans="1:13" x14ac:dyDescent="0.2">
      <c r="A926" s="12" t="s">
        <v>4500</v>
      </c>
      <c r="B926" s="12" t="s">
        <v>3939</v>
      </c>
      <c r="C926" s="12">
        <v>148622519</v>
      </c>
      <c r="D926" s="12">
        <v>148629238</v>
      </c>
      <c r="E926" s="12" t="s">
        <v>3940</v>
      </c>
      <c r="F926" s="12">
        <v>1</v>
      </c>
      <c r="G926" s="41" t="s">
        <v>73</v>
      </c>
      <c r="H926" s="12" t="s">
        <v>5918</v>
      </c>
      <c r="I926" s="41" t="s">
        <v>7086</v>
      </c>
      <c r="M926" s="41" t="e">
        <f>VLOOKUP(I926,错误mRNA总表!D:I,6,FALSE)</f>
        <v>#N/A</v>
      </c>
    </row>
    <row r="927" spans="1:13" x14ac:dyDescent="0.2">
      <c r="A927" s="12" t="s">
        <v>4501</v>
      </c>
      <c r="B927" s="12" t="s">
        <v>4502</v>
      </c>
      <c r="C927" s="12">
        <v>19469</v>
      </c>
      <c r="D927" s="12">
        <v>116100</v>
      </c>
      <c r="E927" s="12" t="s">
        <v>3940</v>
      </c>
      <c r="F927" s="12">
        <v>3</v>
      </c>
      <c r="H927" s="12" t="s">
        <v>5919</v>
      </c>
      <c r="I927" s="41" t="s">
        <v>7087</v>
      </c>
      <c r="M927" s="41" t="e">
        <f>VLOOKUP(I927,错误mRNA总表!D:I,6,FALSE)</f>
        <v>#N/A</v>
      </c>
    </row>
    <row r="928" spans="1:13" x14ac:dyDescent="0.2">
      <c r="A928" s="12" t="s">
        <v>4221</v>
      </c>
      <c r="B928" s="12" t="s">
        <v>3996</v>
      </c>
      <c r="C928" s="12">
        <v>1143559</v>
      </c>
      <c r="D928" s="12">
        <v>1158907</v>
      </c>
      <c r="E928" s="12" t="s">
        <v>3943</v>
      </c>
      <c r="F928" s="12">
        <v>8</v>
      </c>
      <c r="H928" s="12" t="s">
        <v>3527</v>
      </c>
      <c r="I928" s="41" t="s">
        <v>7088</v>
      </c>
      <c r="M928" s="41" t="e">
        <f>VLOOKUP(I928,错误mRNA总表!D:I,6,FALSE)</f>
        <v>#N/A</v>
      </c>
    </row>
    <row r="929" spans="1:13" x14ac:dyDescent="0.2">
      <c r="A929" s="12" t="s">
        <v>4503</v>
      </c>
      <c r="B929" s="12" t="s">
        <v>3984</v>
      </c>
      <c r="C929" s="12">
        <v>2073563</v>
      </c>
      <c r="D929" s="12">
        <v>2074109</v>
      </c>
      <c r="E929" s="12" t="s">
        <v>3943</v>
      </c>
      <c r="F929" s="12">
        <v>4</v>
      </c>
      <c r="H929" s="12" t="s">
        <v>5920</v>
      </c>
      <c r="I929" s="41" t="s">
        <v>7089</v>
      </c>
      <c r="M929" s="41" t="e">
        <f>VLOOKUP(I929,错误mRNA总表!D:I,6,FALSE)</f>
        <v>#N/A</v>
      </c>
    </row>
    <row r="930" spans="1:13" x14ac:dyDescent="0.2">
      <c r="A930" s="12" t="s">
        <v>4504</v>
      </c>
      <c r="B930" s="12" t="s">
        <v>4069</v>
      </c>
      <c r="C930" s="12">
        <v>59711457</v>
      </c>
      <c r="D930" s="12">
        <v>59711856</v>
      </c>
      <c r="E930" s="12" t="s">
        <v>3940</v>
      </c>
      <c r="F930" s="12">
        <v>2</v>
      </c>
      <c r="G930" s="41" t="s">
        <v>179</v>
      </c>
      <c r="H930" s="12" t="s">
        <v>6606</v>
      </c>
      <c r="I930" s="41" t="s">
        <v>7090</v>
      </c>
      <c r="M930" s="41" t="e">
        <f>VLOOKUP(I930,错误mRNA总表!D:I,6,FALSE)</f>
        <v>#N/A</v>
      </c>
    </row>
    <row r="931" spans="1:13" x14ac:dyDescent="0.2">
      <c r="A931" s="12" t="s">
        <v>4505</v>
      </c>
      <c r="B931" s="12" t="s">
        <v>3994</v>
      </c>
      <c r="C931" s="12">
        <v>1333524</v>
      </c>
      <c r="D931" s="12">
        <v>1333544</v>
      </c>
      <c r="E931" s="12" t="s">
        <v>3943</v>
      </c>
      <c r="F931" s="12">
        <v>1</v>
      </c>
      <c r="H931" s="12" t="s">
        <v>3535</v>
      </c>
      <c r="I931" s="41" t="s">
        <v>7091</v>
      </c>
      <c r="M931" s="41" t="e">
        <f>VLOOKUP(I931,错误mRNA总表!D:I,6,FALSE)</f>
        <v>#N/A</v>
      </c>
    </row>
    <row r="932" spans="1:13" x14ac:dyDescent="0.2">
      <c r="A932" s="12" t="s">
        <v>4506</v>
      </c>
      <c r="B932" s="12" t="s">
        <v>3966</v>
      </c>
      <c r="C932" s="12">
        <v>36585176</v>
      </c>
      <c r="D932" s="12">
        <v>36587845</v>
      </c>
      <c r="E932" s="12" t="s">
        <v>3940</v>
      </c>
      <c r="F932" s="12">
        <v>2</v>
      </c>
      <c r="G932" s="41" t="s">
        <v>43</v>
      </c>
      <c r="H932" s="12" t="s">
        <v>44</v>
      </c>
      <c r="I932" s="41" t="s">
        <v>2078</v>
      </c>
      <c r="J932" s="41" t="s">
        <v>2078</v>
      </c>
      <c r="K932" s="41" t="str">
        <f>VLOOKUP(J932,错误mRNA总表!D:J,7,FALSE)</f>
        <v>纠后正确</v>
      </c>
      <c r="L932" s="41" t="s">
        <v>3763</v>
      </c>
      <c r="M932" s="41">
        <f>VLOOKUP(I932,错误mRNA总表!D:I,6,FALSE)</f>
        <v>0</v>
      </c>
    </row>
    <row r="933" spans="1:13" x14ac:dyDescent="0.2">
      <c r="A933" s="12" t="s">
        <v>4507</v>
      </c>
      <c r="B933" s="12" t="s">
        <v>3948</v>
      </c>
      <c r="C933" s="12">
        <v>50344378</v>
      </c>
      <c r="D933" s="12">
        <v>50344382</v>
      </c>
      <c r="E933" s="12" t="s">
        <v>3940</v>
      </c>
      <c r="F933" s="12">
        <v>1</v>
      </c>
      <c r="G933" s="41" t="s">
        <v>40</v>
      </c>
      <c r="H933" s="12" t="s">
        <v>250</v>
      </c>
      <c r="I933" s="41" t="s">
        <v>3328</v>
      </c>
      <c r="J933" s="41" t="s">
        <v>3328</v>
      </c>
      <c r="K933" s="41" t="str">
        <f>VLOOKUP(J933,错误mRNA总表!D:J,7,FALSE)</f>
        <v>无变化</v>
      </c>
      <c r="L933" s="41" t="s">
        <v>3762</v>
      </c>
      <c r="M933" s="41">
        <f>VLOOKUP(I933,错误mRNA总表!D:I,6,FALSE)</f>
        <v>0</v>
      </c>
    </row>
    <row r="934" spans="1:13" x14ac:dyDescent="0.2">
      <c r="A934" s="12" t="s">
        <v>4508</v>
      </c>
      <c r="B934" s="12" t="s">
        <v>4042</v>
      </c>
      <c r="C934" s="12">
        <v>82804003</v>
      </c>
      <c r="D934" s="12">
        <v>82808440</v>
      </c>
      <c r="E934" s="12" t="s">
        <v>3943</v>
      </c>
      <c r="F934" s="12">
        <v>21</v>
      </c>
      <c r="G934" s="41" t="s">
        <v>113</v>
      </c>
      <c r="H934" s="12" t="s">
        <v>5921</v>
      </c>
      <c r="I934" s="41" t="s">
        <v>7092</v>
      </c>
      <c r="M934" s="41" t="e">
        <f>VLOOKUP(I934,错误mRNA总表!D:I,6,FALSE)</f>
        <v>#N/A</v>
      </c>
    </row>
    <row r="935" spans="1:13" x14ac:dyDescent="0.2">
      <c r="A935" s="12" t="s">
        <v>4508</v>
      </c>
      <c r="B935" s="12" t="s">
        <v>4042</v>
      </c>
      <c r="C935" s="12">
        <v>82804003</v>
      </c>
      <c r="D935" s="12">
        <v>82808586</v>
      </c>
      <c r="E935" s="12" t="s">
        <v>3943</v>
      </c>
      <c r="F935" s="12">
        <v>8</v>
      </c>
      <c r="G935" s="41" t="s">
        <v>113</v>
      </c>
      <c r="H935" s="12" t="s">
        <v>5921</v>
      </c>
      <c r="I935" s="41" t="s">
        <v>7092</v>
      </c>
      <c r="M935" s="41" t="e">
        <f>VLOOKUP(I935,错误mRNA总表!D:I,6,FALSE)</f>
        <v>#N/A</v>
      </c>
    </row>
    <row r="936" spans="1:13" x14ac:dyDescent="0.2">
      <c r="A936" s="12" t="s">
        <v>4508</v>
      </c>
      <c r="B936" s="12" t="s">
        <v>4042</v>
      </c>
      <c r="C936" s="12">
        <v>82804003</v>
      </c>
      <c r="D936" s="12">
        <v>82808598</v>
      </c>
      <c r="E936" s="12" t="s">
        <v>3940</v>
      </c>
      <c r="F936" s="12">
        <v>2</v>
      </c>
      <c r="G936" s="41" t="s">
        <v>113</v>
      </c>
      <c r="H936" s="12" t="s">
        <v>5921</v>
      </c>
      <c r="I936" s="41" t="s">
        <v>7092</v>
      </c>
      <c r="M936" s="41" t="e">
        <f>VLOOKUP(I936,错误mRNA总表!D:I,6,FALSE)</f>
        <v>#N/A</v>
      </c>
    </row>
    <row r="937" spans="1:13" x14ac:dyDescent="0.2">
      <c r="A937" s="12" t="s">
        <v>4508</v>
      </c>
      <c r="B937" s="12" t="s">
        <v>4042</v>
      </c>
      <c r="C937" s="12">
        <v>82804003</v>
      </c>
      <c r="D937" s="12">
        <v>82808649</v>
      </c>
      <c r="E937" s="12" t="s">
        <v>3943</v>
      </c>
      <c r="F937" s="12">
        <v>9</v>
      </c>
      <c r="G937" s="41" t="s">
        <v>113</v>
      </c>
      <c r="H937" s="12" t="s">
        <v>5921</v>
      </c>
      <c r="I937" s="41" t="s">
        <v>7092</v>
      </c>
      <c r="M937" s="41" t="e">
        <f>VLOOKUP(I937,错误mRNA总表!D:I,6,FALSE)</f>
        <v>#N/A</v>
      </c>
    </row>
    <row r="938" spans="1:13" x14ac:dyDescent="0.2">
      <c r="A938" s="12" t="s">
        <v>4508</v>
      </c>
      <c r="B938" s="12" t="s">
        <v>4042</v>
      </c>
      <c r="C938" s="12">
        <v>82804003</v>
      </c>
      <c r="D938" s="12">
        <v>82808666</v>
      </c>
      <c r="E938" s="12" t="s">
        <v>3943</v>
      </c>
      <c r="F938" s="12">
        <v>12</v>
      </c>
      <c r="G938" s="41" t="s">
        <v>113</v>
      </c>
      <c r="H938" s="12" t="s">
        <v>5921</v>
      </c>
      <c r="I938" s="41" t="s">
        <v>7092</v>
      </c>
      <c r="M938" s="41" t="e">
        <f>VLOOKUP(I938,错误mRNA总表!D:I,6,FALSE)</f>
        <v>#N/A</v>
      </c>
    </row>
    <row r="939" spans="1:13" x14ac:dyDescent="0.2">
      <c r="A939" s="12" t="s">
        <v>4508</v>
      </c>
      <c r="B939" s="12" t="s">
        <v>4042</v>
      </c>
      <c r="C939" s="12">
        <v>82804003</v>
      </c>
      <c r="D939" s="12">
        <v>82808996</v>
      </c>
      <c r="E939" s="12" t="s">
        <v>3940</v>
      </c>
      <c r="F939" s="12">
        <v>18</v>
      </c>
      <c r="G939" s="41" t="s">
        <v>113</v>
      </c>
      <c r="H939" s="12" t="s">
        <v>5921</v>
      </c>
      <c r="I939" s="41" t="s">
        <v>7092</v>
      </c>
      <c r="M939" s="41" t="e">
        <f>VLOOKUP(I939,错误mRNA总表!D:I,6,FALSE)</f>
        <v>#N/A</v>
      </c>
    </row>
    <row r="940" spans="1:13" x14ac:dyDescent="0.2">
      <c r="A940" s="12" t="s">
        <v>4297</v>
      </c>
      <c r="B940" s="12" t="s">
        <v>3996</v>
      </c>
      <c r="C940" s="12">
        <v>387335</v>
      </c>
      <c r="D940" s="12">
        <v>387394</v>
      </c>
      <c r="E940" s="12" t="s">
        <v>3940</v>
      </c>
      <c r="F940" s="12">
        <v>2</v>
      </c>
      <c r="H940" s="12" t="s">
        <v>5860</v>
      </c>
      <c r="I940" s="41" t="s">
        <v>7093</v>
      </c>
      <c r="M940" s="41" t="e">
        <f>VLOOKUP(I940,错误mRNA总表!D:I,6,FALSE)</f>
        <v>#N/A</v>
      </c>
    </row>
    <row r="941" spans="1:13" x14ac:dyDescent="0.2">
      <c r="A941" s="12" t="s">
        <v>4509</v>
      </c>
      <c r="B941" s="12" t="s">
        <v>3984</v>
      </c>
      <c r="C941" s="12">
        <v>3089163</v>
      </c>
      <c r="D941" s="12">
        <v>3091425</v>
      </c>
      <c r="E941" s="12" t="s">
        <v>3943</v>
      </c>
      <c r="F941" s="12">
        <v>5</v>
      </c>
      <c r="H941" s="12" t="s">
        <v>3573</v>
      </c>
      <c r="I941" s="41" t="s">
        <v>7094</v>
      </c>
      <c r="M941" s="41" t="e">
        <f>VLOOKUP(I941,错误mRNA总表!D:I,6,FALSE)</f>
        <v>#N/A</v>
      </c>
    </row>
    <row r="942" spans="1:13" x14ac:dyDescent="0.2">
      <c r="A942" s="12" t="s">
        <v>4509</v>
      </c>
      <c r="B942" s="12" t="s">
        <v>3984</v>
      </c>
      <c r="C942" s="12">
        <v>3089163</v>
      </c>
      <c r="D942" s="12">
        <v>3091578</v>
      </c>
      <c r="E942" s="12" t="s">
        <v>3940</v>
      </c>
      <c r="F942" s="12">
        <v>1</v>
      </c>
      <c r="H942" s="12" t="s">
        <v>3573</v>
      </c>
      <c r="I942" s="41" t="s">
        <v>7094</v>
      </c>
      <c r="M942" s="41" t="e">
        <f>VLOOKUP(I942,错误mRNA总表!D:I,6,FALSE)</f>
        <v>#N/A</v>
      </c>
    </row>
    <row r="943" spans="1:13" x14ac:dyDescent="0.2">
      <c r="A943" s="12" t="s">
        <v>4510</v>
      </c>
      <c r="B943" s="12" t="s">
        <v>3939</v>
      </c>
      <c r="C943" s="12">
        <v>48928813</v>
      </c>
      <c r="D943" s="12">
        <v>48929262</v>
      </c>
      <c r="E943" s="12" t="s">
        <v>3943</v>
      </c>
      <c r="F943" s="12">
        <v>2</v>
      </c>
      <c r="G943" s="41" t="s">
        <v>73</v>
      </c>
      <c r="H943" s="12" t="s">
        <v>3687</v>
      </c>
      <c r="I943" s="41" t="s">
        <v>7095</v>
      </c>
      <c r="M943" s="41" t="e">
        <f>VLOOKUP(I943,错误mRNA总表!D:I,6,FALSE)</f>
        <v>#N/A</v>
      </c>
    </row>
    <row r="944" spans="1:13" x14ac:dyDescent="0.2">
      <c r="A944" s="12" t="s">
        <v>4147</v>
      </c>
      <c r="B944" s="12" t="s">
        <v>3984</v>
      </c>
      <c r="C944" s="12">
        <v>1272781</v>
      </c>
      <c r="D944" s="12">
        <v>1273055</v>
      </c>
      <c r="E944" s="12" t="s">
        <v>3943</v>
      </c>
      <c r="F944" s="12">
        <v>4</v>
      </c>
      <c r="H944" s="12" t="s">
        <v>5814</v>
      </c>
      <c r="I944" s="41" t="s">
        <v>7096</v>
      </c>
      <c r="M944" s="41" t="e">
        <f>VLOOKUP(I944,错误mRNA总表!D:I,6,FALSE)</f>
        <v>#N/A</v>
      </c>
    </row>
    <row r="945" spans="1:13" x14ac:dyDescent="0.2">
      <c r="A945" s="12" t="s">
        <v>4147</v>
      </c>
      <c r="B945" s="12" t="s">
        <v>3984</v>
      </c>
      <c r="C945" s="12">
        <v>1272781</v>
      </c>
      <c r="D945" s="12">
        <v>1274184</v>
      </c>
      <c r="E945" s="12" t="s">
        <v>3943</v>
      </c>
      <c r="F945" s="12">
        <v>19</v>
      </c>
      <c r="H945" s="12" t="s">
        <v>5814</v>
      </c>
      <c r="I945" s="41" t="s">
        <v>7096</v>
      </c>
      <c r="M945" s="41" t="e">
        <f>VLOOKUP(I945,错误mRNA总表!D:I,6,FALSE)</f>
        <v>#N/A</v>
      </c>
    </row>
    <row r="946" spans="1:13" x14ac:dyDescent="0.2">
      <c r="A946" s="12" t="s">
        <v>4147</v>
      </c>
      <c r="B946" s="12" t="s">
        <v>3984</v>
      </c>
      <c r="C946" s="12">
        <v>1272781</v>
      </c>
      <c r="D946" s="12">
        <v>1274299</v>
      </c>
      <c r="E946" s="12" t="s">
        <v>3940</v>
      </c>
      <c r="F946" s="12">
        <v>1</v>
      </c>
      <c r="H946" s="12" t="s">
        <v>5814</v>
      </c>
      <c r="I946" s="41" t="s">
        <v>7096</v>
      </c>
      <c r="M946" s="41" t="e">
        <f>VLOOKUP(I946,错误mRNA总表!D:I,6,FALSE)</f>
        <v>#N/A</v>
      </c>
    </row>
    <row r="947" spans="1:13" x14ac:dyDescent="0.2">
      <c r="A947" s="12" t="s">
        <v>3938</v>
      </c>
      <c r="B947" s="12" t="s">
        <v>4047</v>
      </c>
      <c r="C947" s="12">
        <v>1264869</v>
      </c>
      <c r="D947" s="12">
        <v>1264883</v>
      </c>
      <c r="E947" s="12" t="s">
        <v>3940</v>
      </c>
      <c r="F947" s="12">
        <v>2</v>
      </c>
      <c r="G947" s="41" t="s">
        <v>1409</v>
      </c>
      <c r="H947" s="12" t="s">
        <v>5766</v>
      </c>
      <c r="I947" s="41" t="s">
        <v>7097</v>
      </c>
      <c r="M947" s="41" t="e">
        <f>VLOOKUP(I947,错误mRNA总表!D:I,6,FALSE)</f>
        <v>#N/A</v>
      </c>
    </row>
    <row r="948" spans="1:13" x14ac:dyDescent="0.2">
      <c r="A948" s="12" t="s">
        <v>3938</v>
      </c>
      <c r="B948" s="12" t="s">
        <v>4047</v>
      </c>
      <c r="C948" s="12">
        <v>1264869</v>
      </c>
      <c r="D948" s="12">
        <v>1264893</v>
      </c>
      <c r="E948" s="12" t="s">
        <v>3940</v>
      </c>
      <c r="F948" s="12">
        <v>1</v>
      </c>
      <c r="G948" s="41" t="s">
        <v>1409</v>
      </c>
      <c r="H948" s="12" t="s">
        <v>5766</v>
      </c>
      <c r="I948" s="41" t="s">
        <v>7097</v>
      </c>
      <c r="M948" s="41" t="e">
        <f>VLOOKUP(I948,错误mRNA总表!D:I,6,FALSE)</f>
        <v>#N/A</v>
      </c>
    </row>
    <row r="949" spans="1:13" x14ac:dyDescent="0.2">
      <c r="A949" s="12" t="s">
        <v>4000</v>
      </c>
      <c r="B949" s="12" t="s">
        <v>3996</v>
      </c>
      <c r="C949" s="12">
        <v>2463392</v>
      </c>
      <c r="D949" s="12">
        <v>2466265</v>
      </c>
      <c r="E949" s="12" t="s">
        <v>3940</v>
      </c>
      <c r="F949" s="12">
        <v>90</v>
      </c>
      <c r="H949" s="12" t="s">
        <v>5780</v>
      </c>
      <c r="I949" s="41" t="s">
        <v>7098</v>
      </c>
      <c r="M949" s="41" t="e">
        <f>VLOOKUP(I949,错误mRNA总表!D:I,6,FALSE)</f>
        <v>#N/A</v>
      </c>
    </row>
    <row r="950" spans="1:13" x14ac:dyDescent="0.2">
      <c r="A950" s="12" t="s">
        <v>4000</v>
      </c>
      <c r="B950" s="12" t="s">
        <v>3996</v>
      </c>
      <c r="C950" s="12">
        <v>2463392</v>
      </c>
      <c r="D950" s="12">
        <v>2467098</v>
      </c>
      <c r="E950" s="12" t="s">
        <v>3940</v>
      </c>
      <c r="F950" s="12">
        <v>90</v>
      </c>
      <c r="H950" s="12" t="s">
        <v>5780</v>
      </c>
      <c r="I950" s="41" t="s">
        <v>7098</v>
      </c>
      <c r="M950" s="41" t="e">
        <f>VLOOKUP(I950,错误mRNA总表!D:I,6,FALSE)</f>
        <v>#N/A</v>
      </c>
    </row>
    <row r="951" spans="1:13" x14ac:dyDescent="0.2">
      <c r="A951" s="12" t="s">
        <v>4511</v>
      </c>
      <c r="B951" s="12" t="s">
        <v>3996</v>
      </c>
      <c r="C951" s="12">
        <v>2051221</v>
      </c>
      <c r="D951" s="12">
        <v>2070524</v>
      </c>
      <c r="E951" s="12" t="s">
        <v>3943</v>
      </c>
      <c r="F951" s="12">
        <v>1</v>
      </c>
      <c r="H951" s="12" t="s">
        <v>3544</v>
      </c>
      <c r="I951" s="41" t="s">
        <v>7099</v>
      </c>
      <c r="M951" s="41" t="e">
        <f>VLOOKUP(I951,错误mRNA总表!D:I,6,FALSE)</f>
        <v>#N/A</v>
      </c>
    </row>
    <row r="952" spans="1:13" x14ac:dyDescent="0.2">
      <c r="A952" s="12" t="s">
        <v>4512</v>
      </c>
      <c r="B952" s="12" t="s">
        <v>3999</v>
      </c>
      <c r="C952" s="12">
        <v>489200</v>
      </c>
      <c r="D952" s="12">
        <v>498976</v>
      </c>
      <c r="E952" s="12" t="s">
        <v>3940</v>
      </c>
      <c r="F952" s="12">
        <v>22</v>
      </c>
      <c r="H952" s="12" t="s">
        <v>3413</v>
      </c>
      <c r="I952" s="41" t="s">
        <v>7100</v>
      </c>
      <c r="M952" s="41" t="e">
        <f>VLOOKUP(I952,错误mRNA总表!D:I,6,FALSE)</f>
        <v>#N/A</v>
      </c>
    </row>
    <row r="953" spans="1:13" x14ac:dyDescent="0.2">
      <c r="A953" s="12" t="s">
        <v>4512</v>
      </c>
      <c r="B953" s="12" t="s">
        <v>3999</v>
      </c>
      <c r="C953" s="12">
        <v>489200</v>
      </c>
      <c r="D953" s="12">
        <v>498988</v>
      </c>
      <c r="E953" s="12" t="s">
        <v>3940</v>
      </c>
      <c r="F953" s="12">
        <v>17</v>
      </c>
      <c r="H953" s="12" t="s">
        <v>3413</v>
      </c>
      <c r="I953" s="41" t="s">
        <v>7100</v>
      </c>
      <c r="M953" s="41" t="e">
        <f>VLOOKUP(I953,错误mRNA总表!D:I,6,FALSE)</f>
        <v>#N/A</v>
      </c>
    </row>
    <row r="954" spans="1:13" x14ac:dyDescent="0.2">
      <c r="A954" s="12" t="s">
        <v>4512</v>
      </c>
      <c r="B954" s="12" t="s">
        <v>3999</v>
      </c>
      <c r="C954" s="12">
        <v>489200</v>
      </c>
      <c r="D954" s="12">
        <v>499165</v>
      </c>
      <c r="E954" s="12" t="s">
        <v>3940</v>
      </c>
      <c r="F954" s="12">
        <v>148</v>
      </c>
      <c r="H954" s="12" t="s">
        <v>3413</v>
      </c>
      <c r="I954" s="41" t="s">
        <v>7100</v>
      </c>
      <c r="M954" s="41" t="e">
        <f>VLOOKUP(I954,错误mRNA总表!D:I,6,FALSE)</f>
        <v>#N/A</v>
      </c>
    </row>
    <row r="955" spans="1:13" x14ac:dyDescent="0.2">
      <c r="A955" s="12" t="s">
        <v>4512</v>
      </c>
      <c r="B955" s="12" t="s">
        <v>3999</v>
      </c>
      <c r="C955" s="12">
        <v>489200</v>
      </c>
      <c r="D955" s="12">
        <v>499153</v>
      </c>
      <c r="E955" s="12" t="s">
        <v>3943</v>
      </c>
      <c r="F955" s="12">
        <v>2</v>
      </c>
      <c r="H955" s="12" t="s">
        <v>3413</v>
      </c>
      <c r="I955" s="41" t="s">
        <v>7100</v>
      </c>
      <c r="M955" s="41" t="e">
        <f>VLOOKUP(I955,错误mRNA总表!D:I,6,FALSE)</f>
        <v>#N/A</v>
      </c>
    </row>
    <row r="956" spans="1:13" x14ac:dyDescent="0.2">
      <c r="A956" s="12" t="s">
        <v>4512</v>
      </c>
      <c r="B956" s="12" t="s">
        <v>3999</v>
      </c>
      <c r="C956" s="12">
        <v>489200</v>
      </c>
      <c r="D956" s="12">
        <v>499352</v>
      </c>
      <c r="E956" s="12" t="s">
        <v>3940</v>
      </c>
      <c r="F956" s="12">
        <v>1</v>
      </c>
      <c r="H956" s="12" t="s">
        <v>3413</v>
      </c>
      <c r="I956" s="41" t="s">
        <v>7100</v>
      </c>
      <c r="M956" s="41" t="e">
        <f>VLOOKUP(I956,错误mRNA总表!D:I,6,FALSE)</f>
        <v>#N/A</v>
      </c>
    </row>
    <row r="957" spans="1:13" x14ac:dyDescent="0.2">
      <c r="A957" s="12" t="s">
        <v>4512</v>
      </c>
      <c r="B957" s="12" t="s">
        <v>3999</v>
      </c>
      <c r="C957" s="12">
        <v>489200</v>
      </c>
      <c r="D957" s="12">
        <v>499365</v>
      </c>
      <c r="E957" s="12" t="s">
        <v>3940</v>
      </c>
      <c r="F957" s="12">
        <v>1</v>
      </c>
      <c r="H957" s="12" t="s">
        <v>3413</v>
      </c>
      <c r="I957" s="41" t="s">
        <v>7100</v>
      </c>
      <c r="M957" s="41" t="e">
        <f>VLOOKUP(I957,错误mRNA总表!D:I,6,FALSE)</f>
        <v>#N/A</v>
      </c>
    </row>
    <row r="958" spans="1:13" x14ac:dyDescent="0.2">
      <c r="A958" s="12" t="s">
        <v>4513</v>
      </c>
      <c r="B958" s="12" t="s">
        <v>4004</v>
      </c>
      <c r="C958" s="12">
        <v>6666038</v>
      </c>
      <c r="D958" s="12">
        <v>6673377</v>
      </c>
      <c r="E958" s="12" t="s">
        <v>3943</v>
      </c>
      <c r="F958" s="12">
        <v>1</v>
      </c>
      <c r="G958" s="41" t="s">
        <v>103</v>
      </c>
      <c r="H958" s="12" t="s">
        <v>5922</v>
      </c>
      <c r="I958" s="41" t="s">
        <v>7101</v>
      </c>
      <c r="M958" s="41" t="e">
        <f>VLOOKUP(I958,错误mRNA总表!D:I,6,FALSE)</f>
        <v>#N/A</v>
      </c>
    </row>
    <row r="959" spans="1:13" x14ac:dyDescent="0.2">
      <c r="A959" s="12" t="s">
        <v>4514</v>
      </c>
      <c r="B959" s="12" t="s">
        <v>4515</v>
      </c>
      <c r="C959" s="12">
        <v>14739</v>
      </c>
      <c r="D959" s="12">
        <v>20432</v>
      </c>
      <c r="E959" s="12" t="s">
        <v>3940</v>
      </c>
      <c r="F959" s="12">
        <v>18</v>
      </c>
      <c r="H959" s="12" t="s">
        <v>5923</v>
      </c>
      <c r="I959" s="41" t="s">
        <v>7102</v>
      </c>
      <c r="M959" s="41" t="e">
        <f>VLOOKUP(I959,错误mRNA总表!D:I,6,FALSE)</f>
        <v>#N/A</v>
      </c>
    </row>
    <row r="960" spans="1:13" x14ac:dyDescent="0.2">
      <c r="A960" s="12" t="s">
        <v>4514</v>
      </c>
      <c r="B960" s="12" t="s">
        <v>4515</v>
      </c>
      <c r="C960" s="12">
        <v>14739</v>
      </c>
      <c r="D960" s="12">
        <v>14773</v>
      </c>
      <c r="E960" s="12" t="s">
        <v>3943</v>
      </c>
      <c r="F960" s="12">
        <v>1</v>
      </c>
      <c r="H960" s="12" t="s">
        <v>5923</v>
      </c>
      <c r="I960" s="41" t="s">
        <v>7102</v>
      </c>
      <c r="M960" s="41" t="e">
        <f>VLOOKUP(I960,错误mRNA总表!D:I,6,FALSE)</f>
        <v>#N/A</v>
      </c>
    </row>
    <row r="961" spans="1:13" x14ac:dyDescent="0.2">
      <c r="A961" s="12" t="s">
        <v>4516</v>
      </c>
      <c r="B961" s="12" t="s">
        <v>3942</v>
      </c>
      <c r="C961" s="12">
        <v>131646969</v>
      </c>
      <c r="D961" s="12">
        <v>131695801</v>
      </c>
      <c r="E961" s="12" t="s">
        <v>3940</v>
      </c>
      <c r="F961" s="12">
        <v>1</v>
      </c>
      <c r="G961" s="41" t="s">
        <v>186</v>
      </c>
      <c r="H961" s="12" t="s">
        <v>5924</v>
      </c>
      <c r="I961" s="41" t="s">
        <v>7103</v>
      </c>
      <c r="M961" s="41" t="e">
        <f>VLOOKUP(I961,错误mRNA总表!D:I,6,FALSE)</f>
        <v>#N/A</v>
      </c>
    </row>
    <row r="962" spans="1:13" x14ac:dyDescent="0.2">
      <c r="A962" s="12" t="s">
        <v>4517</v>
      </c>
      <c r="B962" s="12" t="s">
        <v>4199</v>
      </c>
      <c r="C962" s="12">
        <v>102582</v>
      </c>
      <c r="D962" s="12">
        <v>104519</v>
      </c>
      <c r="E962" s="12" t="s">
        <v>3943</v>
      </c>
      <c r="F962" s="12">
        <v>1</v>
      </c>
      <c r="H962" s="12" t="s">
        <v>5925</v>
      </c>
      <c r="I962" s="41" t="s">
        <v>7104</v>
      </c>
      <c r="M962" s="41" t="e">
        <f>VLOOKUP(I962,错误mRNA总表!D:I,6,FALSE)</f>
        <v>#N/A</v>
      </c>
    </row>
    <row r="963" spans="1:13" x14ac:dyDescent="0.2">
      <c r="A963" s="12" t="s">
        <v>4458</v>
      </c>
      <c r="B963" s="12" t="s">
        <v>4087</v>
      </c>
      <c r="C963" s="12">
        <v>123522</v>
      </c>
      <c r="D963" s="12">
        <v>123728</v>
      </c>
      <c r="E963" s="12" t="s">
        <v>3940</v>
      </c>
      <c r="F963" s="12">
        <v>6</v>
      </c>
      <c r="H963" s="12" t="s">
        <v>6398</v>
      </c>
      <c r="I963" s="41" t="s">
        <v>7105</v>
      </c>
      <c r="M963" s="41" t="e">
        <f>VLOOKUP(I963,错误mRNA总表!D:I,6,FALSE)</f>
        <v>#N/A</v>
      </c>
    </row>
    <row r="964" spans="1:13" x14ac:dyDescent="0.2">
      <c r="A964" s="12" t="s">
        <v>4458</v>
      </c>
      <c r="B964" s="12" t="s">
        <v>4087</v>
      </c>
      <c r="C964" s="12">
        <v>123522</v>
      </c>
      <c r="D964" s="12">
        <v>125245</v>
      </c>
      <c r="E964" s="12" t="s">
        <v>3940</v>
      </c>
      <c r="F964" s="12">
        <v>1</v>
      </c>
      <c r="H964" s="12" t="s">
        <v>6398</v>
      </c>
      <c r="I964" s="41" t="s">
        <v>7105</v>
      </c>
      <c r="M964" s="41" t="e">
        <f>VLOOKUP(I964,错误mRNA总表!D:I,6,FALSE)</f>
        <v>#N/A</v>
      </c>
    </row>
    <row r="965" spans="1:13" x14ac:dyDescent="0.2">
      <c r="A965" s="12" t="s">
        <v>4458</v>
      </c>
      <c r="B965" s="12" t="s">
        <v>4087</v>
      </c>
      <c r="C965" s="12">
        <v>123522</v>
      </c>
      <c r="D965" s="12">
        <v>125368</v>
      </c>
      <c r="E965" s="12" t="s">
        <v>3940</v>
      </c>
      <c r="F965" s="12">
        <v>1</v>
      </c>
      <c r="H965" s="12" t="s">
        <v>6398</v>
      </c>
      <c r="I965" s="41" t="s">
        <v>7105</v>
      </c>
      <c r="M965" s="41" t="e">
        <f>VLOOKUP(I965,错误mRNA总表!D:I,6,FALSE)</f>
        <v>#N/A</v>
      </c>
    </row>
    <row r="966" spans="1:13" x14ac:dyDescent="0.2">
      <c r="A966" s="12" t="s">
        <v>4458</v>
      </c>
      <c r="B966" s="12" t="s">
        <v>4087</v>
      </c>
      <c r="C966" s="12">
        <v>123522</v>
      </c>
      <c r="D966" s="12">
        <v>126644</v>
      </c>
      <c r="E966" s="12" t="s">
        <v>3940</v>
      </c>
      <c r="F966" s="12">
        <v>4</v>
      </c>
      <c r="H966" s="12" t="s">
        <v>6398</v>
      </c>
      <c r="I966" s="41" t="s">
        <v>7105</v>
      </c>
      <c r="M966" s="41" t="e">
        <f>VLOOKUP(I966,错误mRNA总表!D:I,6,FALSE)</f>
        <v>#N/A</v>
      </c>
    </row>
    <row r="967" spans="1:13" x14ac:dyDescent="0.2">
      <c r="A967" s="12" t="s">
        <v>4518</v>
      </c>
      <c r="B967" s="12" t="s">
        <v>4124</v>
      </c>
      <c r="C967" s="12">
        <v>24299744</v>
      </c>
      <c r="D967" s="12">
        <v>24387179</v>
      </c>
      <c r="E967" s="12" t="s">
        <v>3940</v>
      </c>
      <c r="F967" s="12">
        <v>1</v>
      </c>
      <c r="G967" s="41" t="s">
        <v>1</v>
      </c>
      <c r="H967" s="12" t="s">
        <v>5926</v>
      </c>
      <c r="I967" s="41" t="s">
        <v>7106</v>
      </c>
      <c r="M967" s="41" t="e">
        <f>VLOOKUP(I967,错误mRNA总表!D:I,6,FALSE)</f>
        <v>#N/A</v>
      </c>
    </row>
    <row r="968" spans="1:13" x14ac:dyDescent="0.2">
      <c r="A968" s="12" t="s">
        <v>4519</v>
      </c>
      <c r="B968" s="12" t="s">
        <v>4018</v>
      </c>
      <c r="C968" s="12">
        <v>46875424</v>
      </c>
      <c r="D968" s="12">
        <v>46924439</v>
      </c>
      <c r="E968" s="12" t="s">
        <v>3943</v>
      </c>
      <c r="F968" s="12">
        <v>9</v>
      </c>
      <c r="G968" s="41" t="s">
        <v>241</v>
      </c>
      <c r="H968" s="12" t="s">
        <v>1331</v>
      </c>
      <c r="I968" s="41" t="s">
        <v>2293</v>
      </c>
      <c r="J968" s="41" t="s">
        <v>2293</v>
      </c>
      <c r="K968" s="41" t="str">
        <f>VLOOKUP(J968,错误mRNA总表!D:J,7,FALSE)</f>
        <v>纠后正确，少3个氨基酸chr21:46924462-46932312</v>
      </c>
      <c r="L968" s="41" t="s">
        <v>8341</v>
      </c>
      <c r="M968" s="41">
        <f>VLOOKUP(I968,错误mRNA总表!D:I,6,FALSE)</f>
        <v>0</v>
      </c>
    </row>
    <row r="969" spans="1:13" x14ac:dyDescent="0.2">
      <c r="A969" s="12" t="s">
        <v>4520</v>
      </c>
      <c r="B969" s="12" t="s">
        <v>4004</v>
      </c>
      <c r="C969" s="12">
        <v>87526656</v>
      </c>
      <c r="D969" s="12">
        <v>87526693</v>
      </c>
      <c r="E969" s="12" t="s">
        <v>3940</v>
      </c>
      <c r="F969" s="12">
        <v>1</v>
      </c>
      <c r="G969" s="41" t="s">
        <v>103</v>
      </c>
      <c r="H969" s="12" t="s">
        <v>6573</v>
      </c>
      <c r="I969" s="41" t="s">
        <v>7107</v>
      </c>
      <c r="M969" s="41" t="e">
        <f>VLOOKUP(I969,错误mRNA总表!D:I,6,FALSE)</f>
        <v>#N/A</v>
      </c>
    </row>
    <row r="970" spans="1:13" x14ac:dyDescent="0.2">
      <c r="A970" s="12" t="s">
        <v>4521</v>
      </c>
      <c r="B970" s="12" t="s">
        <v>3957</v>
      </c>
      <c r="C970" s="12">
        <v>112831969</v>
      </c>
      <c r="D970" s="12">
        <v>112832308</v>
      </c>
      <c r="E970" s="12" t="s">
        <v>3940</v>
      </c>
      <c r="F970" s="12">
        <v>1</v>
      </c>
      <c r="G970" s="41" t="s">
        <v>36</v>
      </c>
      <c r="H970" s="12" t="s">
        <v>981</v>
      </c>
      <c r="I970" s="41" t="s">
        <v>3361</v>
      </c>
      <c r="J970" s="41" t="s">
        <v>3361</v>
      </c>
      <c r="K970" s="41" t="str">
        <f>VLOOKUP(J970,错误mRNA总表!D:J,7,FALSE)</f>
        <v>纠后正确</v>
      </c>
      <c r="L970" s="41" t="s">
        <v>3763</v>
      </c>
      <c r="M970" s="41">
        <f>VLOOKUP(I970,错误mRNA总表!D:I,6,FALSE)</f>
        <v>0</v>
      </c>
    </row>
    <row r="971" spans="1:13" x14ac:dyDescent="0.2">
      <c r="A971" s="12" t="s">
        <v>4521</v>
      </c>
      <c r="B971" s="12" t="s">
        <v>3957</v>
      </c>
      <c r="C971" s="12">
        <v>112831969</v>
      </c>
      <c r="D971" s="12">
        <v>112832339</v>
      </c>
      <c r="E971" s="12" t="s">
        <v>3943</v>
      </c>
      <c r="F971" s="12">
        <v>1</v>
      </c>
      <c r="G971" s="41" t="s">
        <v>36</v>
      </c>
      <c r="H971" s="12" t="s">
        <v>981</v>
      </c>
      <c r="I971" s="41" t="s">
        <v>3361</v>
      </c>
      <c r="J971" s="41" t="s">
        <v>3361</v>
      </c>
      <c r="K971" s="41" t="str">
        <f>VLOOKUP(J971,错误mRNA总表!D:J,7,FALSE)</f>
        <v>纠后正确</v>
      </c>
      <c r="L971" s="41" t="s">
        <v>3763</v>
      </c>
      <c r="M971" s="41">
        <f>VLOOKUP(I971,错误mRNA总表!D:I,6,FALSE)</f>
        <v>0</v>
      </c>
    </row>
    <row r="972" spans="1:13" x14ac:dyDescent="0.2">
      <c r="A972" s="12" t="s">
        <v>4522</v>
      </c>
      <c r="B972" s="12" t="s">
        <v>3986</v>
      </c>
      <c r="C972" s="12">
        <v>56052023</v>
      </c>
      <c r="D972" s="12">
        <v>56052337</v>
      </c>
      <c r="E972" s="12" t="s">
        <v>3940</v>
      </c>
      <c r="F972" s="12">
        <v>1</v>
      </c>
      <c r="G972" s="41" t="s">
        <v>50</v>
      </c>
      <c r="H972" s="12" t="s">
        <v>148</v>
      </c>
      <c r="I972" s="41" t="s">
        <v>2135</v>
      </c>
      <c r="J972" s="41" t="s">
        <v>2135</v>
      </c>
      <c r="K972" s="41" t="str">
        <f>VLOOKUP(J972,错误mRNA总表!D:J,7,FALSE)</f>
        <v>纠后正确</v>
      </c>
      <c r="L972" s="41" t="s">
        <v>3763</v>
      </c>
      <c r="M972" s="41">
        <f>VLOOKUP(I972,错误mRNA总表!D:I,6,FALSE)</f>
        <v>0</v>
      </c>
    </row>
    <row r="973" spans="1:13" x14ac:dyDescent="0.2">
      <c r="A973" s="12" t="s">
        <v>4159</v>
      </c>
      <c r="B973" s="12" t="s">
        <v>3964</v>
      </c>
      <c r="C973" s="12">
        <v>2514037</v>
      </c>
      <c r="D973" s="12">
        <v>2516051</v>
      </c>
      <c r="E973" s="12" t="s">
        <v>3943</v>
      </c>
      <c r="F973" s="12">
        <v>3</v>
      </c>
      <c r="H973" s="12" t="s">
        <v>671</v>
      </c>
      <c r="I973" s="41" t="s">
        <v>6912</v>
      </c>
      <c r="J973" s="41" t="s">
        <v>2608</v>
      </c>
      <c r="K973" s="41" t="str">
        <f>VLOOKUP(J973,错误mRNA总表!D:J,7,FALSE)</f>
        <v/>
      </c>
      <c r="M973" s="41" t="e">
        <f>VLOOKUP(I973,错误mRNA总表!D:I,6,FALSE)</f>
        <v>#N/A</v>
      </c>
    </row>
    <row r="974" spans="1:13" x14ac:dyDescent="0.2">
      <c r="A974" s="12" t="s">
        <v>4159</v>
      </c>
      <c r="B974" s="12" t="s">
        <v>3964</v>
      </c>
      <c r="C974" s="12">
        <v>2514037</v>
      </c>
      <c r="D974" s="12">
        <v>2516375</v>
      </c>
      <c r="E974" s="12" t="s">
        <v>3940</v>
      </c>
      <c r="F974" s="12">
        <v>1</v>
      </c>
      <c r="H974" s="12" t="s">
        <v>671</v>
      </c>
      <c r="I974" s="41" t="s">
        <v>6912</v>
      </c>
      <c r="J974" s="41" t="s">
        <v>2608</v>
      </c>
      <c r="K974" s="41" t="str">
        <f>VLOOKUP(J974,错误mRNA总表!D:J,7,FALSE)</f>
        <v/>
      </c>
      <c r="M974" s="41" t="e">
        <f>VLOOKUP(I974,错误mRNA总表!D:I,6,FALSE)</f>
        <v>#N/A</v>
      </c>
    </row>
    <row r="975" spans="1:13" x14ac:dyDescent="0.2">
      <c r="A975" s="12" t="s">
        <v>4159</v>
      </c>
      <c r="B975" s="12" t="s">
        <v>3964</v>
      </c>
      <c r="C975" s="12">
        <v>2514037</v>
      </c>
      <c r="D975" s="12">
        <v>2516656</v>
      </c>
      <c r="E975" s="12" t="s">
        <v>3943</v>
      </c>
      <c r="F975" s="12">
        <v>3</v>
      </c>
      <c r="H975" s="12" t="s">
        <v>671</v>
      </c>
      <c r="I975" s="41" t="s">
        <v>6912</v>
      </c>
      <c r="J975" s="41" t="s">
        <v>2608</v>
      </c>
      <c r="K975" s="41" t="str">
        <f>VLOOKUP(J975,错误mRNA总表!D:J,7,FALSE)</f>
        <v/>
      </c>
      <c r="M975" s="41" t="e">
        <f>VLOOKUP(I975,错误mRNA总表!D:I,6,FALSE)</f>
        <v>#N/A</v>
      </c>
    </row>
    <row r="976" spans="1:13" x14ac:dyDescent="0.2">
      <c r="A976" s="12" t="s">
        <v>4523</v>
      </c>
      <c r="B976" s="12" t="s">
        <v>3946</v>
      </c>
      <c r="C976" s="12">
        <v>7835442</v>
      </c>
      <c r="D976" s="12">
        <v>7835855</v>
      </c>
      <c r="E976" s="12" t="s">
        <v>3943</v>
      </c>
      <c r="F976" s="12">
        <v>6</v>
      </c>
      <c r="G976" s="41" t="s">
        <v>47</v>
      </c>
      <c r="H976" s="12" t="s">
        <v>5927</v>
      </c>
      <c r="I976" s="41" t="s">
        <v>7108</v>
      </c>
      <c r="M976" s="41" t="e">
        <f>VLOOKUP(I976,错误mRNA总表!D:I,6,FALSE)</f>
        <v>#N/A</v>
      </c>
    </row>
    <row r="977" spans="1:13" x14ac:dyDescent="0.2">
      <c r="A977" s="12" t="s">
        <v>4524</v>
      </c>
      <c r="B977" s="12" t="s">
        <v>3939</v>
      </c>
      <c r="C977" s="12">
        <v>148622519</v>
      </c>
      <c r="D977" s="12">
        <v>148636745</v>
      </c>
      <c r="E977" s="12" t="s">
        <v>3940</v>
      </c>
      <c r="F977" s="12">
        <v>1</v>
      </c>
      <c r="G977" s="41" t="s">
        <v>73</v>
      </c>
      <c r="H977" s="12" t="s">
        <v>5928</v>
      </c>
      <c r="I977" s="41" t="s">
        <v>7109</v>
      </c>
      <c r="M977" s="41" t="e">
        <f>VLOOKUP(I977,错误mRNA总表!D:I,6,FALSE)</f>
        <v>#N/A</v>
      </c>
    </row>
    <row r="978" spans="1:13" x14ac:dyDescent="0.2">
      <c r="A978" s="12" t="s">
        <v>4525</v>
      </c>
      <c r="B978" s="12" t="s">
        <v>3957</v>
      </c>
      <c r="C978" s="12">
        <v>46638826</v>
      </c>
      <c r="D978" s="12">
        <v>46694313</v>
      </c>
      <c r="E978" s="12" t="s">
        <v>3943</v>
      </c>
      <c r="F978" s="12">
        <v>2</v>
      </c>
      <c r="G978" s="41" t="s">
        <v>36</v>
      </c>
      <c r="H978" s="12" t="s">
        <v>5929</v>
      </c>
      <c r="I978" s="41" t="s">
        <v>7110</v>
      </c>
      <c r="M978" s="41" t="e">
        <f>VLOOKUP(I978,错误mRNA总表!D:I,6,FALSE)</f>
        <v>#N/A</v>
      </c>
    </row>
    <row r="979" spans="1:13" x14ac:dyDescent="0.2">
      <c r="A979" s="12" t="s">
        <v>4526</v>
      </c>
      <c r="B979" s="12" t="s">
        <v>4527</v>
      </c>
      <c r="C979" s="12">
        <v>623391</v>
      </c>
      <c r="D979" s="12">
        <v>686635</v>
      </c>
      <c r="E979" s="12" t="s">
        <v>3940</v>
      </c>
      <c r="F979" s="12">
        <v>57</v>
      </c>
      <c r="H979" s="12" t="s">
        <v>5930</v>
      </c>
      <c r="I979" s="41" t="s">
        <v>7111</v>
      </c>
      <c r="M979" s="41" t="e">
        <f>VLOOKUP(I979,错误mRNA总表!D:I,6,FALSE)</f>
        <v>#N/A</v>
      </c>
    </row>
    <row r="980" spans="1:13" x14ac:dyDescent="0.2">
      <c r="A980" s="12" t="s">
        <v>4526</v>
      </c>
      <c r="B980" s="12" t="s">
        <v>4527</v>
      </c>
      <c r="C980" s="12">
        <v>623391</v>
      </c>
      <c r="D980" s="12">
        <v>681324</v>
      </c>
      <c r="E980" s="12" t="s">
        <v>3940</v>
      </c>
      <c r="F980" s="12">
        <v>92</v>
      </c>
      <c r="H980" s="12" t="s">
        <v>5930</v>
      </c>
      <c r="I980" s="41" t="s">
        <v>7111</v>
      </c>
      <c r="M980" s="41" t="e">
        <f>VLOOKUP(I980,错误mRNA总表!D:I,6,FALSE)</f>
        <v>#N/A</v>
      </c>
    </row>
    <row r="981" spans="1:13" x14ac:dyDescent="0.2">
      <c r="A981" s="12" t="s">
        <v>4526</v>
      </c>
      <c r="B981" s="12" t="s">
        <v>4527</v>
      </c>
      <c r="C981" s="12">
        <v>623391</v>
      </c>
      <c r="D981" s="12">
        <v>686633</v>
      </c>
      <c r="E981" s="12" t="s">
        <v>3943</v>
      </c>
      <c r="F981" s="12">
        <v>1</v>
      </c>
      <c r="H981" s="12" t="s">
        <v>5930</v>
      </c>
      <c r="I981" s="41" t="s">
        <v>7111</v>
      </c>
      <c r="M981" s="41" t="e">
        <f>VLOOKUP(I981,错误mRNA总表!D:I,6,FALSE)</f>
        <v>#N/A</v>
      </c>
    </row>
    <row r="982" spans="1:13" x14ac:dyDescent="0.2">
      <c r="A982" s="12" t="s">
        <v>4526</v>
      </c>
      <c r="B982" s="12" t="s">
        <v>4527</v>
      </c>
      <c r="C982" s="12">
        <v>623391</v>
      </c>
      <c r="D982" s="12">
        <v>675647</v>
      </c>
      <c r="E982" s="12" t="s">
        <v>3940</v>
      </c>
      <c r="F982" s="12">
        <v>205</v>
      </c>
      <c r="H982" s="12" t="s">
        <v>5930</v>
      </c>
      <c r="I982" s="41" t="s">
        <v>7111</v>
      </c>
      <c r="M982" s="41" t="e">
        <f>VLOOKUP(I982,错误mRNA总表!D:I,6,FALSE)</f>
        <v>#N/A</v>
      </c>
    </row>
    <row r="983" spans="1:13" x14ac:dyDescent="0.2">
      <c r="A983" s="12" t="s">
        <v>4526</v>
      </c>
      <c r="B983" s="12" t="s">
        <v>4527</v>
      </c>
      <c r="C983" s="12">
        <v>623391</v>
      </c>
      <c r="D983" s="12">
        <v>681306</v>
      </c>
      <c r="E983" s="12" t="s">
        <v>3943</v>
      </c>
      <c r="F983" s="12">
        <v>1</v>
      </c>
      <c r="H983" s="12" t="s">
        <v>5930</v>
      </c>
      <c r="I983" s="41" t="s">
        <v>7111</v>
      </c>
      <c r="M983" s="41" t="e">
        <f>VLOOKUP(I983,错误mRNA总表!D:I,6,FALSE)</f>
        <v>#N/A</v>
      </c>
    </row>
    <row r="984" spans="1:13" x14ac:dyDescent="0.2">
      <c r="A984" s="12" t="s">
        <v>4526</v>
      </c>
      <c r="B984" s="12" t="s">
        <v>4527</v>
      </c>
      <c r="C984" s="12">
        <v>623391</v>
      </c>
      <c r="D984" s="12">
        <v>681314</v>
      </c>
      <c r="E984" s="12" t="s">
        <v>3943</v>
      </c>
      <c r="F984" s="12">
        <v>1</v>
      </c>
      <c r="H984" s="12" t="s">
        <v>5930</v>
      </c>
      <c r="I984" s="41" t="s">
        <v>7111</v>
      </c>
      <c r="M984" s="41" t="e">
        <f>VLOOKUP(I984,错误mRNA总表!D:I,6,FALSE)</f>
        <v>#N/A</v>
      </c>
    </row>
    <row r="985" spans="1:13" x14ac:dyDescent="0.2">
      <c r="A985" s="12" t="s">
        <v>4526</v>
      </c>
      <c r="B985" s="12" t="s">
        <v>4527</v>
      </c>
      <c r="C985" s="12">
        <v>623391</v>
      </c>
      <c r="D985" s="12">
        <v>663340</v>
      </c>
      <c r="E985" s="12" t="s">
        <v>3940</v>
      </c>
      <c r="F985" s="12">
        <v>496</v>
      </c>
      <c r="H985" s="12" t="s">
        <v>5930</v>
      </c>
      <c r="I985" s="41" t="s">
        <v>7111</v>
      </c>
      <c r="M985" s="41" t="e">
        <f>VLOOKUP(I985,错误mRNA总表!D:I,6,FALSE)</f>
        <v>#N/A</v>
      </c>
    </row>
    <row r="986" spans="1:13" x14ac:dyDescent="0.2">
      <c r="A986" s="12" t="s">
        <v>4526</v>
      </c>
      <c r="B986" s="12" t="s">
        <v>4527</v>
      </c>
      <c r="C986" s="12">
        <v>623391</v>
      </c>
      <c r="D986" s="12">
        <v>675638</v>
      </c>
      <c r="E986" s="12" t="s">
        <v>3943</v>
      </c>
      <c r="F986" s="12">
        <v>2</v>
      </c>
      <c r="H986" s="12" t="s">
        <v>5930</v>
      </c>
      <c r="I986" s="41" t="s">
        <v>7111</v>
      </c>
      <c r="M986" s="41" t="e">
        <f>VLOOKUP(I986,错误mRNA总表!D:I,6,FALSE)</f>
        <v>#N/A</v>
      </c>
    </row>
    <row r="987" spans="1:13" x14ac:dyDescent="0.2">
      <c r="A987" s="12" t="s">
        <v>4206</v>
      </c>
      <c r="B987" s="12" t="s">
        <v>3984</v>
      </c>
      <c r="C987" s="12">
        <v>3381593</v>
      </c>
      <c r="D987" s="12">
        <v>3381690</v>
      </c>
      <c r="E987" s="12" t="s">
        <v>3940</v>
      </c>
      <c r="F987" s="12">
        <v>1</v>
      </c>
      <c r="H987" s="12" t="s">
        <v>5829</v>
      </c>
      <c r="I987" s="41" t="s">
        <v>7112</v>
      </c>
      <c r="M987" s="41" t="e">
        <f>VLOOKUP(I987,错误mRNA总表!D:I,6,FALSE)</f>
        <v>#N/A</v>
      </c>
    </row>
    <row r="988" spans="1:13" x14ac:dyDescent="0.2">
      <c r="A988" s="12" t="s">
        <v>4528</v>
      </c>
      <c r="B988" s="12" t="s">
        <v>4124</v>
      </c>
      <c r="C988" s="12">
        <v>95831162</v>
      </c>
      <c r="D988" s="12">
        <v>95847046</v>
      </c>
      <c r="E988" s="12" t="s">
        <v>3943</v>
      </c>
      <c r="F988" s="12">
        <v>3</v>
      </c>
      <c r="G988" s="41" t="s">
        <v>1</v>
      </c>
      <c r="H988" s="12" t="s">
        <v>5931</v>
      </c>
      <c r="I988" s="41" t="s">
        <v>7113</v>
      </c>
      <c r="M988" s="41" t="e">
        <f>VLOOKUP(I988,错误mRNA总表!D:I,6,FALSE)</f>
        <v>#N/A</v>
      </c>
    </row>
    <row r="989" spans="1:13" x14ac:dyDescent="0.2">
      <c r="A989" s="12" t="s">
        <v>4529</v>
      </c>
      <c r="B989" s="12" t="s">
        <v>4001</v>
      </c>
      <c r="C989" s="12">
        <v>1318409</v>
      </c>
      <c r="D989" s="12">
        <v>1318419</v>
      </c>
      <c r="E989" s="12" t="s">
        <v>3940</v>
      </c>
      <c r="F989" s="12">
        <v>5</v>
      </c>
      <c r="H989" s="12" t="s">
        <v>3417</v>
      </c>
      <c r="I989" s="41" t="s">
        <v>7114</v>
      </c>
      <c r="M989" s="41" t="e">
        <f>VLOOKUP(I989,错误mRNA总表!D:I,6,FALSE)</f>
        <v>#N/A</v>
      </c>
    </row>
    <row r="990" spans="1:13" x14ac:dyDescent="0.2">
      <c r="A990" s="12" t="s">
        <v>4529</v>
      </c>
      <c r="B990" s="12" t="s">
        <v>4001</v>
      </c>
      <c r="C990" s="12">
        <v>1318409</v>
      </c>
      <c r="D990" s="12">
        <v>1318438</v>
      </c>
      <c r="E990" s="12" t="s">
        <v>3943</v>
      </c>
      <c r="F990" s="12">
        <v>2</v>
      </c>
      <c r="H990" s="12" t="s">
        <v>3417</v>
      </c>
      <c r="I990" s="41" t="s">
        <v>7114</v>
      </c>
      <c r="M990" s="41" t="e">
        <f>VLOOKUP(I990,错误mRNA总表!D:I,6,FALSE)</f>
        <v>#N/A</v>
      </c>
    </row>
    <row r="991" spans="1:13" x14ac:dyDescent="0.2">
      <c r="A991" s="12" t="s">
        <v>4529</v>
      </c>
      <c r="B991" s="12" t="s">
        <v>4001</v>
      </c>
      <c r="C991" s="12">
        <v>1318409</v>
      </c>
      <c r="D991" s="12">
        <v>1318446</v>
      </c>
      <c r="E991" s="12" t="s">
        <v>3940</v>
      </c>
      <c r="F991" s="12">
        <v>1</v>
      </c>
      <c r="H991" s="12" t="s">
        <v>3417</v>
      </c>
      <c r="I991" s="41" t="s">
        <v>7114</v>
      </c>
      <c r="M991" s="41" t="e">
        <f>VLOOKUP(I991,错误mRNA总表!D:I,6,FALSE)</f>
        <v>#N/A</v>
      </c>
    </row>
    <row r="992" spans="1:13" x14ac:dyDescent="0.2">
      <c r="A992" s="12" t="s">
        <v>4529</v>
      </c>
      <c r="B992" s="12" t="s">
        <v>4001</v>
      </c>
      <c r="C992" s="12">
        <v>1318409</v>
      </c>
      <c r="D992" s="12">
        <v>1318450</v>
      </c>
      <c r="E992" s="12" t="s">
        <v>3940</v>
      </c>
      <c r="F992" s="12">
        <v>5</v>
      </c>
      <c r="H992" s="12" t="s">
        <v>3417</v>
      </c>
      <c r="I992" s="41" t="s">
        <v>7114</v>
      </c>
      <c r="M992" s="41" t="e">
        <f>VLOOKUP(I992,错误mRNA总表!D:I,6,FALSE)</f>
        <v>#N/A</v>
      </c>
    </row>
    <row r="993" spans="1:13" x14ac:dyDescent="0.2">
      <c r="A993" s="12" t="s">
        <v>4252</v>
      </c>
      <c r="B993" s="12" t="s">
        <v>3984</v>
      </c>
      <c r="C993" s="12">
        <v>1059612</v>
      </c>
      <c r="D993" s="12">
        <v>1060483</v>
      </c>
      <c r="E993" s="12" t="s">
        <v>3940</v>
      </c>
      <c r="F993" s="12">
        <v>2</v>
      </c>
      <c r="H993" s="12" t="s">
        <v>6391</v>
      </c>
      <c r="I993" s="41" t="s">
        <v>7115</v>
      </c>
      <c r="M993" s="41" t="e">
        <f>VLOOKUP(I993,错误mRNA总表!D:I,6,FALSE)</f>
        <v>#N/A</v>
      </c>
    </row>
    <row r="994" spans="1:13" x14ac:dyDescent="0.2">
      <c r="A994" s="12" t="s">
        <v>4252</v>
      </c>
      <c r="B994" s="12" t="s">
        <v>3984</v>
      </c>
      <c r="C994" s="12">
        <v>1059612</v>
      </c>
      <c r="D994" s="12">
        <v>1061154</v>
      </c>
      <c r="E994" s="12" t="s">
        <v>3940</v>
      </c>
      <c r="F994" s="12">
        <v>21</v>
      </c>
      <c r="H994" s="12" t="s">
        <v>6391</v>
      </c>
      <c r="I994" s="41" t="s">
        <v>7115</v>
      </c>
      <c r="M994" s="41" t="e">
        <f>VLOOKUP(I994,错误mRNA总表!D:I,6,FALSE)</f>
        <v>#N/A</v>
      </c>
    </row>
    <row r="995" spans="1:13" x14ac:dyDescent="0.2">
      <c r="A995" s="12" t="s">
        <v>4530</v>
      </c>
      <c r="B995" s="12" t="s">
        <v>3973</v>
      </c>
      <c r="C995" s="12">
        <v>145376206</v>
      </c>
      <c r="D995" s="12">
        <v>145382170</v>
      </c>
      <c r="E995" s="12" t="s">
        <v>3940</v>
      </c>
      <c r="F995" s="12">
        <v>4</v>
      </c>
      <c r="G995" s="41" t="s">
        <v>139</v>
      </c>
      <c r="H995" s="12" t="s">
        <v>5932</v>
      </c>
      <c r="I995" s="41" t="s">
        <v>7116</v>
      </c>
      <c r="M995" s="41" t="e">
        <f>VLOOKUP(I995,错误mRNA总表!D:I,6,FALSE)</f>
        <v>#N/A</v>
      </c>
    </row>
    <row r="996" spans="1:13" x14ac:dyDescent="0.2">
      <c r="A996" s="12" t="s">
        <v>4463</v>
      </c>
      <c r="B996" s="12" t="s">
        <v>4273</v>
      </c>
      <c r="C996" s="12">
        <v>44262</v>
      </c>
      <c r="D996" s="12">
        <v>50700</v>
      </c>
      <c r="E996" s="12" t="s">
        <v>3943</v>
      </c>
      <c r="F996" s="12">
        <v>16</v>
      </c>
      <c r="H996" s="12" t="s">
        <v>5909</v>
      </c>
      <c r="I996" s="41" t="s">
        <v>7048</v>
      </c>
      <c r="M996" s="41" t="e">
        <f>VLOOKUP(I996,错误mRNA总表!D:I,6,FALSE)</f>
        <v>#N/A</v>
      </c>
    </row>
    <row r="997" spans="1:13" x14ac:dyDescent="0.2">
      <c r="A997" s="12" t="s">
        <v>4531</v>
      </c>
      <c r="B997" s="12" t="s">
        <v>3962</v>
      </c>
      <c r="C997" s="12">
        <v>59827482</v>
      </c>
      <c r="D997" s="12">
        <v>60512340</v>
      </c>
      <c r="E997" s="12" t="s">
        <v>3940</v>
      </c>
      <c r="F997" s="12">
        <v>2</v>
      </c>
      <c r="G997" s="41" t="s">
        <v>53</v>
      </c>
      <c r="H997" s="12" t="s">
        <v>6574</v>
      </c>
      <c r="I997" s="41" t="s">
        <v>7117</v>
      </c>
      <c r="M997" s="41" t="e">
        <f>VLOOKUP(I997,错误mRNA总表!D:I,6,FALSE)</f>
        <v>#N/A</v>
      </c>
    </row>
    <row r="998" spans="1:13" x14ac:dyDescent="0.2">
      <c r="A998" s="12" t="s">
        <v>4532</v>
      </c>
      <c r="B998" s="12" t="s">
        <v>3984</v>
      </c>
      <c r="C998" s="12">
        <v>4518583</v>
      </c>
      <c r="D998" s="12">
        <v>4518636</v>
      </c>
      <c r="E998" s="12" t="s">
        <v>3943</v>
      </c>
      <c r="F998" s="12">
        <v>1</v>
      </c>
      <c r="H998" s="12" t="s">
        <v>3593</v>
      </c>
      <c r="I998" s="41" t="s">
        <v>7118</v>
      </c>
      <c r="M998" s="41" t="e">
        <f>VLOOKUP(I998,错误mRNA总表!D:I,6,FALSE)</f>
        <v>#N/A</v>
      </c>
    </row>
    <row r="999" spans="1:13" x14ac:dyDescent="0.2">
      <c r="A999" s="12" t="s">
        <v>4533</v>
      </c>
      <c r="B999" s="12" t="s">
        <v>4124</v>
      </c>
      <c r="C999" s="12">
        <v>239756673</v>
      </c>
      <c r="D999" s="12">
        <v>239757375</v>
      </c>
      <c r="E999" s="12" t="s">
        <v>3943</v>
      </c>
      <c r="F999" s="12">
        <v>6</v>
      </c>
      <c r="G999" s="41" t="s">
        <v>1</v>
      </c>
      <c r="H999" s="12" t="s">
        <v>6252</v>
      </c>
      <c r="I999" s="41" t="s">
        <v>7119</v>
      </c>
      <c r="M999" s="41" t="e">
        <f>VLOOKUP(I999,错误mRNA总表!D:I,6,FALSE)</f>
        <v>#N/A</v>
      </c>
    </row>
    <row r="1000" spans="1:13" x14ac:dyDescent="0.2">
      <c r="A1000" s="12" t="s">
        <v>4533</v>
      </c>
      <c r="B1000" s="12" t="s">
        <v>4124</v>
      </c>
      <c r="C1000" s="12">
        <v>239756673</v>
      </c>
      <c r="D1000" s="12">
        <v>239757388</v>
      </c>
      <c r="E1000" s="12" t="s">
        <v>3940</v>
      </c>
      <c r="F1000" s="12">
        <v>1</v>
      </c>
      <c r="G1000" s="41" t="s">
        <v>1</v>
      </c>
      <c r="H1000" s="12" t="s">
        <v>6252</v>
      </c>
      <c r="I1000" s="41" t="s">
        <v>7119</v>
      </c>
      <c r="M1000" s="41" t="e">
        <f>VLOOKUP(I1000,错误mRNA总表!D:I,6,FALSE)</f>
        <v>#N/A</v>
      </c>
    </row>
    <row r="1001" spans="1:13" x14ac:dyDescent="0.2">
      <c r="A1001" s="12" t="s">
        <v>3968</v>
      </c>
      <c r="B1001" s="12" t="s">
        <v>3984</v>
      </c>
      <c r="C1001" s="12">
        <v>2900437</v>
      </c>
      <c r="D1001" s="12">
        <v>2913764</v>
      </c>
      <c r="E1001" s="12" t="s">
        <v>3943</v>
      </c>
      <c r="F1001" s="12">
        <v>8</v>
      </c>
      <c r="H1001" s="12" t="s">
        <v>3563</v>
      </c>
      <c r="I1001" s="41" t="s">
        <v>7120</v>
      </c>
      <c r="M1001" s="41" t="e">
        <f>VLOOKUP(I1001,错误mRNA总表!D:I,6,FALSE)</f>
        <v>#N/A</v>
      </c>
    </row>
    <row r="1002" spans="1:13" x14ac:dyDescent="0.2">
      <c r="A1002" s="12" t="s">
        <v>3968</v>
      </c>
      <c r="B1002" s="12" t="s">
        <v>3984</v>
      </c>
      <c r="C1002" s="12">
        <v>2900437</v>
      </c>
      <c r="D1002" s="12">
        <v>2900533</v>
      </c>
      <c r="E1002" s="12" t="s">
        <v>3943</v>
      </c>
      <c r="F1002" s="12">
        <v>4</v>
      </c>
      <c r="H1002" s="12" t="s">
        <v>3563</v>
      </c>
      <c r="I1002" s="41" t="s">
        <v>7120</v>
      </c>
      <c r="M1002" s="41" t="e">
        <f>VLOOKUP(I1002,错误mRNA总表!D:I,6,FALSE)</f>
        <v>#N/A</v>
      </c>
    </row>
    <row r="1003" spans="1:13" x14ac:dyDescent="0.2">
      <c r="A1003" s="12" t="s">
        <v>4458</v>
      </c>
      <c r="B1003" s="12" t="s">
        <v>3996</v>
      </c>
      <c r="C1003" s="12">
        <v>1369125</v>
      </c>
      <c r="D1003" s="12">
        <v>1369331</v>
      </c>
      <c r="E1003" s="12" t="s">
        <v>3940</v>
      </c>
      <c r="F1003" s="12">
        <v>6</v>
      </c>
      <c r="H1003" s="12" t="s">
        <v>6398</v>
      </c>
      <c r="I1003" s="41" t="s">
        <v>7121</v>
      </c>
      <c r="M1003" s="41" t="e">
        <f>VLOOKUP(I1003,错误mRNA总表!D:I,6,FALSE)</f>
        <v>#N/A</v>
      </c>
    </row>
    <row r="1004" spans="1:13" x14ac:dyDescent="0.2">
      <c r="A1004" s="12" t="s">
        <v>4458</v>
      </c>
      <c r="B1004" s="12" t="s">
        <v>3996</v>
      </c>
      <c r="C1004" s="12">
        <v>1369125</v>
      </c>
      <c r="D1004" s="12">
        <v>1370848</v>
      </c>
      <c r="E1004" s="12" t="s">
        <v>3940</v>
      </c>
      <c r="F1004" s="12">
        <v>1</v>
      </c>
      <c r="H1004" s="12" t="s">
        <v>6398</v>
      </c>
      <c r="I1004" s="41" t="s">
        <v>7121</v>
      </c>
      <c r="M1004" s="41" t="e">
        <f>VLOOKUP(I1004,错误mRNA总表!D:I,6,FALSE)</f>
        <v>#N/A</v>
      </c>
    </row>
    <row r="1005" spans="1:13" x14ac:dyDescent="0.2">
      <c r="A1005" s="12" t="s">
        <v>4458</v>
      </c>
      <c r="B1005" s="12" t="s">
        <v>3996</v>
      </c>
      <c r="C1005" s="12">
        <v>1369125</v>
      </c>
      <c r="D1005" s="12">
        <v>1370971</v>
      </c>
      <c r="E1005" s="12" t="s">
        <v>3940</v>
      </c>
      <c r="F1005" s="12">
        <v>1</v>
      </c>
      <c r="H1005" s="12" t="s">
        <v>6398</v>
      </c>
      <c r="I1005" s="41" t="s">
        <v>7121</v>
      </c>
      <c r="M1005" s="41" t="e">
        <f>VLOOKUP(I1005,错误mRNA总表!D:I,6,FALSE)</f>
        <v>#N/A</v>
      </c>
    </row>
    <row r="1006" spans="1:13" x14ac:dyDescent="0.2">
      <c r="A1006" s="12" t="s">
        <v>4458</v>
      </c>
      <c r="B1006" s="12" t="s">
        <v>3996</v>
      </c>
      <c r="C1006" s="12">
        <v>1369125</v>
      </c>
      <c r="D1006" s="12">
        <v>1372247</v>
      </c>
      <c r="E1006" s="12" t="s">
        <v>3940</v>
      </c>
      <c r="F1006" s="12">
        <v>4</v>
      </c>
      <c r="H1006" s="12" t="s">
        <v>6398</v>
      </c>
      <c r="I1006" s="41" t="s">
        <v>7121</v>
      </c>
      <c r="M1006" s="41" t="e">
        <f>VLOOKUP(I1006,错误mRNA总表!D:I,6,FALSE)</f>
        <v>#N/A</v>
      </c>
    </row>
    <row r="1007" spans="1:13" x14ac:dyDescent="0.2">
      <c r="A1007" s="12" t="s">
        <v>4534</v>
      </c>
      <c r="B1007" s="12" t="s">
        <v>3957</v>
      </c>
      <c r="C1007" s="12">
        <v>125439283</v>
      </c>
      <c r="D1007" s="12">
        <v>125452303</v>
      </c>
      <c r="E1007" s="12" t="s">
        <v>3940</v>
      </c>
      <c r="F1007" s="12">
        <v>1</v>
      </c>
      <c r="G1007" s="41" t="s">
        <v>36</v>
      </c>
      <c r="H1007" s="12" t="s">
        <v>5933</v>
      </c>
      <c r="I1007" s="41" t="s">
        <v>7122</v>
      </c>
      <c r="M1007" s="41" t="e">
        <f>VLOOKUP(I1007,错误mRNA总表!D:I,6,FALSE)</f>
        <v>#N/A</v>
      </c>
    </row>
    <row r="1008" spans="1:13" x14ac:dyDescent="0.2">
      <c r="A1008" s="12" t="s">
        <v>4535</v>
      </c>
      <c r="B1008" s="12" t="s">
        <v>3946</v>
      </c>
      <c r="C1008" s="12">
        <v>46970148</v>
      </c>
      <c r="D1008" s="12">
        <v>46973145</v>
      </c>
      <c r="E1008" s="12" t="s">
        <v>3943</v>
      </c>
      <c r="F1008" s="12">
        <v>1</v>
      </c>
      <c r="G1008" s="41" t="s">
        <v>47</v>
      </c>
      <c r="H1008" s="12" t="s">
        <v>5934</v>
      </c>
      <c r="I1008" s="41" t="s">
        <v>7123</v>
      </c>
      <c r="M1008" s="41" t="e">
        <f>VLOOKUP(I1008,错误mRNA总表!D:I,6,FALSE)</f>
        <v>#N/A</v>
      </c>
    </row>
    <row r="1009" spans="1:13" x14ac:dyDescent="0.2">
      <c r="A1009" s="12" t="s">
        <v>4060</v>
      </c>
      <c r="B1009" s="12" t="s">
        <v>3960</v>
      </c>
      <c r="C1009" s="12">
        <v>812597</v>
      </c>
      <c r="D1009" s="12">
        <v>819388</v>
      </c>
      <c r="E1009" s="12" t="s">
        <v>3940</v>
      </c>
      <c r="F1009" s="12">
        <v>22</v>
      </c>
      <c r="H1009" s="12" t="s">
        <v>214</v>
      </c>
      <c r="I1009" s="41" t="s">
        <v>7124</v>
      </c>
      <c r="J1009" s="41" t="s">
        <v>2170</v>
      </c>
      <c r="K1009" s="41" t="str">
        <f>VLOOKUP(J1009,错误mRNA总表!D:J,7,FALSE)</f>
        <v>Browser与原结果匹配，纠后与rs匹配(rs746499983)chr19:55350966-55359398</v>
      </c>
      <c r="M1009" s="41" t="e">
        <f>VLOOKUP(I1009,错误mRNA总表!D:I,6,FALSE)</f>
        <v>#N/A</v>
      </c>
    </row>
    <row r="1010" spans="1:13" x14ac:dyDescent="0.2">
      <c r="A1010" s="12" t="s">
        <v>4536</v>
      </c>
      <c r="B1010" s="12" t="s">
        <v>3939</v>
      </c>
      <c r="C1010" s="12">
        <v>49197598</v>
      </c>
      <c r="D1010" s="12">
        <v>49198746</v>
      </c>
      <c r="E1010" s="12" t="s">
        <v>3940</v>
      </c>
      <c r="F1010" s="12">
        <v>3</v>
      </c>
      <c r="G1010" s="41" t="s">
        <v>73</v>
      </c>
      <c r="H1010" s="12" t="s">
        <v>5935</v>
      </c>
      <c r="I1010" s="41" t="s">
        <v>7125</v>
      </c>
      <c r="M1010" s="41" t="e">
        <f>VLOOKUP(I1010,错误mRNA总表!D:I,6,FALSE)</f>
        <v>#N/A</v>
      </c>
    </row>
    <row r="1011" spans="1:13" x14ac:dyDescent="0.2">
      <c r="A1011" s="12" t="s">
        <v>4537</v>
      </c>
      <c r="B1011" s="12" t="s">
        <v>3978</v>
      </c>
      <c r="C1011" s="12">
        <v>14444076</v>
      </c>
      <c r="D1011" s="12">
        <v>14444243</v>
      </c>
      <c r="E1011" s="12" t="s">
        <v>3943</v>
      </c>
      <c r="F1011" s="12">
        <v>1</v>
      </c>
      <c r="G1011" s="41" t="s">
        <v>86</v>
      </c>
      <c r="H1011" s="12" t="s">
        <v>6575</v>
      </c>
      <c r="I1011" s="41" t="s">
        <v>7126</v>
      </c>
      <c r="M1011" s="41" t="e">
        <f>VLOOKUP(I1011,错误mRNA总表!D:I,6,FALSE)</f>
        <v>#N/A</v>
      </c>
    </row>
    <row r="1012" spans="1:13" x14ac:dyDescent="0.2">
      <c r="A1012" s="12" t="s">
        <v>4537</v>
      </c>
      <c r="B1012" s="12" t="s">
        <v>3978</v>
      </c>
      <c r="C1012" s="12">
        <v>14444076</v>
      </c>
      <c r="D1012" s="12">
        <v>14444277</v>
      </c>
      <c r="E1012" s="12" t="s">
        <v>3943</v>
      </c>
      <c r="F1012" s="12">
        <v>1</v>
      </c>
      <c r="G1012" s="41" t="s">
        <v>86</v>
      </c>
      <c r="H1012" s="12" t="s">
        <v>6575</v>
      </c>
      <c r="I1012" s="41" t="s">
        <v>7126</v>
      </c>
      <c r="M1012" s="41" t="e">
        <f>VLOOKUP(I1012,错误mRNA总表!D:I,6,FALSE)</f>
        <v>#N/A</v>
      </c>
    </row>
    <row r="1013" spans="1:13" x14ac:dyDescent="0.2">
      <c r="A1013" s="12" t="s">
        <v>4537</v>
      </c>
      <c r="B1013" s="12" t="s">
        <v>3978</v>
      </c>
      <c r="C1013" s="12">
        <v>14444076</v>
      </c>
      <c r="D1013" s="12">
        <v>14444286</v>
      </c>
      <c r="E1013" s="12" t="s">
        <v>3943</v>
      </c>
      <c r="F1013" s="12">
        <v>1</v>
      </c>
      <c r="G1013" s="41" t="s">
        <v>86</v>
      </c>
      <c r="H1013" s="12" t="s">
        <v>6575</v>
      </c>
      <c r="I1013" s="41" t="s">
        <v>7126</v>
      </c>
      <c r="M1013" s="41" t="e">
        <f>VLOOKUP(I1013,错误mRNA总表!D:I,6,FALSE)</f>
        <v>#N/A</v>
      </c>
    </row>
    <row r="1014" spans="1:13" x14ac:dyDescent="0.2">
      <c r="A1014" s="12" t="s">
        <v>4537</v>
      </c>
      <c r="B1014" s="12" t="s">
        <v>3978</v>
      </c>
      <c r="C1014" s="12">
        <v>14444076</v>
      </c>
      <c r="D1014" s="12">
        <v>14444308</v>
      </c>
      <c r="E1014" s="12" t="s">
        <v>3943</v>
      </c>
      <c r="F1014" s="12">
        <v>1</v>
      </c>
      <c r="G1014" s="41" t="s">
        <v>86</v>
      </c>
      <c r="H1014" s="12" t="s">
        <v>6575</v>
      </c>
      <c r="I1014" s="41" t="s">
        <v>7126</v>
      </c>
      <c r="M1014" s="41" t="e">
        <f>VLOOKUP(I1014,错误mRNA总表!D:I,6,FALSE)</f>
        <v>#N/A</v>
      </c>
    </row>
    <row r="1015" spans="1:13" x14ac:dyDescent="0.2">
      <c r="A1015" s="12" t="s">
        <v>4537</v>
      </c>
      <c r="B1015" s="12" t="s">
        <v>3978</v>
      </c>
      <c r="C1015" s="12">
        <v>14444076</v>
      </c>
      <c r="D1015" s="12">
        <v>14444318</v>
      </c>
      <c r="E1015" s="12" t="s">
        <v>3943</v>
      </c>
      <c r="F1015" s="12">
        <v>1</v>
      </c>
      <c r="G1015" s="41" t="s">
        <v>86</v>
      </c>
      <c r="H1015" s="12" t="s">
        <v>6575</v>
      </c>
      <c r="I1015" s="41" t="s">
        <v>7126</v>
      </c>
      <c r="M1015" s="41" t="e">
        <f>VLOOKUP(I1015,错误mRNA总表!D:I,6,FALSE)</f>
        <v>#N/A</v>
      </c>
    </row>
    <row r="1016" spans="1:13" x14ac:dyDescent="0.2">
      <c r="A1016" s="12" t="s">
        <v>4537</v>
      </c>
      <c r="B1016" s="12" t="s">
        <v>3978</v>
      </c>
      <c r="C1016" s="12">
        <v>14444076</v>
      </c>
      <c r="D1016" s="12">
        <v>14444326</v>
      </c>
      <c r="E1016" s="12" t="s">
        <v>3943</v>
      </c>
      <c r="F1016" s="12">
        <v>1</v>
      </c>
      <c r="G1016" s="41" t="s">
        <v>86</v>
      </c>
      <c r="H1016" s="12" t="s">
        <v>6575</v>
      </c>
      <c r="I1016" s="41" t="s">
        <v>7126</v>
      </c>
      <c r="M1016" s="41" t="e">
        <f>VLOOKUP(I1016,错误mRNA总表!D:I,6,FALSE)</f>
        <v>#N/A</v>
      </c>
    </row>
    <row r="1017" spans="1:13" x14ac:dyDescent="0.2">
      <c r="A1017" s="12" t="s">
        <v>4537</v>
      </c>
      <c r="B1017" s="12" t="s">
        <v>3978</v>
      </c>
      <c r="C1017" s="12">
        <v>14444076</v>
      </c>
      <c r="D1017" s="12">
        <v>14444329</v>
      </c>
      <c r="E1017" s="12" t="s">
        <v>3943</v>
      </c>
      <c r="F1017" s="12">
        <v>1</v>
      </c>
      <c r="G1017" s="41" t="s">
        <v>86</v>
      </c>
      <c r="H1017" s="12" t="s">
        <v>6575</v>
      </c>
      <c r="I1017" s="41" t="s">
        <v>7126</v>
      </c>
      <c r="M1017" s="41" t="e">
        <f>VLOOKUP(I1017,错误mRNA总表!D:I,6,FALSE)</f>
        <v>#N/A</v>
      </c>
    </row>
    <row r="1018" spans="1:13" x14ac:dyDescent="0.2">
      <c r="A1018" s="12" t="s">
        <v>4538</v>
      </c>
      <c r="B1018" s="12" t="s">
        <v>3939</v>
      </c>
      <c r="C1018" s="12">
        <v>115567747</v>
      </c>
      <c r="D1018" s="12">
        <v>115591739</v>
      </c>
      <c r="E1018" s="12" t="s">
        <v>3943</v>
      </c>
      <c r="F1018" s="12">
        <v>1</v>
      </c>
      <c r="G1018" s="41" t="s">
        <v>73</v>
      </c>
      <c r="H1018" s="12" t="s">
        <v>3676</v>
      </c>
      <c r="I1018" s="41" t="s">
        <v>7127</v>
      </c>
      <c r="M1018" s="41" t="e">
        <f>VLOOKUP(I1018,错误mRNA总表!D:I,6,FALSE)</f>
        <v>#N/A</v>
      </c>
    </row>
    <row r="1019" spans="1:13" x14ac:dyDescent="0.2">
      <c r="A1019" s="12" t="s">
        <v>4539</v>
      </c>
      <c r="B1019" s="12" t="s">
        <v>4018</v>
      </c>
      <c r="C1019" s="12">
        <v>34915344</v>
      </c>
      <c r="D1019" s="12">
        <v>34949497</v>
      </c>
      <c r="E1019" s="12" t="s">
        <v>3940</v>
      </c>
      <c r="F1019" s="12">
        <v>1</v>
      </c>
      <c r="G1019" s="41" t="s">
        <v>241</v>
      </c>
      <c r="H1019" s="12" t="s">
        <v>5936</v>
      </c>
      <c r="I1019" s="41" t="s">
        <v>7128</v>
      </c>
      <c r="M1019" s="41" t="e">
        <f>VLOOKUP(I1019,错误mRNA总表!D:I,6,FALSE)</f>
        <v>#N/A</v>
      </c>
    </row>
    <row r="1020" spans="1:13" x14ac:dyDescent="0.2">
      <c r="A1020" s="12" t="s">
        <v>4540</v>
      </c>
      <c r="B1020" s="12" t="s">
        <v>4018</v>
      </c>
      <c r="C1020" s="12">
        <v>17553718</v>
      </c>
      <c r="D1020" s="12">
        <v>17981988</v>
      </c>
      <c r="E1020" s="12" t="s">
        <v>3940</v>
      </c>
      <c r="F1020" s="12">
        <v>1</v>
      </c>
      <c r="G1020" s="41" t="s">
        <v>241</v>
      </c>
      <c r="H1020" s="12" t="s">
        <v>5937</v>
      </c>
      <c r="I1020" s="41" t="s">
        <v>7129</v>
      </c>
      <c r="M1020" s="41" t="e">
        <f>VLOOKUP(I1020,错误mRNA总表!D:I,6,FALSE)</f>
        <v>#N/A</v>
      </c>
    </row>
    <row r="1021" spans="1:13" x14ac:dyDescent="0.2">
      <c r="A1021" s="12" t="s">
        <v>4541</v>
      </c>
      <c r="B1021" s="12" t="s">
        <v>3946</v>
      </c>
      <c r="C1021" s="12">
        <v>40086888</v>
      </c>
      <c r="D1021" s="12">
        <v>40101479</v>
      </c>
      <c r="E1021" s="12" t="s">
        <v>3940</v>
      </c>
      <c r="F1021" s="12">
        <v>194</v>
      </c>
      <c r="G1021" s="41" t="s">
        <v>47</v>
      </c>
      <c r="H1021" s="12" t="s">
        <v>1177</v>
      </c>
      <c r="I1021" s="41" t="s">
        <v>2278</v>
      </c>
      <c r="J1021" s="41" t="s">
        <v>2278</v>
      </c>
      <c r="K1021" s="41" t="str">
        <f>VLOOKUP(J1021,错误mRNA总表!D:J,7,FALSE)</f>
        <v>纠后正确,区间略有变化，加66个氨基酸chr17:40107237-40117669</v>
      </c>
      <c r="L1021" s="41" t="s">
        <v>3866</v>
      </c>
      <c r="M1021" s="41" t="str">
        <f>VLOOKUP(I1021,错误mRNA总表!D:I,6,FALSE)</f>
        <v>纠后正确,区间略有变化，加66个氨基酸chr17:40107237-40117669</v>
      </c>
    </row>
    <row r="1022" spans="1:13" x14ac:dyDescent="0.2">
      <c r="A1022" s="12" t="s">
        <v>4542</v>
      </c>
      <c r="B1022" s="12" t="s">
        <v>4042</v>
      </c>
      <c r="C1022" s="12">
        <v>101853222</v>
      </c>
      <c r="D1022" s="12">
        <v>102029685</v>
      </c>
      <c r="E1022" s="12" t="s">
        <v>3940</v>
      </c>
      <c r="F1022" s="12">
        <v>2</v>
      </c>
      <c r="G1022" s="41" t="s">
        <v>113</v>
      </c>
      <c r="H1022" s="12" t="s">
        <v>1108</v>
      </c>
      <c r="I1022" s="41" t="s">
        <v>3379</v>
      </c>
      <c r="J1022" s="41" t="s">
        <v>3379</v>
      </c>
      <c r="K1022" s="41" t="str">
        <f>VLOOKUP(J1022,错误mRNA总表!D:J,7,FALSE)</f>
        <v>纠后正确</v>
      </c>
      <c r="L1022" s="41" t="s">
        <v>3763</v>
      </c>
      <c r="M1022" s="41">
        <f>VLOOKUP(I1022,错误mRNA总表!D:I,6,FALSE)</f>
        <v>0</v>
      </c>
    </row>
    <row r="1023" spans="1:13" x14ac:dyDescent="0.2">
      <c r="A1023" s="12" t="s">
        <v>4543</v>
      </c>
      <c r="B1023" s="12" t="s">
        <v>3986</v>
      </c>
      <c r="C1023" s="12">
        <v>45147098</v>
      </c>
      <c r="D1023" s="12">
        <v>45168927</v>
      </c>
      <c r="E1023" s="12" t="s">
        <v>3943</v>
      </c>
      <c r="F1023" s="12">
        <v>1</v>
      </c>
      <c r="G1023" s="41" t="s">
        <v>50</v>
      </c>
      <c r="H1023" s="12" t="s">
        <v>6576</v>
      </c>
      <c r="I1023" s="41" t="s">
        <v>7130</v>
      </c>
      <c r="M1023" s="41" t="e">
        <f>VLOOKUP(I1023,错误mRNA总表!D:I,6,FALSE)</f>
        <v>#N/A</v>
      </c>
    </row>
    <row r="1024" spans="1:13" x14ac:dyDescent="0.2">
      <c r="A1024" s="12" t="s">
        <v>4544</v>
      </c>
      <c r="B1024" s="12" t="s">
        <v>4030</v>
      </c>
      <c r="C1024" s="12">
        <v>73957639</v>
      </c>
      <c r="D1024" s="12">
        <v>73957982</v>
      </c>
      <c r="E1024" s="12" t="s">
        <v>3940</v>
      </c>
      <c r="F1024" s="12">
        <v>1</v>
      </c>
      <c r="G1024" s="41" t="s">
        <v>81</v>
      </c>
      <c r="H1024" s="12" t="s">
        <v>227</v>
      </c>
      <c r="I1024" s="41" t="s">
        <v>7131</v>
      </c>
      <c r="J1024" s="41" t="s">
        <v>2159</v>
      </c>
      <c r="K1024" s="41" t="str">
        <f>VLOOKUP(J1024,错误mRNA总表!D:J,7,FALSE)</f>
        <v>纠后正确，utr略有变化，版本不一致</v>
      </c>
      <c r="M1024" s="41" t="e">
        <f>VLOOKUP(I1024,错误mRNA总表!D:I,6,FALSE)</f>
        <v>#N/A</v>
      </c>
    </row>
    <row r="1025" spans="1:13" x14ac:dyDescent="0.2">
      <c r="A1025" s="12" t="s">
        <v>4545</v>
      </c>
      <c r="B1025" s="12" t="s">
        <v>3973</v>
      </c>
      <c r="C1025" s="12">
        <v>150190717</v>
      </c>
      <c r="D1025" s="12">
        <v>150192506</v>
      </c>
      <c r="E1025" s="12" t="s">
        <v>3943</v>
      </c>
      <c r="F1025" s="12">
        <v>3</v>
      </c>
      <c r="G1025" s="41" t="s">
        <v>139</v>
      </c>
      <c r="H1025" s="12" t="s">
        <v>3499</v>
      </c>
      <c r="I1025" s="41" t="s">
        <v>7132</v>
      </c>
      <c r="M1025" s="41" t="e">
        <f>VLOOKUP(I1025,错误mRNA总表!D:I,6,FALSE)</f>
        <v>#N/A</v>
      </c>
    </row>
    <row r="1026" spans="1:13" x14ac:dyDescent="0.2">
      <c r="A1026" s="12" t="s">
        <v>4546</v>
      </c>
      <c r="B1026" s="12" t="s">
        <v>3978</v>
      </c>
      <c r="C1026" s="12">
        <v>66271149</v>
      </c>
      <c r="D1026" s="12">
        <v>66271159</v>
      </c>
      <c r="E1026" s="12" t="s">
        <v>3943</v>
      </c>
      <c r="F1026" s="12">
        <v>2</v>
      </c>
      <c r="G1026" s="41" t="s">
        <v>86</v>
      </c>
      <c r="H1026" s="12" t="s">
        <v>265</v>
      </c>
      <c r="I1026" s="41" t="s">
        <v>7133</v>
      </c>
      <c r="M1026" s="41" t="e">
        <f>VLOOKUP(I1026,错误mRNA总表!D:I,6,FALSE)</f>
        <v>#N/A</v>
      </c>
    </row>
    <row r="1027" spans="1:13" x14ac:dyDescent="0.2">
      <c r="A1027" s="12" t="s">
        <v>4547</v>
      </c>
      <c r="B1027" s="12" t="s">
        <v>3984</v>
      </c>
      <c r="C1027" s="12">
        <v>4393584</v>
      </c>
      <c r="D1027" s="12">
        <v>4393882</v>
      </c>
      <c r="E1027" s="12" t="s">
        <v>3943</v>
      </c>
      <c r="F1027" s="12">
        <v>1</v>
      </c>
      <c r="H1027" s="12" t="s">
        <v>3588</v>
      </c>
      <c r="I1027" s="41" t="s">
        <v>7134</v>
      </c>
      <c r="M1027" s="41" t="e">
        <f>VLOOKUP(I1027,错误mRNA总表!D:I,6,FALSE)</f>
        <v>#N/A</v>
      </c>
    </row>
    <row r="1028" spans="1:13" x14ac:dyDescent="0.2">
      <c r="A1028" s="12" t="s">
        <v>4548</v>
      </c>
      <c r="B1028" s="12" t="s">
        <v>3946</v>
      </c>
      <c r="C1028" s="12">
        <v>34092876</v>
      </c>
      <c r="D1028" s="12">
        <v>34100350</v>
      </c>
      <c r="E1028" s="12" t="s">
        <v>3940</v>
      </c>
      <c r="F1028" s="12">
        <v>1</v>
      </c>
      <c r="G1028" s="41" t="s">
        <v>47</v>
      </c>
      <c r="H1028" s="12" t="s">
        <v>105</v>
      </c>
      <c r="I1028" s="41" t="s">
        <v>2109</v>
      </c>
      <c r="J1028" s="41" t="s">
        <v>2109</v>
      </c>
      <c r="K1028" s="41" t="str">
        <f>VLOOKUP(J1028,错误mRNA总表!D:J,7,FALSE)</f>
        <v>纠后正确</v>
      </c>
      <c r="L1028" s="41" t="s">
        <v>3763</v>
      </c>
      <c r="M1028" s="41">
        <f>VLOOKUP(I1028,错误mRNA总表!D:I,6,FALSE)</f>
        <v>0</v>
      </c>
    </row>
    <row r="1029" spans="1:13" x14ac:dyDescent="0.2">
      <c r="A1029" s="12" t="s">
        <v>4549</v>
      </c>
      <c r="B1029" s="12" t="s">
        <v>3946</v>
      </c>
      <c r="C1029" s="12">
        <v>62396775</v>
      </c>
      <c r="D1029" s="12">
        <v>62401205</v>
      </c>
      <c r="E1029" s="12" t="s">
        <v>3940</v>
      </c>
      <c r="F1029" s="12">
        <v>270</v>
      </c>
      <c r="G1029" s="41" t="s">
        <v>47</v>
      </c>
      <c r="H1029" s="12" t="s">
        <v>1192</v>
      </c>
      <c r="I1029" s="41" t="s">
        <v>2279</v>
      </c>
      <c r="J1029" s="41" t="s">
        <v>2279</v>
      </c>
      <c r="K1029" s="41" t="str">
        <f>VLOOKUP(J1029,错误mRNA总表!D:J,7,FALSE)</f>
        <v>错误</v>
      </c>
      <c r="L1029" s="41" t="s">
        <v>3911</v>
      </c>
      <c r="M1029" s="41">
        <f>VLOOKUP(I1029,错误mRNA总表!D:I,6,FALSE)</f>
        <v>0</v>
      </c>
    </row>
    <row r="1030" spans="1:13" x14ac:dyDescent="0.2">
      <c r="A1030" s="12" t="s">
        <v>4549</v>
      </c>
      <c r="B1030" s="12" t="s">
        <v>3946</v>
      </c>
      <c r="C1030" s="12">
        <v>62396775</v>
      </c>
      <c r="D1030" s="12">
        <v>62404846</v>
      </c>
      <c r="E1030" s="12" t="s">
        <v>3943</v>
      </c>
      <c r="F1030" s="12">
        <v>1</v>
      </c>
      <c r="G1030" s="41" t="s">
        <v>47</v>
      </c>
      <c r="H1030" s="12" t="s">
        <v>1192</v>
      </c>
      <c r="I1030" s="41" t="s">
        <v>2279</v>
      </c>
      <c r="J1030" s="41" t="s">
        <v>2279</v>
      </c>
      <c r="K1030" s="41" t="str">
        <f>VLOOKUP(J1030,错误mRNA总表!D:J,7,FALSE)</f>
        <v>错误</v>
      </c>
      <c r="L1030" s="41" t="s">
        <v>3911</v>
      </c>
      <c r="M1030" s="41">
        <f>VLOOKUP(I1030,错误mRNA总表!D:I,6,FALSE)</f>
        <v>0</v>
      </c>
    </row>
    <row r="1031" spans="1:13" x14ac:dyDescent="0.2">
      <c r="A1031" s="12" t="s">
        <v>4550</v>
      </c>
      <c r="B1031" s="12" t="s">
        <v>3960</v>
      </c>
      <c r="C1031" s="12">
        <v>812554</v>
      </c>
      <c r="D1031" s="12">
        <v>819388</v>
      </c>
      <c r="E1031" s="12" t="s">
        <v>3940</v>
      </c>
      <c r="F1031" s="12">
        <v>22</v>
      </c>
      <c r="H1031" s="12" t="s">
        <v>214</v>
      </c>
      <c r="I1031" s="41" t="s">
        <v>7135</v>
      </c>
      <c r="J1031" s="41" t="s">
        <v>2170</v>
      </c>
      <c r="K1031" s="41" t="str">
        <f>VLOOKUP(J1031,错误mRNA总表!D:J,7,FALSE)</f>
        <v>Browser与原结果匹配，纠后与rs匹配(rs746499983)chr19:55350966-55359398</v>
      </c>
      <c r="M1031" s="41" t="e">
        <f>VLOOKUP(I1031,错误mRNA总表!D:I,6,FALSE)</f>
        <v>#N/A</v>
      </c>
    </row>
    <row r="1032" spans="1:13" x14ac:dyDescent="0.2">
      <c r="A1032" s="12" t="s">
        <v>4551</v>
      </c>
      <c r="B1032" s="12" t="s">
        <v>4023</v>
      </c>
      <c r="C1032" s="12">
        <v>954315</v>
      </c>
      <c r="D1032" s="12">
        <v>955234</v>
      </c>
      <c r="E1032" s="12" t="s">
        <v>3943</v>
      </c>
      <c r="F1032" s="12">
        <v>1</v>
      </c>
      <c r="H1032" s="12" t="s">
        <v>3643</v>
      </c>
      <c r="I1032" s="41" t="s">
        <v>7136</v>
      </c>
      <c r="M1032" s="41" t="e">
        <f>VLOOKUP(I1032,错误mRNA总表!D:I,6,FALSE)</f>
        <v>#N/A</v>
      </c>
    </row>
    <row r="1033" spans="1:13" x14ac:dyDescent="0.2">
      <c r="A1033" s="12" t="s">
        <v>4552</v>
      </c>
      <c r="B1033" s="12" t="s">
        <v>4066</v>
      </c>
      <c r="C1033" s="12">
        <v>7179524</v>
      </c>
      <c r="D1033" s="12">
        <v>7280142</v>
      </c>
      <c r="E1033" s="12" t="s">
        <v>3943</v>
      </c>
      <c r="F1033" s="12">
        <v>2</v>
      </c>
      <c r="H1033" s="12" t="s">
        <v>5938</v>
      </c>
      <c r="I1033" s="41" t="s">
        <v>7137</v>
      </c>
      <c r="M1033" s="41" t="e">
        <f>VLOOKUP(I1033,错误mRNA总表!D:I,6,FALSE)</f>
        <v>#N/A</v>
      </c>
    </row>
    <row r="1034" spans="1:13" x14ac:dyDescent="0.2">
      <c r="A1034" s="12" t="s">
        <v>4553</v>
      </c>
      <c r="B1034" s="12" t="s">
        <v>4001</v>
      </c>
      <c r="C1034" s="12">
        <v>1442004</v>
      </c>
      <c r="D1034" s="12">
        <v>1569559</v>
      </c>
      <c r="E1034" s="12" t="s">
        <v>3940</v>
      </c>
      <c r="F1034" s="12">
        <v>31</v>
      </c>
      <c r="H1034" s="12" t="s">
        <v>5939</v>
      </c>
      <c r="I1034" s="41" t="s">
        <v>7138</v>
      </c>
      <c r="M1034" s="41" t="e">
        <f>VLOOKUP(I1034,错误mRNA总表!D:I,6,FALSE)</f>
        <v>#N/A</v>
      </c>
    </row>
    <row r="1035" spans="1:13" x14ac:dyDescent="0.2">
      <c r="A1035" s="12" t="s">
        <v>4553</v>
      </c>
      <c r="B1035" s="12" t="s">
        <v>4001</v>
      </c>
      <c r="C1035" s="12">
        <v>1442004</v>
      </c>
      <c r="D1035" s="12">
        <v>1450276</v>
      </c>
      <c r="E1035" s="12" t="s">
        <v>3940</v>
      </c>
      <c r="F1035" s="12">
        <v>60</v>
      </c>
      <c r="H1035" s="12" t="s">
        <v>5939</v>
      </c>
      <c r="I1035" s="41" t="s">
        <v>7138</v>
      </c>
      <c r="M1035" s="41" t="e">
        <f>VLOOKUP(I1035,错误mRNA总表!D:I,6,FALSE)</f>
        <v>#N/A</v>
      </c>
    </row>
    <row r="1036" spans="1:13" x14ac:dyDescent="0.2">
      <c r="A1036" s="12" t="s">
        <v>4553</v>
      </c>
      <c r="B1036" s="12" t="s">
        <v>4001</v>
      </c>
      <c r="C1036" s="12">
        <v>1442004</v>
      </c>
      <c r="D1036" s="12">
        <v>1569535</v>
      </c>
      <c r="E1036" s="12" t="s">
        <v>3943</v>
      </c>
      <c r="F1036" s="12">
        <v>2</v>
      </c>
      <c r="H1036" s="12" t="s">
        <v>5939</v>
      </c>
      <c r="I1036" s="41" t="s">
        <v>7138</v>
      </c>
      <c r="M1036" s="41" t="e">
        <f>VLOOKUP(I1036,错误mRNA总表!D:I,6,FALSE)</f>
        <v>#N/A</v>
      </c>
    </row>
    <row r="1037" spans="1:13" x14ac:dyDescent="0.2">
      <c r="A1037" s="12" t="s">
        <v>4554</v>
      </c>
      <c r="B1037" s="12" t="s">
        <v>3948</v>
      </c>
      <c r="C1037" s="12">
        <v>50344378</v>
      </c>
      <c r="D1037" s="12">
        <v>50344382</v>
      </c>
      <c r="E1037" s="12" t="s">
        <v>3940</v>
      </c>
      <c r="F1037" s="12">
        <v>1</v>
      </c>
      <c r="G1037" s="41" t="s">
        <v>40</v>
      </c>
      <c r="H1037" s="12" t="s">
        <v>255</v>
      </c>
      <c r="I1037" s="41" t="s">
        <v>7139</v>
      </c>
      <c r="J1037" s="41" t="s">
        <v>3337</v>
      </c>
      <c r="K1037" s="41" t="str">
        <f>VLOOKUP(J1037,错误mRNA总表!D:J,7,FALSE)</f>
        <v>错误</v>
      </c>
      <c r="M1037" s="41" t="e">
        <f>VLOOKUP(I1037,错误mRNA总表!D:I,6,FALSE)</f>
        <v>#N/A</v>
      </c>
    </row>
    <row r="1038" spans="1:13" x14ac:dyDescent="0.2">
      <c r="A1038" s="12" t="s">
        <v>4554</v>
      </c>
      <c r="B1038" s="12" t="s">
        <v>3948</v>
      </c>
      <c r="C1038" s="12">
        <v>50344378</v>
      </c>
      <c r="D1038" s="12">
        <v>50367354</v>
      </c>
      <c r="E1038" s="12" t="s">
        <v>3943</v>
      </c>
      <c r="F1038" s="12">
        <v>2</v>
      </c>
      <c r="G1038" s="41" t="s">
        <v>40</v>
      </c>
      <c r="H1038" s="12" t="s">
        <v>255</v>
      </c>
      <c r="I1038" s="41" t="s">
        <v>7139</v>
      </c>
      <c r="J1038" s="41" t="s">
        <v>3337</v>
      </c>
      <c r="K1038" s="41" t="str">
        <f>VLOOKUP(J1038,错误mRNA总表!D:J,7,FALSE)</f>
        <v>错误</v>
      </c>
      <c r="M1038" s="41" t="e">
        <f>VLOOKUP(I1038,错误mRNA总表!D:I,6,FALSE)</f>
        <v>#N/A</v>
      </c>
    </row>
    <row r="1039" spans="1:13" x14ac:dyDescent="0.2">
      <c r="A1039" s="12" t="s">
        <v>4555</v>
      </c>
      <c r="B1039" s="12" t="s">
        <v>4023</v>
      </c>
      <c r="C1039" s="12">
        <v>954315</v>
      </c>
      <c r="D1039" s="12">
        <v>955234</v>
      </c>
      <c r="E1039" s="12" t="s">
        <v>3943</v>
      </c>
      <c r="F1039" s="12">
        <v>1</v>
      </c>
      <c r="H1039" s="12" t="s">
        <v>3641</v>
      </c>
      <c r="I1039" s="41" t="s">
        <v>7140</v>
      </c>
      <c r="M1039" s="41" t="e">
        <f>VLOOKUP(I1039,错误mRNA总表!D:I,6,FALSE)</f>
        <v>#N/A</v>
      </c>
    </row>
    <row r="1040" spans="1:13" x14ac:dyDescent="0.2">
      <c r="A1040" s="12" t="s">
        <v>4556</v>
      </c>
      <c r="B1040" s="12" t="s">
        <v>3966</v>
      </c>
      <c r="C1040" s="12">
        <v>36585176</v>
      </c>
      <c r="D1040" s="12">
        <v>36587845</v>
      </c>
      <c r="E1040" s="12" t="s">
        <v>3940</v>
      </c>
      <c r="F1040" s="12">
        <v>2</v>
      </c>
      <c r="G1040" s="41" t="s">
        <v>43</v>
      </c>
      <c r="H1040" s="12" t="s">
        <v>42</v>
      </c>
      <c r="I1040" s="41" t="s">
        <v>2077</v>
      </c>
      <c r="J1040" s="41" t="s">
        <v>2077</v>
      </c>
      <c r="K1040" s="41" t="str">
        <f>VLOOKUP(J1040,错误mRNA总表!D:J,7,FALSE)</f>
        <v>纠后正确</v>
      </c>
      <c r="L1040" s="41" t="s">
        <v>3763</v>
      </c>
      <c r="M1040" s="41">
        <f>VLOOKUP(I1040,错误mRNA总表!D:I,6,FALSE)</f>
        <v>0</v>
      </c>
    </row>
    <row r="1041" spans="1:13" x14ac:dyDescent="0.2">
      <c r="A1041" s="12" t="s">
        <v>4557</v>
      </c>
      <c r="B1041" s="12" t="s">
        <v>3939</v>
      </c>
      <c r="C1041" s="12">
        <v>148678216</v>
      </c>
      <c r="D1041" s="12">
        <v>148713418</v>
      </c>
      <c r="E1041" s="12" t="s">
        <v>3940</v>
      </c>
      <c r="F1041" s="12">
        <v>27</v>
      </c>
      <c r="G1041" s="41" t="s">
        <v>73</v>
      </c>
      <c r="H1041" s="12" t="s">
        <v>1403</v>
      </c>
      <c r="I1041" s="41" t="s">
        <v>3205</v>
      </c>
      <c r="J1041" s="41" t="s">
        <v>3205</v>
      </c>
      <c r="K1041" s="41" t="str">
        <f>VLOOKUP(J1041,错误mRNA总表!D:J,7,FALSE)</f>
        <v/>
      </c>
      <c r="M1041" s="41">
        <f>VLOOKUP(I1041,错误mRNA总表!D:I,6,FALSE)</f>
        <v>0</v>
      </c>
    </row>
    <row r="1042" spans="1:13" x14ac:dyDescent="0.2">
      <c r="A1042" s="12" t="s">
        <v>4044</v>
      </c>
      <c r="B1042" s="12" t="s">
        <v>4273</v>
      </c>
      <c r="C1042" s="12">
        <v>134946</v>
      </c>
      <c r="D1042" s="12">
        <v>135009</v>
      </c>
      <c r="E1042" s="12" t="s">
        <v>3940</v>
      </c>
      <c r="F1042" s="12">
        <v>1</v>
      </c>
      <c r="H1042" s="12" t="s">
        <v>3648</v>
      </c>
      <c r="I1042" s="41" t="s">
        <v>6693</v>
      </c>
      <c r="M1042" s="41" t="e">
        <f>VLOOKUP(I1042,错误mRNA总表!D:I,6,FALSE)</f>
        <v>#N/A</v>
      </c>
    </row>
    <row r="1043" spans="1:13" x14ac:dyDescent="0.2">
      <c r="A1043" s="12" t="s">
        <v>4558</v>
      </c>
      <c r="B1043" s="12" t="s">
        <v>3946</v>
      </c>
      <c r="C1043" s="12">
        <v>79609331</v>
      </c>
      <c r="D1043" s="12">
        <v>79614937</v>
      </c>
      <c r="E1043" s="12" t="s">
        <v>3943</v>
      </c>
      <c r="F1043" s="12">
        <v>4</v>
      </c>
      <c r="G1043" s="41" t="s">
        <v>47</v>
      </c>
      <c r="H1043" s="12" t="s">
        <v>5940</v>
      </c>
      <c r="I1043" s="41" t="s">
        <v>7141</v>
      </c>
      <c r="M1043" s="41" t="e">
        <f>VLOOKUP(I1043,错误mRNA总表!D:I,6,FALSE)</f>
        <v>#N/A</v>
      </c>
    </row>
    <row r="1044" spans="1:13" x14ac:dyDescent="0.2">
      <c r="A1044" s="12" t="s">
        <v>4559</v>
      </c>
      <c r="B1044" s="12" t="s">
        <v>3957</v>
      </c>
      <c r="C1044" s="12">
        <v>65154041</v>
      </c>
      <c r="D1044" s="12">
        <v>65179814</v>
      </c>
      <c r="E1044" s="12" t="s">
        <v>3940</v>
      </c>
      <c r="F1044" s="12">
        <v>1</v>
      </c>
      <c r="G1044" s="41" t="s">
        <v>36</v>
      </c>
      <c r="H1044" s="12" t="s">
        <v>6402</v>
      </c>
      <c r="I1044" s="41" t="s">
        <v>7142</v>
      </c>
      <c r="M1044" s="41" t="e">
        <f>VLOOKUP(I1044,错误mRNA总表!D:I,6,FALSE)</f>
        <v>#N/A</v>
      </c>
    </row>
    <row r="1045" spans="1:13" x14ac:dyDescent="0.2">
      <c r="A1045" s="12" t="s">
        <v>4560</v>
      </c>
      <c r="B1045" s="12" t="s">
        <v>4561</v>
      </c>
      <c r="C1045" s="12">
        <v>36938</v>
      </c>
      <c r="D1045" s="12">
        <v>48653</v>
      </c>
      <c r="E1045" s="12" t="s">
        <v>3940</v>
      </c>
      <c r="F1045" s="12">
        <v>3</v>
      </c>
      <c r="H1045" s="12" t="s">
        <v>5941</v>
      </c>
      <c r="I1045" s="41" t="s">
        <v>7143</v>
      </c>
      <c r="M1045" s="41" t="e">
        <f>VLOOKUP(I1045,错误mRNA总表!D:I,6,FALSE)</f>
        <v>#N/A</v>
      </c>
    </row>
    <row r="1046" spans="1:13" x14ac:dyDescent="0.2">
      <c r="A1046" s="12" t="s">
        <v>4562</v>
      </c>
      <c r="B1046" s="12" t="s">
        <v>3966</v>
      </c>
      <c r="C1046" s="12">
        <v>36585176</v>
      </c>
      <c r="D1046" s="12">
        <v>36587845</v>
      </c>
      <c r="E1046" s="12" t="s">
        <v>3940</v>
      </c>
      <c r="F1046" s="12">
        <v>2</v>
      </c>
      <c r="G1046" s="41" t="s">
        <v>43</v>
      </c>
      <c r="H1046" s="12" t="s">
        <v>44</v>
      </c>
      <c r="I1046" s="41" t="s">
        <v>2078</v>
      </c>
      <c r="J1046" s="41" t="s">
        <v>2078</v>
      </c>
      <c r="K1046" s="41" t="str">
        <f>VLOOKUP(J1046,错误mRNA总表!D:J,7,FALSE)</f>
        <v>纠后正确</v>
      </c>
      <c r="L1046" s="41" t="s">
        <v>3763</v>
      </c>
      <c r="M1046" s="41">
        <f>VLOOKUP(I1046,错误mRNA总表!D:I,6,FALSE)</f>
        <v>0</v>
      </c>
    </row>
    <row r="1047" spans="1:13" x14ac:dyDescent="0.2">
      <c r="A1047" s="12" t="s">
        <v>4563</v>
      </c>
      <c r="B1047" s="12" t="s">
        <v>3957</v>
      </c>
      <c r="C1047" s="12">
        <v>118938463</v>
      </c>
      <c r="D1047" s="12">
        <v>118939941</v>
      </c>
      <c r="E1047" s="12" t="s">
        <v>3940</v>
      </c>
      <c r="F1047" s="12">
        <v>1</v>
      </c>
      <c r="G1047" s="41" t="s">
        <v>36</v>
      </c>
      <c r="H1047" s="12" t="s">
        <v>5942</v>
      </c>
      <c r="I1047" s="41" t="s">
        <v>7144</v>
      </c>
      <c r="M1047" s="41" t="e">
        <f>VLOOKUP(I1047,错误mRNA总表!D:I,6,FALSE)</f>
        <v>#N/A</v>
      </c>
    </row>
    <row r="1048" spans="1:13" x14ac:dyDescent="0.2">
      <c r="A1048" s="12" t="s">
        <v>4564</v>
      </c>
      <c r="B1048" s="12" t="s">
        <v>3984</v>
      </c>
      <c r="C1048" s="12">
        <v>2922643</v>
      </c>
      <c r="D1048" s="12">
        <v>2922659</v>
      </c>
      <c r="E1048" s="12" t="s">
        <v>3943</v>
      </c>
      <c r="F1048" s="12">
        <v>5</v>
      </c>
      <c r="H1048" s="12" t="s">
        <v>3569</v>
      </c>
      <c r="I1048" s="41" t="s">
        <v>7145</v>
      </c>
      <c r="M1048" s="41" t="e">
        <f>VLOOKUP(I1048,错误mRNA总表!D:I,6,FALSE)</f>
        <v>#N/A</v>
      </c>
    </row>
    <row r="1049" spans="1:13" x14ac:dyDescent="0.2">
      <c r="A1049" s="12" t="s">
        <v>4564</v>
      </c>
      <c r="B1049" s="12" t="s">
        <v>3984</v>
      </c>
      <c r="C1049" s="12">
        <v>2922643</v>
      </c>
      <c r="D1049" s="12">
        <v>2923119</v>
      </c>
      <c r="E1049" s="12" t="s">
        <v>3943</v>
      </c>
      <c r="F1049" s="12">
        <v>1</v>
      </c>
      <c r="H1049" s="12" t="s">
        <v>3569</v>
      </c>
      <c r="I1049" s="41" t="s">
        <v>7145</v>
      </c>
      <c r="M1049" s="41" t="e">
        <f>VLOOKUP(I1049,错误mRNA总表!D:I,6,FALSE)</f>
        <v>#N/A</v>
      </c>
    </row>
    <row r="1050" spans="1:13" x14ac:dyDescent="0.2">
      <c r="A1050" s="12" t="s">
        <v>4564</v>
      </c>
      <c r="B1050" s="12" t="s">
        <v>3984</v>
      </c>
      <c r="C1050" s="12">
        <v>2922643</v>
      </c>
      <c r="D1050" s="12">
        <v>2923239</v>
      </c>
      <c r="E1050" s="12" t="s">
        <v>3940</v>
      </c>
      <c r="F1050" s="12">
        <v>1</v>
      </c>
      <c r="H1050" s="12" t="s">
        <v>3569</v>
      </c>
      <c r="I1050" s="41" t="s">
        <v>7145</v>
      </c>
      <c r="M1050" s="41" t="e">
        <f>VLOOKUP(I1050,错误mRNA总表!D:I,6,FALSE)</f>
        <v>#N/A</v>
      </c>
    </row>
    <row r="1051" spans="1:13" x14ac:dyDescent="0.2">
      <c r="A1051" s="12" t="s">
        <v>4565</v>
      </c>
      <c r="B1051" s="12" t="s">
        <v>4124</v>
      </c>
      <c r="C1051" s="12">
        <v>233925036</v>
      </c>
      <c r="D1051" s="12">
        <v>233995358</v>
      </c>
      <c r="E1051" s="12" t="s">
        <v>3940</v>
      </c>
      <c r="F1051" s="12">
        <v>145</v>
      </c>
      <c r="G1051" s="41" t="s">
        <v>1</v>
      </c>
      <c r="H1051" s="12" t="s">
        <v>244</v>
      </c>
      <c r="I1051" s="41" t="s">
        <v>2212</v>
      </c>
      <c r="J1051" s="41" t="s">
        <v>2212</v>
      </c>
      <c r="K1051" s="41" t="str">
        <f>VLOOKUP(J1051,错误mRNA总表!D:J,7,FALSE)</f>
        <v/>
      </c>
      <c r="M1051" s="41">
        <f>VLOOKUP(I1051,错误mRNA总表!D:I,6,FALSE)</f>
        <v>0</v>
      </c>
    </row>
    <row r="1052" spans="1:13" x14ac:dyDescent="0.2">
      <c r="A1052" s="12" t="s">
        <v>4565</v>
      </c>
      <c r="B1052" s="12" t="s">
        <v>4124</v>
      </c>
      <c r="C1052" s="12">
        <v>233925036</v>
      </c>
      <c r="D1052" s="12">
        <v>233995852</v>
      </c>
      <c r="E1052" s="12" t="s">
        <v>3943</v>
      </c>
      <c r="F1052" s="12">
        <v>2</v>
      </c>
      <c r="G1052" s="41" t="s">
        <v>1</v>
      </c>
      <c r="H1052" s="12" t="s">
        <v>244</v>
      </c>
      <c r="I1052" s="41" t="s">
        <v>2212</v>
      </c>
      <c r="J1052" s="41" t="s">
        <v>2212</v>
      </c>
      <c r="K1052" s="41" t="str">
        <f>VLOOKUP(J1052,错误mRNA总表!D:J,7,FALSE)</f>
        <v/>
      </c>
      <c r="M1052" s="41">
        <f>VLOOKUP(I1052,错误mRNA总表!D:I,6,FALSE)</f>
        <v>0</v>
      </c>
    </row>
    <row r="1053" spans="1:13" x14ac:dyDescent="0.2">
      <c r="A1053" s="12" t="s">
        <v>4565</v>
      </c>
      <c r="B1053" s="12" t="s">
        <v>4124</v>
      </c>
      <c r="C1053" s="12">
        <v>233925036</v>
      </c>
      <c r="D1053" s="12">
        <v>233995864</v>
      </c>
      <c r="E1053" s="12" t="s">
        <v>3943</v>
      </c>
      <c r="F1053" s="12">
        <v>1</v>
      </c>
      <c r="G1053" s="41" t="s">
        <v>1</v>
      </c>
      <c r="H1053" s="12" t="s">
        <v>244</v>
      </c>
      <c r="I1053" s="41" t="s">
        <v>2212</v>
      </c>
      <c r="J1053" s="41" t="s">
        <v>2212</v>
      </c>
      <c r="K1053" s="41" t="str">
        <f>VLOOKUP(J1053,错误mRNA总表!D:J,7,FALSE)</f>
        <v/>
      </c>
      <c r="M1053" s="41">
        <f>VLOOKUP(I1053,错误mRNA总表!D:I,6,FALSE)</f>
        <v>0</v>
      </c>
    </row>
    <row r="1054" spans="1:13" x14ac:dyDescent="0.2">
      <c r="A1054" s="12" t="s">
        <v>4565</v>
      </c>
      <c r="B1054" s="12" t="s">
        <v>4124</v>
      </c>
      <c r="C1054" s="12">
        <v>233925036</v>
      </c>
      <c r="D1054" s="12">
        <v>233995870</v>
      </c>
      <c r="E1054" s="12" t="s">
        <v>3943</v>
      </c>
      <c r="F1054" s="12">
        <v>3</v>
      </c>
      <c r="G1054" s="41" t="s">
        <v>1</v>
      </c>
      <c r="H1054" s="12" t="s">
        <v>244</v>
      </c>
      <c r="I1054" s="41" t="s">
        <v>2212</v>
      </c>
      <c r="J1054" s="41" t="s">
        <v>2212</v>
      </c>
      <c r="K1054" s="41" t="str">
        <f>VLOOKUP(J1054,错误mRNA总表!D:J,7,FALSE)</f>
        <v/>
      </c>
      <c r="M1054" s="41">
        <f>VLOOKUP(I1054,错误mRNA总表!D:I,6,FALSE)</f>
        <v>0</v>
      </c>
    </row>
    <row r="1055" spans="1:13" x14ac:dyDescent="0.2">
      <c r="A1055" s="12" t="s">
        <v>4566</v>
      </c>
      <c r="B1055" s="12" t="s">
        <v>3950</v>
      </c>
      <c r="C1055" s="12">
        <v>166050</v>
      </c>
      <c r="D1055" s="12">
        <v>169137</v>
      </c>
      <c r="E1055" s="12" t="s">
        <v>3940</v>
      </c>
      <c r="F1055" s="12">
        <v>3</v>
      </c>
      <c r="H1055" s="12" t="s">
        <v>3651</v>
      </c>
      <c r="I1055" s="41" t="s">
        <v>7146</v>
      </c>
      <c r="M1055" s="41" t="e">
        <f>VLOOKUP(I1055,错误mRNA总表!D:I,6,FALSE)</f>
        <v>#N/A</v>
      </c>
    </row>
    <row r="1056" spans="1:13" x14ac:dyDescent="0.2">
      <c r="A1056" s="12" t="s">
        <v>4567</v>
      </c>
      <c r="B1056" s="12" t="s">
        <v>4199</v>
      </c>
      <c r="C1056" s="12">
        <v>40090</v>
      </c>
      <c r="D1056" s="12">
        <v>59903</v>
      </c>
      <c r="E1056" s="12" t="s">
        <v>3940</v>
      </c>
      <c r="F1056" s="12">
        <v>915</v>
      </c>
      <c r="H1056" s="12" t="s">
        <v>3467</v>
      </c>
      <c r="I1056" s="41" t="s">
        <v>6804</v>
      </c>
      <c r="M1056" s="41" t="e">
        <f>VLOOKUP(I1056,错误mRNA总表!D:I,6,FALSE)</f>
        <v>#N/A</v>
      </c>
    </row>
    <row r="1057" spans="1:13" x14ac:dyDescent="0.2">
      <c r="A1057" s="12" t="s">
        <v>4567</v>
      </c>
      <c r="B1057" s="12" t="s">
        <v>4199</v>
      </c>
      <c r="C1057" s="12">
        <v>40090</v>
      </c>
      <c r="D1057" s="12">
        <v>59894</v>
      </c>
      <c r="E1057" s="12" t="s">
        <v>3940</v>
      </c>
      <c r="F1057" s="12">
        <v>1</v>
      </c>
      <c r="H1057" s="12" t="s">
        <v>3467</v>
      </c>
      <c r="I1057" s="41" t="s">
        <v>6804</v>
      </c>
      <c r="M1057" s="41" t="e">
        <f>VLOOKUP(I1057,错误mRNA总表!D:I,6,FALSE)</f>
        <v>#N/A</v>
      </c>
    </row>
    <row r="1058" spans="1:13" x14ac:dyDescent="0.2">
      <c r="A1058" s="12" t="s">
        <v>4567</v>
      </c>
      <c r="B1058" s="12" t="s">
        <v>4199</v>
      </c>
      <c r="C1058" s="12">
        <v>40090</v>
      </c>
      <c r="D1058" s="12">
        <v>59074</v>
      </c>
      <c r="E1058" s="12" t="s">
        <v>3940</v>
      </c>
      <c r="F1058" s="12">
        <v>22</v>
      </c>
      <c r="H1058" s="12" t="s">
        <v>3467</v>
      </c>
      <c r="I1058" s="41" t="s">
        <v>6804</v>
      </c>
      <c r="M1058" s="41" t="e">
        <f>VLOOKUP(I1058,错误mRNA总表!D:I,6,FALSE)</f>
        <v>#N/A</v>
      </c>
    </row>
    <row r="1059" spans="1:13" x14ac:dyDescent="0.2">
      <c r="A1059" s="12" t="s">
        <v>4567</v>
      </c>
      <c r="B1059" s="12" t="s">
        <v>4199</v>
      </c>
      <c r="C1059" s="12">
        <v>40090</v>
      </c>
      <c r="D1059" s="12">
        <v>53232</v>
      </c>
      <c r="E1059" s="12" t="s">
        <v>3940</v>
      </c>
      <c r="F1059" s="12">
        <v>347</v>
      </c>
      <c r="H1059" s="12" t="s">
        <v>3467</v>
      </c>
      <c r="I1059" s="41" t="s">
        <v>6804</v>
      </c>
      <c r="M1059" s="41" t="e">
        <f>VLOOKUP(I1059,错误mRNA总表!D:I,6,FALSE)</f>
        <v>#N/A</v>
      </c>
    </row>
    <row r="1060" spans="1:13" x14ac:dyDescent="0.2">
      <c r="A1060" s="12" t="s">
        <v>4567</v>
      </c>
      <c r="B1060" s="12" t="s">
        <v>4199</v>
      </c>
      <c r="C1060" s="12">
        <v>40090</v>
      </c>
      <c r="D1060" s="12">
        <v>44957</v>
      </c>
      <c r="E1060" s="12" t="s">
        <v>3940</v>
      </c>
      <c r="F1060" s="12">
        <v>581</v>
      </c>
      <c r="H1060" s="12" t="s">
        <v>3467</v>
      </c>
      <c r="I1060" s="41" t="s">
        <v>6804</v>
      </c>
      <c r="M1060" s="41" t="e">
        <f>VLOOKUP(I1060,错误mRNA总表!D:I,6,FALSE)</f>
        <v>#N/A</v>
      </c>
    </row>
    <row r="1061" spans="1:13" x14ac:dyDescent="0.2">
      <c r="A1061" s="12" t="s">
        <v>4567</v>
      </c>
      <c r="B1061" s="12" t="s">
        <v>4199</v>
      </c>
      <c r="C1061" s="12">
        <v>40090</v>
      </c>
      <c r="D1061" s="12">
        <v>53220</v>
      </c>
      <c r="E1061" s="12" t="s">
        <v>3940</v>
      </c>
      <c r="F1061" s="12">
        <v>2</v>
      </c>
      <c r="H1061" s="12" t="s">
        <v>3467</v>
      </c>
      <c r="I1061" s="41" t="s">
        <v>6804</v>
      </c>
      <c r="M1061" s="41" t="e">
        <f>VLOOKUP(I1061,错误mRNA总表!D:I,6,FALSE)</f>
        <v>#N/A</v>
      </c>
    </row>
    <row r="1062" spans="1:13" x14ac:dyDescent="0.2">
      <c r="A1062" s="12" t="s">
        <v>4567</v>
      </c>
      <c r="B1062" s="12" t="s">
        <v>4199</v>
      </c>
      <c r="C1062" s="12">
        <v>40090</v>
      </c>
      <c r="D1062" s="12">
        <v>40127</v>
      </c>
      <c r="E1062" s="12" t="s">
        <v>3940</v>
      </c>
      <c r="F1062" s="12">
        <v>59</v>
      </c>
      <c r="H1062" s="12" t="s">
        <v>3467</v>
      </c>
      <c r="I1062" s="41" t="s">
        <v>6804</v>
      </c>
      <c r="M1062" s="41" t="e">
        <f>VLOOKUP(I1062,错误mRNA总表!D:I,6,FALSE)</f>
        <v>#N/A</v>
      </c>
    </row>
    <row r="1063" spans="1:13" x14ac:dyDescent="0.2">
      <c r="A1063" s="12" t="s">
        <v>4567</v>
      </c>
      <c r="B1063" s="12" t="s">
        <v>4199</v>
      </c>
      <c r="C1063" s="12">
        <v>40090</v>
      </c>
      <c r="D1063" s="12">
        <v>44939</v>
      </c>
      <c r="E1063" s="12" t="s">
        <v>3943</v>
      </c>
      <c r="F1063" s="12">
        <v>1</v>
      </c>
      <c r="H1063" s="12" t="s">
        <v>3467</v>
      </c>
      <c r="I1063" s="41" t="s">
        <v>6804</v>
      </c>
      <c r="M1063" s="41" t="e">
        <f>VLOOKUP(I1063,错误mRNA总表!D:I,6,FALSE)</f>
        <v>#N/A</v>
      </c>
    </row>
    <row r="1064" spans="1:13" x14ac:dyDescent="0.2">
      <c r="A1064" s="12" t="s">
        <v>4567</v>
      </c>
      <c r="B1064" s="12" t="s">
        <v>4199</v>
      </c>
      <c r="C1064" s="12">
        <v>40090</v>
      </c>
      <c r="D1064" s="12">
        <v>40104</v>
      </c>
      <c r="E1064" s="12" t="s">
        <v>3940</v>
      </c>
      <c r="F1064" s="12">
        <v>2</v>
      </c>
      <c r="H1064" s="12" t="s">
        <v>3467</v>
      </c>
      <c r="I1064" s="41" t="s">
        <v>6804</v>
      </c>
      <c r="M1064" s="41" t="e">
        <f>VLOOKUP(I1064,错误mRNA总表!D:I,6,FALSE)</f>
        <v>#N/A</v>
      </c>
    </row>
    <row r="1065" spans="1:13" x14ac:dyDescent="0.2">
      <c r="A1065" s="12" t="s">
        <v>4567</v>
      </c>
      <c r="B1065" s="12" t="s">
        <v>4199</v>
      </c>
      <c r="C1065" s="12">
        <v>40090</v>
      </c>
      <c r="D1065" s="12">
        <v>40117</v>
      </c>
      <c r="E1065" s="12" t="s">
        <v>3943</v>
      </c>
      <c r="F1065" s="12">
        <v>1</v>
      </c>
      <c r="H1065" s="12" t="s">
        <v>3467</v>
      </c>
      <c r="I1065" s="41" t="s">
        <v>6804</v>
      </c>
      <c r="M1065" s="41" t="e">
        <f>VLOOKUP(I1065,错误mRNA总表!D:I,6,FALSE)</f>
        <v>#N/A</v>
      </c>
    </row>
    <row r="1066" spans="1:13" x14ac:dyDescent="0.2">
      <c r="A1066" s="12" t="s">
        <v>4568</v>
      </c>
      <c r="B1066" s="12" t="s">
        <v>3964</v>
      </c>
      <c r="C1066" s="12">
        <v>3961416</v>
      </c>
      <c r="D1066" s="12">
        <v>3968705</v>
      </c>
      <c r="E1066" s="12" t="s">
        <v>3943</v>
      </c>
      <c r="F1066" s="12">
        <v>3</v>
      </c>
      <c r="H1066" s="12" t="s">
        <v>3581</v>
      </c>
      <c r="I1066" s="41" t="s">
        <v>7147</v>
      </c>
      <c r="M1066" s="41" t="e">
        <f>VLOOKUP(I1066,错误mRNA总表!D:I,6,FALSE)</f>
        <v>#N/A</v>
      </c>
    </row>
    <row r="1067" spans="1:13" x14ac:dyDescent="0.2">
      <c r="A1067" s="12" t="s">
        <v>4568</v>
      </c>
      <c r="B1067" s="12" t="s">
        <v>3964</v>
      </c>
      <c r="C1067" s="12">
        <v>3961416</v>
      </c>
      <c r="D1067" s="12">
        <v>3962018</v>
      </c>
      <c r="E1067" s="12" t="s">
        <v>3940</v>
      </c>
      <c r="F1067" s="12">
        <v>1</v>
      </c>
      <c r="H1067" s="12" t="s">
        <v>3581</v>
      </c>
      <c r="I1067" s="41" t="s">
        <v>7147</v>
      </c>
      <c r="M1067" s="41" t="e">
        <f>VLOOKUP(I1067,错误mRNA总表!D:I,6,FALSE)</f>
        <v>#N/A</v>
      </c>
    </row>
    <row r="1068" spans="1:13" x14ac:dyDescent="0.2">
      <c r="A1068" s="12" t="s">
        <v>4569</v>
      </c>
      <c r="B1068" s="12" t="s">
        <v>4049</v>
      </c>
      <c r="C1068" s="12">
        <v>1350362</v>
      </c>
      <c r="D1068" s="12">
        <v>1350381</v>
      </c>
      <c r="E1068" s="12" t="s">
        <v>3940</v>
      </c>
      <c r="F1068" s="12">
        <v>2</v>
      </c>
      <c r="H1068" s="12" t="s">
        <v>5943</v>
      </c>
      <c r="I1068" s="41" t="s">
        <v>7148</v>
      </c>
      <c r="M1068" s="41" t="e">
        <f>VLOOKUP(I1068,错误mRNA总表!D:I,6,FALSE)</f>
        <v>#N/A</v>
      </c>
    </row>
    <row r="1069" spans="1:13" x14ac:dyDescent="0.2">
      <c r="A1069" s="12" t="s">
        <v>4569</v>
      </c>
      <c r="B1069" s="12" t="s">
        <v>4049</v>
      </c>
      <c r="C1069" s="12">
        <v>1350362</v>
      </c>
      <c r="D1069" s="12">
        <v>1352063</v>
      </c>
      <c r="E1069" s="12" t="s">
        <v>3940</v>
      </c>
      <c r="F1069" s="12">
        <v>1</v>
      </c>
      <c r="H1069" s="12" t="s">
        <v>5943</v>
      </c>
      <c r="I1069" s="41" t="s">
        <v>7148</v>
      </c>
      <c r="M1069" s="41" t="e">
        <f>VLOOKUP(I1069,错误mRNA总表!D:I,6,FALSE)</f>
        <v>#N/A</v>
      </c>
    </row>
    <row r="1070" spans="1:13" x14ac:dyDescent="0.2">
      <c r="A1070" s="12" t="s">
        <v>4570</v>
      </c>
      <c r="B1070" s="12" t="s">
        <v>4030</v>
      </c>
      <c r="C1070" s="12">
        <v>21989231</v>
      </c>
      <c r="D1070" s="12">
        <v>21989472</v>
      </c>
      <c r="E1070" s="12" t="s">
        <v>3940</v>
      </c>
      <c r="F1070" s="12">
        <v>15</v>
      </c>
      <c r="G1070" s="41" t="s">
        <v>81</v>
      </c>
      <c r="H1070" s="12" t="s">
        <v>6403</v>
      </c>
      <c r="I1070" s="41" t="s">
        <v>7149</v>
      </c>
      <c r="M1070" s="41" t="e">
        <f>VLOOKUP(I1070,错误mRNA总表!D:I,6,FALSE)</f>
        <v>#N/A</v>
      </c>
    </row>
    <row r="1071" spans="1:13" x14ac:dyDescent="0.2">
      <c r="A1071" s="12" t="s">
        <v>4570</v>
      </c>
      <c r="B1071" s="12" t="s">
        <v>4030</v>
      </c>
      <c r="C1071" s="12">
        <v>21989231</v>
      </c>
      <c r="D1071" s="12">
        <v>21989706</v>
      </c>
      <c r="E1071" s="12" t="s">
        <v>3940</v>
      </c>
      <c r="F1071" s="12">
        <v>2</v>
      </c>
      <c r="G1071" s="41" t="s">
        <v>81</v>
      </c>
      <c r="H1071" s="12" t="s">
        <v>6403</v>
      </c>
      <c r="I1071" s="41" t="s">
        <v>7149</v>
      </c>
      <c r="M1071" s="41" t="e">
        <f>VLOOKUP(I1071,错误mRNA总表!D:I,6,FALSE)</f>
        <v>#N/A</v>
      </c>
    </row>
    <row r="1072" spans="1:13" x14ac:dyDescent="0.2">
      <c r="A1072" s="12" t="s">
        <v>4571</v>
      </c>
      <c r="B1072" s="12" t="s">
        <v>3994</v>
      </c>
      <c r="C1072" s="12">
        <v>3244191</v>
      </c>
      <c r="D1072" s="12">
        <v>3244195</v>
      </c>
      <c r="E1072" s="12" t="s">
        <v>3940</v>
      </c>
      <c r="F1072" s="12">
        <v>5</v>
      </c>
      <c r="H1072" s="12" t="s">
        <v>3431</v>
      </c>
      <c r="I1072" s="41" t="s">
        <v>7150</v>
      </c>
      <c r="M1072" s="41" t="e">
        <f>VLOOKUP(I1072,错误mRNA总表!D:I,6,FALSE)</f>
        <v>#N/A</v>
      </c>
    </row>
    <row r="1073" spans="1:13" x14ac:dyDescent="0.2">
      <c r="A1073" s="12" t="s">
        <v>4438</v>
      </c>
      <c r="B1073" s="12" t="s">
        <v>3996</v>
      </c>
      <c r="C1073" s="12">
        <v>1143559</v>
      </c>
      <c r="D1073" s="12">
        <v>1158907</v>
      </c>
      <c r="E1073" s="12" t="s">
        <v>3943</v>
      </c>
      <c r="F1073" s="12">
        <v>8</v>
      </c>
      <c r="H1073" s="12" t="s">
        <v>3522</v>
      </c>
      <c r="I1073" s="41" t="s">
        <v>7151</v>
      </c>
      <c r="M1073" s="41" t="e">
        <f>VLOOKUP(I1073,错误mRNA总表!D:I,6,FALSE)</f>
        <v>#N/A</v>
      </c>
    </row>
    <row r="1074" spans="1:13" x14ac:dyDescent="0.2">
      <c r="A1074" s="12" t="s">
        <v>4404</v>
      </c>
      <c r="B1074" s="12" t="s">
        <v>4289</v>
      </c>
      <c r="C1074" s="12">
        <v>16574</v>
      </c>
      <c r="D1074" s="12">
        <v>16589</v>
      </c>
      <c r="E1074" s="12" t="s">
        <v>3943</v>
      </c>
      <c r="F1074" s="12">
        <v>6</v>
      </c>
      <c r="H1074" s="12" t="s">
        <v>5890</v>
      </c>
      <c r="I1074" s="41" t="s">
        <v>7152</v>
      </c>
      <c r="M1074" s="41" t="e">
        <f>VLOOKUP(I1074,错误mRNA总表!D:I,6,FALSE)</f>
        <v>#N/A</v>
      </c>
    </row>
    <row r="1075" spans="1:13" x14ac:dyDescent="0.2">
      <c r="A1075" s="12" t="s">
        <v>4404</v>
      </c>
      <c r="B1075" s="12" t="s">
        <v>4289</v>
      </c>
      <c r="C1075" s="12">
        <v>16574</v>
      </c>
      <c r="D1075" s="12">
        <v>16613</v>
      </c>
      <c r="E1075" s="12" t="s">
        <v>3940</v>
      </c>
      <c r="F1075" s="12">
        <v>1</v>
      </c>
      <c r="H1075" s="12" t="s">
        <v>5890</v>
      </c>
      <c r="I1075" s="41" t="s">
        <v>7152</v>
      </c>
      <c r="M1075" s="41" t="e">
        <f>VLOOKUP(I1075,错误mRNA总表!D:I,6,FALSE)</f>
        <v>#N/A</v>
      </c>
    </row>
    <row r="1076" spans="1:13" x14ac:dyDescent="0.2">
      <c r="A1076" s="12" t="s">
        <v>4404</v>
      </c>
      <c r="B1076" s="12" t="s">
        <v>4289</v>
      </c>
      <c r="C1076" s="12">
        <v>16574</v>
      </c>
      <c r="D1076" s="12">
        <v>16619</v>
      </c>
      <c r="E1076" s="12" t="s">
        <v>3940</v>
      </c>
      <c r="F1076" s="12">
        <v>2</v>
      </c>
      <c r="H1076" s="12" t="s">
        <v>5890</v>
      </c>
      <c r="I1076" s="41" t="s">
        <v>7152</v>
      </c>
      <c r="M1076" s="41" t="e">
        <f>VLOOKUP(I1076,错误mRNA总表!D:I,6,FALSE)</f>
        <v>#N/A</v>
      </c>
    </row>
    <row r="1077" spans="1:13" x14ac:dyDescent="0.2">
      <c r="A1077" s="12" t="s">
        <v>4404</v>
      </c>
      <c r="B1077" s="12" t="s">
        <v>4289</v>
      </c>
      <c r="C1077" s="12">
        <v>16574</v>
      </c>
      <c r="D1077" s="12">
        <v>16633</v>
      </c>
      <c r="E1077" s="12" t="s">
        <v>3940</v>
      </c>
      <c r="F1077" s="12">
        <v>1</v>
      </c>
      <c r="H1077" s="12" t="s">
        <v>5890</v>
      </c>
      <c r="I1077" s="41" t="s">
        <v>7152</v>
      </c>
      <c r="M1077" s="41" t="e">
        <f>VLOOKUP(I1077,错误mRNA总表!D:I,6,FALSE)</f>
        <v>#N/A</v>
      </c>
    </row>
    <row r="1078" spans="1:13" x14ac:dyDescent="0.2">
      <c r="A1078" s="12" t="s">
        <v>4572</v>
      </c>
      <c r="B1078" s="12" t="s">
        <v>4012</v>
      </c>
      <c r="C1078" s="12">
        <v>76311115</v>
      </c>
      <c r="D1078" s="12">
        <v>76311603</v>
      </c>
      <c r="E1078" s="12" t="s">
        <v>3940</v>
      </c>
      <c r="F1078" s="12">
        <v>1</v>
      </c>
      <c r="G1078" s="41" t="s">
        <v>121</v>
      </c>
      <c r="H1078" s="12" t="s">
        <v>5944</v>
      </c>
      <c r="I1078" s="41" t="s">
        <v>7153</v>
      </c>
      <c r="M1078" s="41" t="e">
        <f>VLOOKUP(I1078,错误mRNA总表!D:I,6,FALSE)</f>
        <v>#N/A</v>
      </c>
    </row>
    <row r="1079" spans="1:13" x14ac:dyDescent="0.2">
      <c r="A1079" s="12" t="s">
        <v>4573</v>
      </c>
      <c r="B1079" s="12" t="s">
        <v>3989</v>
      </c>
      <c r="C1079" s="12">
        <v>2356208</v>
      </c>
      <c r="D1079" s="12">
        <v>2356255</v>
      </c>
      <c r="E1079" s="12" t="s">
        <v>3943</v>
      </c>
      <c r="F1079" s="12">
        <v>1</v>
      </c>
      <c r="H1079" s="12" t="s">
        <v>6404</v>
      </c>
      <c r="I1079" s="41" t="s">
        <v>7154</v>
      </c>
      <c r="M1079" s="41" t="e">
        <f>VLOOKUP(I1079,错误mRNA总表!D:I,6,FALSE)</f>
        <v>#N/A</v>
      </c>
    </row>
    <row r="1080" spans="1:13" x14ac:dyDescent="0.2">
      <c r="A1080" s="12" t="s">
        <v>4573</v>
      </c>
      <c r="B1080" s="12" t="s">
        <v>3989</v>
      </c>
      <c r="C1080" s="12">
        <v>2356208</v>
      </c>
      <c r="D1080" s="12">
        <v>2358791</v>
      </c>
      <c r="E1080" s="12" t="s">
        <v>3943</v>
      </c>
      <c r="F1080" s="12">
        <v>1</v>
      </c>
      <c r="H1080" s="12" t="s">
        <v>6404</v>
      </c>
      <c r="I1080" s="41" t="s">
        <v>7154</v>
      </c>
      <c r="M1080" s="41" t="e">
        <f>VLOOKUP(I1080,错误mRNA总表!D:I,6,FALSE)</f>
        <v>#N/A</v>
      </c>
    </row>
    <row r="1081" spans="1:13" x14ac:dyDescent="0.2">
      <c r="A1081" s="12" t="s">
        <v>4573</v>
      </c>
      <c r="B1081" s="12" t="s">
        <v>3989</v>
      </c>
      <c r="C1081" s="12">
        <v>2356208</v>
      </c>
      <c r="D1081" s="12">
        <v>2359267</v>
      </c>
      <c r="E1081" s="12" t="s">
        <v>3940</v>
      </c>
      <c r="F1081" s="12">
        <v>4</v>
      </c>
      <c r="H1081" s="12" t="s">
        <v>6404</v>
      </c>
      <c r="I1081" s="41" t="s">
        <v>7154</v>
      </c>
      <c r="M1081" s="41" t="e">
        <f>VLOOKUP(I1081,错误mRNA总表!D:I,6,FALSE)</f>
        <v>#N/A</v>
      </c>
    </row>
    <row r="1082" spans="1:13" x14ac:dyDescent="0.2">
      <c r="A1082" s="12" t="s">
        <v>4574</v>
      </c>
      <c r="B1082" s="12" t="s">
        <v>4408</v>
      </c>
      <c r="C1082" s="12">
        <v>410252</v>
      </c>
      <c r="D1082" s="12">
        <v>411296</v>
      </c>
      <c r="E1082" s="12" t="s">
        <v>3943</v>
      </c>
      <c r="F1082" s="12">
        <v>2</v>
      </c>
      <c r="H1082" s="12" t="s">
        <v>6405</v>
      </c>
      <c r="I1082" s="41" t="s">
        <v>7155</v>
      </c>
      <c r="M1082" s="41" t="e">
        <f>VLOOKUP(I1082,错误mRNA总表!D:I,6,FALSE)</f>
        <v>#N/A</v>
      </c>
    </row>
    <row r="1083" spans="1:13" x14ac:dyDescent="0.2">
      <c r="A1083" s="12" t="s">
        <v>4575</v>
      </c>
      <c r="B1083" s="12" t="s">
        <v>3948</v>
      </c>
      <c r="C1083" s="12">
        <v>153584419</v>
      </c>
      <c r="D1083" s="12">
        <v>154264004</v>
      </c>
      <c r="E1083" s="12" t="s">
        <v>3943</v>
      </c>
      <c r="F1083" s="12">
        <v>2</v>
      </c>
      <c r="G1083" s="41" t="s">
        <v>40</v>
      </c>
      <c r="H1083" s="12" t="s">
        <v>245</v>
      </c>
      <c r="I1083" s="41" t="s">
        <v>8417</v>
      </c>
      <c r="J1083" s="41" t="s">
        <v>8418</v>
      </c>
      <c r="K1083" s="41" t="str">
        <f>VLOOKUP(J1083,错误mRNA总表!D:J,7,FALSE)</f>
        <v>纠后正确</v>
      </c>
      <c r="L1083" s="41" t="s">
        <v>3763</v>
      </c>
      <c r="M1083" s="41">
        <f>VLOOKUP(I1083,错误mRNA总表!D:I,6,FALSE)</f>
        <v>0</v>
      </c>
    </row>
    <row r="1084" spans="1:13" x14ac:dyDescent="0.2">
      <c r="A1084" s="12" t="s">
        <v>4575</v>
      </c>
      <c r="B1084" s="12" t="s">
        <v>3948</v>
      </c>
      <c r="C1084" s="12">
        <v>153584419</v>
      </c>
      <c r="D1084" s="12">
        <v>154264011</v>
      </c>
      <c r="E1084" s="12" t="s">
        <v>3940</v>
      </c>
      <c r="F1084" s="12">
        <v>4</v>
      </c>
      <c r="G1084" s="41" t="s">
        <v>40</v>
      </c>
      <c r="H1084" s="12" t="s">
        <v>245</v>
      </c>
      <c r="I1084" s="41" t="s">
        <v>2252</v>
      </c>
      <c r="J1084" s="41" t="s">
        <v>8418</v>
      </c>
      <c r="K1084" s="41" t="str">
        <f>VLOOKUP(J1084,错误mRNA总表!D:J,7,FALSE)</f>
        <v>纠后正确</v>
      </c>
      <c r="L1084" s="41" t="s">
        <v>3763</v>
      </c>
      <c r="M1084" s="41">
        <f>VLOOKUP(I1084,错误mRNA总表!D:I,6,FALSE)</f>
        <v>0</v>
      </c>
    </row>
    <row r="1085" spans="1:13" x14ac:dyDescent="0.2">
      <c r="A1085" s="12" t="s">
        <v>4576</v>
      </c>
      <c r="B1085" s="12" t="s">
        <v>3969</v>
      </c>
      <c r="C1085" s="12">
        <v>4195782</v>
      </c>
      <c r="D1085" s="12">
        <v>4195807</v>
      </c>
      <c r="E1085" s="12" t="s">
        <v>3940</v>
      </c>
      <c r="F1085" s="12">
        <v>108</v>
      </c>
      <c r="H1085" s="12" t="s">
        <v>3433</v>
      </c>
      <c r="I1085" s="41" t="s">
        <v>7156</v>
      </c>
      <c r="M1085" s="41" t="e">
        <f>VLOOKUP(I1085,错误mRNA总表!D:I,6,FALSE)</f>
        <v>#N/A</v>
      </c>
    </row>
    <row r="1086" spans="1:13" x14ac:dyDescent="0.2">
      <c r="A1086" s="12" t="s">
        <v>4576</v>
      </c>
      <c r="B1086" s="12" t="s">
        <v>3969</v>
      </c>
      <c r="C1086" s="12">
        <v>4195782</v>
      </c>
      <c r="D1086" s="12">
        <v>4195788</v>
      </c>
      <c r="E1086" s="12" t="s">
        <v>3940</v>
      </c>
      <c r="F1086" s="12">
        <v>1</v>
      </c>
      <c r="H1086" s="12" t="s">
        <v>3433</v>
      </c>
      <c r="I1086" s="41" t="s">
        <v>7156</v>
      </c>
      <c r="M1086" s="41" t="e">
        <f>VLOOKUP(I1086,错误mRNA总表!D:I,6,FALSE)</f>
        <v>#N/A</v>
      </c>
    </row>
    <row r="1087" spans="1:13" x14ac:dyDescent="0.2">
      <c r="A1087" s="12" t="s">
        <v>4576</v>
      </c>
      <c r="B1087" s="12" t="s">
        <v>3969</v>
      </c>
      <c r="C1087" s="12">
        <v>4195782</v>
      </c>
      <c r="D1087" s="12">
        <v>4195793</v>
      </c>
      <c r="E1087" s="12" t="s">
        <v>3940</v>
      </c>
      <c r="F1087" s="12">
        <v>1</v>
      </c>
      <c r="H1087" s="12" t="s">
        <v>3433</v>
      </c>
      <c r="I1087" s="41" t="s">
        <v>7156</v>
      </c>
      <c r="M1087" s="41" t="e">
        <f>VLOOKUP(I1087,错误mRNA总表!D:I,6,FALSE)</f>
        <v>#N/A</v>
      </c>
    </row>
    <row r="1088" spans="1:13" x14ac:dyDescent="0.2">
      <c r="A1088" s="12" t="s">
        <v>4576</v>
      </c>
      <c r="B1088" s="12" t="s">
        <v>3969</v>
      </c>
      <c r="C1088" s="12">
        <v>4195782</v>
      </c>
      <c r="D1088" s="12">
        <v>4199811</v>
      </c>
      <c r="E1088" s="12" t="s">
        <v>3940</v>
      </c>
      <c r="F1088" s="12">
        <v>547</v>
      </c>
      <c r="H1088" s="12" t="s">
        <v>3433</v>
      </c>
      <c r="I1088" s="41" t="s">
        <v>7156</v>
      </c>
      <c r="M1088" s="41" t="e">
        <f>VLOOKUP(I1088,错误mRNA总表!D:I,6,FALSE)</f>
        <v>#N/A</v>
      </c>
    </row>
    <row r="1089" spans="1:13" x14ac:dyDescent="0.2">
      <c r="A1089" s="12" t="s">
        <v>4576</v>
      </c>
      <c r="B1089" s="12" t="s">
        <v>3969</v>
      </c>
      <c r="C1089" s="12">
        <v>4195782</v>
      </c>
      <c r="D1089" s="12">
        <v>4205824</v>
      </c>
      <c r="E1089" s="12" t="s">
        <v>3940</v>
      </c>
      <c r="F1089" s="12">
        <v>290</v>
      </c>
      <c r="H1089" s="12" t="s">
        <v>3433</v>
      </c>
      <c r="I1089" s="41" t="s">
        <v>7156</v>
      </c>
      <c r="M1089" s="41" t="e">
        <f>VLOOKUP(I1089,错误mRNA总表!D:I,6,FALSE)</f>
        <v>#N/A</v>
      </c>
    </row>
    <row r="1090" spans="1:13" x14ac:dyDescent="0.2">
      <c r="A1090" s="12" t="s">
        <v>4576</v>
      </c>
      <c r="B1090" s="12" t="s">
        <v>3969</v>
      </c>
      <c r="C1090" s="12">
        <v>4195782</v>
      </c>
      <c r="D1090" s="12">
        <v>4205812</v>
      </c>
      <c r="E1090" s="12" t="s">
        <v>3940</v>
      </c>
      <c r="F1090" s="12">
        <v>1</v>
      </c>
      <c r="H1090" s="12" t="s">
        <v>3433</v>
      </c>
      <c r="I1090" s="41" t="s">
        <v>7156</v>
      </c>
      <c r="M1090" s="41" t="e">
        <f>VLOOKUP(I1090,错误mRNA总表!D:I,6,FALSE)</f>
        <v>#N/A</v>
      </c>
    </row>
    <row r="1091" spans="1:13" x14ac:dyDescent="0.2">
      <c r="A1091" s="12" t="s">
        <v>4576</v>
      </c>
      <c r="B1091" s="12" t="s">
        <v>3969</v>
      </c>
      <c r="C1091" s="12">
        <v>4195782</v>
      </c>
      <c r="D1091" s="12">
        <v>4227045</v>
      </c>
      <c r="E1091" s="12" t="s">
        <v>3940</v>
      </c>
      <c r="F1091" s="12">
        <v>3</v>
      </c>
      <c r="H1091" s="12" t="s">
        <v>3433</v>
      </c>
      <c r="I1091" s="41" t="s">
        <v>7156</v>
      </c>
      <c r="M1091" s="41" t="e">
        <f>VLOOKUP(I1091,错误mRNA总表!D:I,6,FALSE)</f>
        <v>#N/A</v>
      </c>
    </row>
    <row r="1092" spans="1:13" x14ac:dyDescent="0.2">
      <c r="A1092" s="12" t="s">
        <v>4576</v>
      </c>
      <c r="B1092" s="12" t="s">
        <v>3969</v>
      </c>
      <c r="C1092" s="12">
        <v>4195782</v>
      </c>
      <c r="D1092" s="12">
        <v>4229948</v>
      </c>
      <c r="E1092" s="12" t="s">
        <v>3943</v>
      </c>
      <c r="F1092" s="12">
        <v>1</v>
      </c>
      <c r="H1092" s="12" t="s">
        <v>3433</v>
      </c>
      <c r="I1092" s="41" t="s">
        <v>7156</v>
      </c>
      <c r="M1092" s="41" t="e">
        <f>VLOOKUP(I1092,错误mRNA总表!D:I,6,FALSE)</f>
        <v>#N/A</v>
      </c>
    </row>
    <row r="1093" spans="1:13" x14ac:dyDescent="0.2">
      <c r="A1093" s="12" t="s">
        <v>4155</v>
      </c>
      <c r="B1093" s="12" t="s">
        <v>3950</v>
      </c>
      <c r="C1093" s="12">
        <v>644162</v>
      </c>
      <c r="D1093" s="12">
        <v>657373</v>
      </c>
      <c r="E1093" s="12" t="s">
        <v>3943</v>
      </c>
      <c r="F1093" s="12">
        <v>3</v>
      </c>
      <c r="H1093" s="12" t="s">
        <v>6383</v>
      </c>
      <c r="I1093" s="41" t="s">
        <v>7157</v>
      </c>
      <c r="M1093" s="41" t="e">
        <f>VLOOKUP(I1093,错误mRNA总表!D:I,6,FALSE)</f>
        <v>#N/A</v>
      </c>
    </row>
    <row r="1094" spans="1:13" x14ac:dyDescent="0.2">
      <c r="A1094" s="12" t="s">
        <v>4577</v>
      </c>
      <c r="B1094" s="12" t="s">
        <v>4354</v>
      </c>
      <c r="C1094" s="12">
        <v>16012</v>
      </c>
      <c r="D1094" s="12">
        <v>16016</v>
      </c>
      <c r="E1094" s="12" t="s">
        <v>3943</v>
      </c>
      <c r="F1094" s="12">
        <v>1</v>
      </c>
      <c r="H1094" s="12" t="s">
        <v>5945</v>
      </c>
      <c r="I1094" s="41" t="s">
        <v>7158</v>
      </c>
      <c r="M1094" s="41" t="e">
        <f>VLOOKUP(I1094,错误mRNA总表!D:I,6,FALSE)</f>
        <v>#N/A</v>
      </c>
    </row>
    <row r="1095" spans="1:13" x14ac:dyDescent="0.2">
      <c r="A1095" s="12" t="s">
        <v>4575</v>
      </c>
      <c r="B1095" s="12" t="s">
        <v>3948</v>
      </c>
      <c r="C1095" s="12">
        <v>154400205</v>
      </c>
      <c r="D1095" s="12">
        <v>154400234</v>
      </c>
      <c r="E1095" s="12" t="s">
        <v>3940</v>
      </c>
      <c r="F1095" s="12">
        <v>78</v>
      </c>
      <c r="G1095" s="41" t="s">
        <v>40</v>
      </c>
      <c r="H1095" s="12" t="s">
        <v>245</v>
      </c>
      <c r="I1095" s="41" t="s">
        <v>2255</v>
      </c>
      <c r="J1095" s="41" t="s">
        <v>2255</v>
      </c>
      <c r="K1095" s="41" t="str">
        <f>VLOOKUP(J1095,错误mRNA总表!D:J,7,FALSE)</f>
        <v>错误</v>
      </c>
      <c r="L1095" s="41" t="s">
        <v>3911</v>
      </c>
      <c r="M1095" s="41">
        <f>VLOOKUP(I1095,错误mRNA总表!D:I,6,FALSE)</f>
        <v>0</v>
      </c>
    </row>
    <row r="1096" spans="1:13" x14ac:dyDescent="0.2">
      <c r="A1096" s="12" t="s">
        <v>4575</v>
      </c>
      <c r="B1096" s="12" t="s">
        <v>3948</v>
      </c>
      <c r="C1096" s="12">
        <v>154400205</v>
      </c>
      <c r="D1096" s="12">
        <v>154400220</v>
      </c>
      <c r="E1096" s="12" t="s">
        <v>3943</v>
      </c>
      <c r="F1096" s="12">
        <v>1</v>
      </c>
      <c r="G1096" s="41" t="s">
        <v>40</v>
      </c>
      <c r="H1096" s="12" t="s">
        <v>245</v>
      </c>
      <c r="I1096" s="41" t="s">
        <v>2255</v>
      </c>
      <c r="J1096" s="41" t="s">
        <v>2255</v>
      </c>
      <c r="K1096" s="41" t="str">
        <f>VLOOKUP(J1096,错误mRNA总表!D:J,7,FALSE)</f>
        <v>错误</v>
      </c>
      <c r="L1096" s="41" t="s">
        <v>3911</v>
      </c>
      <c r="M1096" s="41">
        <f>VLOOKUP(I1096,错误mRNA总表!D:I,6,FALSE)</f>
        <v>0</v>
      </c>
    </row>
    <row r="1097" spans="1:13" x14ac:dyDescent="0.2">
      <c r="A1097" s="12" t="s">
        <v>4575</v>
      </c>
      <c r="B1097" s="12" t="s">
        <v>3948</v>
      </c>
      <c r="C1097" s="12">
        <v>154400205</v>
      </c>
      <c r="D1097" s="12">
        <v>154406941</v>
      </c>
      <c r="E1097" s="12" t="s">
        <v>3940</v>
      </c>
      <c r="F1097" s="12">
        <v>136</v>
      </c>
      <c r="G1097" s="41" t="s">
        <v>40</v>
      </c>
      <c r="H1097" s="12" t="s">
        <v>245</v>
      </c>
      <c r="I1097" s="41" t="s">
        <v>2255</v>
      </c>
      <c r="J1097" s="41" t="s">
        <v>2255</v>
      </c>
      <c r="K1097" s="41" t="str">
        <f>VLOOKUP(J1097,错误mRNA总表!D:J,7,FALSE)</f>
        <v>错误</v>
      </c>
      <c r="L1097" s="41" t="s">
        <v>3911</v>
      </c>
      <c r="M1097" s="41">
        <f>VLOOKUP(I1097,错误mRNA总表!D:I,6,FALSE)</f>
        <v>0</v>
      </c>
    </row>
    <row r="1098" spans="1:13" x14ac:dyDescent="0.2">
      <c r="A1098" s="12" t="s">
        <v>4575</v>
      </c>
      <c r="B1098" s="12" t="s">
        <v>3948</v>
      </c>
      <c r="C1098" s="12">
        <v>154400205</v>
      </c>
      <c r="D1098" s="12">
        <v>154408713</v>
      </c>
      <c r="E1098" s="12" t="s">
        <v>3940</v>
      </c>
      <c r="F1098" s="12">
        <v>25</v>
      </c>
      <c r="G1098" s="41" t="s">
        <v>40</v>
      </c>
      <c r="H1098" s="12" t="s">
        <v>245</v>
      </c>
      <c r="I1098" s="41" t="s">
        <v>2255</v>
      </c>
      <c r="J1098" s="41" t="s">
        <v>2255</v>
      </c>
      <c r="K1098" s="41" t="str">
        <f>VLOOKUP(J1098,错误mRNA总表!D:J,7,FALSE)</f>
        <v>错误</v>
      </c>
      <c r="L1098" s="41" t="s">
        <v>3911</v>
      </c>
      <c r="M1098" s="41">
        <f>VLOOKUP(I1098,错误mRNA总表!D:I,6,FALSE)</f>
        <v>0</v>
      </c>
    </row>
    <row r="1099" spans="1:13" x14ac:dyDescent="0.2">
      <c r="A1099" s="12" t="s">
        <v>4575</v>
      </c>
      <c r="B1099" s="12" t="s">
        <v>3948</v>
      </c>
      <c r="C1099" s="12">
        <v>154400205</v>
      </c>
      <c r="D1099" s="12">
        <v>154410655</v>
      </c>
      <c r="E1099" s="12" t="s">
        <v>3940</v>
      </c>
      <c r="F1099" s="12">
        <v>108</v>
      </c>
      <c r="G1099" s="41" t="s">
        <v>40</v>
      </c>
      <c r="H1099" s="12" t="s">
        <v>245</v>
      </c>
      <c r="I1099" s="41" t="s">
        <v>2255</v>
      </c>
      <c r="J1099" s="41" t="s">
        <v>2255</v>
      </c>
      <c r="K1099" s="41" t="str">
        <f>VLOOKUP(J1099,错误mRNA总表!D:J,7,FALSE)</f>
        <v>错误</v>
      </c>
      <c r="L1099" s="41" t="s">
        <v>3911</v>
      </c>
      <c r="M1099" s="41">
        <f>VLOOKUP(I1099,错误mRNA总表!D:I,6,FALSE)</f>
        <v>0</v>
      </c>
    </row>
    <row r="1100" spans="1:13" x14ac:dyDescent="0.2">
      <c r="A1100" s="12" t="s">
        <v>4575</v>
      </c>
      <c r="B1100" s="12" t="s">
        <v>3948</v>
      </c>
      <c r="C1100" s="12">
        <v>154400205</v>
      </c>
      <c r="D1100" s="12">
        <v>154416188</v>
      </c>
      <c r="E1100" s="12" t="s">
        <v>3940</v>
      </c>
      <c r="F1100" s="12">
        <v>33</v>
      </c>
      <c r="G1100" s="41" t="s">
        <v>40</v>
      </c>
      <c r="H1100" s="12" t="s">
        <v>245</v>
      </c>
      <c r="I1100" s="41" t="s">
        <v>2255</v>
      </c>
      <c r="J1100" s="41" t="s">
        <v>2255</v>
      </c>
      <c r="K1100" s="41" t="str">
        <f>VLOOKUP(J1100,错误mRNA总表!D:J,7,FALSE)</f>
        <v>错误</v>
      </c>
      <c r="L1100" s="41" t="s">
        <v>3911</v>
      </c>
      <c r="M1100" s="41">
        <f>VLOOKUP(I1100,错误mRNA总表!D:I,6,FALSE)</f>
        <v>0</v>
      </c>
    </row>
    <row r="1101" spans="1:13" x14ac:dyDescent="0.2">
      <c r="A1101" s="12" t="s">
        <v>4575</v>
      </c>
      <c r="B1101" s="12" t="s">
        <v>3948</v>
      </c>
      <c r="C1101" s="12">
        <v>154400205</v>
      </c>
      <c r="D1101" s="12">
        <v>154420940</v>
      </c>
      <c r="E1101" s="12" t="s">
        <v>3940</v>
      </c>
      <c r="F1101" s="12">
        <v>10</v>
      </c>
      <c r="G1101" s="41" t="s">
        <v>40</v>
      </c>
      <c r="H1101" s="12" t="s">
        <v>245</v>
      </c>
      <c r="I1101" s="41" t="s">
        <v>2255</v>
      </c>
      <c r="J1101" s="41" t="s">
        <v>2255</v>
      </c>
      <c r="K1101" s="41" t="str">
        <f>VLOOKUP(J1101,错误mRNA总表!D:J,7,FALSE)</f>
        <v>错误</v>
      </c>
      <c r="L1101" s="41" t="s">
        <v>3911</v>
      </c>
      <c r="M1101" s="41">
        <f>VLOOKUP(I1101,错误mRNA总表!D:I,6,FALSE)</f>
        <v>0</v>
      </c>
    </row>
    <row r="1102" spans="1:13" x14ac:dyDescent="0.2">
      <c r="A1102" s="12" t="s">
        <v>4575</v>
      </c>
      <c r="B1102" s="12" t="s">
        <v>3948</v>
      </c>
      <c r="C1102" s="12">
        <v>154400205</v>
      </c>
      <c r="D1102" s="12">
        <v>154423549</v>
      </c>
      <c r="E1102" s="12" t="s">
        <v>3940</v>
      </c>
      <c r="F1102" s="12">
        <v>160</v>
      </c>
      <c r="G1102" s="41" t="s">
        <v>40</v>
      </c>
      <c r="H1102" s="12" t="s">
        <v>245</v>
      </c>
      <c r="I1102" s="41" t="s">
        <v>2255</v>
      </c>
      <c r="J1102" s="41" t="s">
        <v>2255</v>
      </c>
      <c r="K1102" s="41" t="str">
        <f>VLOOKUP(J1102,错误mRNA总表!D:J,7,FALSE)</f>
        <v>错误</v>
      </c>
      <c r="L1102" s="41" t="s">
        <v>3911</v>
      </c>
      <c r="M1102" s="41">
        <f>VLOOKUP(I1102,错误mRNA总表!D:I,6,FALSE)</f>
        <v>0</v>
      </c>
    </row>
    <row r="1103" spans="1:13" x14ac:dyDescent="0.2">
      <c r="A1103" s="12" t="s">
        <v>4028</v>
      </c>
      <c r="B1103" s="12" t="s">
        <v>3986</v>
      </c>
      <c r="C1103" s="12">
        <v>54663833</v>
      </c>
      <c r="D1103" s="12">
        <v>54676814</v>
      </c>
      <c r="E1103" s="12" t="s">
        <v>3940</v>
      </c>
      <c r="F1103" s="12">
        <v>1</v>
      </c>
      <c r="G1103" s="41" t="s">
        <v>50</v>
      </c>
      <c r="H1103" s="12" t="s">
        <v>3649</v>
      </c>
      <c r="I1103" s="41" t="s">
        <v>7159</v>
      </c>
      <c r="M1103" s="41" t="e">
        <f>VLOOKUP(I1103,错误mRNA总表!D:I,6,FALSE)</f>
        <v>#N/A</v>
      </c>
    </row>
    <row r="1104" spans="1:13" x14ac:dyDescent="0.2">
      <c r="A1104" s="12" t="s">
        <v>4028</v>
      </c>
      <c r="B1104" s="12" t="s">
        <v>3986</v>
      </c>
      <c r="C1104" s="12">
        <v>54663833</v>
      </c>
      <c r="D1104" s="12">
        <v>54663896</v>
      </c>
      <c r="E1104" s="12" t="s">
        <v>3940</v>
      </c>
      <c r="F1104" s="12">
        <v>1</v>
      </c>
      <c r="G1104" s="41" t="s">
        <v>50</v>
      </c>
      <c r="H1104" s="12" t="s">
        <v>3649</v>
      </c>
      <c r="I1104" s="41" t="s">
        <v>7159</v>
      </c>
      <c r="M1104" s="41" t="e">
        <f>VLOOKUP(I1104,错误mRNA总表!D:I,6,FALSE)</f>
        <v>#N/A</v>
      </c>
    </row>
    <row r="1105" spans="1:13" x14ac:dyDescent="0.2">
      <c r="A1105" s="12" t="s">
        <v>4578</v>
      </c>
      <c r="B1105" s="12" t="s">
        <v>4052</v>
      </c>
      <c r="C1105" s="12">
        <v>102505468</v>
      </c>
      <c r="D1105" s="12">
        <v>102587331</v>
      </c>
      <c r="E1105" s="12" t="s">
        <v>3943</v>
      </c>
      <c r="F1105" s="12">
        <v>3</v>
      </c>
      <c r="G1105" s="41" t="s">
        <v>93</v>
      </c>
      <c r="H1105" s="12" t="s">
        <v>892</v>
      </c>
      <c r="I1105" s="41" t="s">
        <v>3305</v>
      </c>
      <c r="J1105" s="41" t="s">
        <v>3305</v>
      </c>
      <c r="K1105" s="41" t="str">
        <f>VLOOKUP(J1105,错误mRNA总表!D:J,7,FALSE)</f>
        <v>纠后正确，少1个氨基酸chr10:102587349-102587376</v>
      </c>
      <c r="L1105" s="41" t="s">
        <v>8342</v>
      </c>
      <c r="M1105" s="41">
        <f>VLOOKUP(I1105,错误mRNA总表!D:I,6,FALSE)</f>
        <v>0</v>
      </c>
    </row>
    <row r="1106" spans="1:13" x14ac:dyDescent="0.2">
      <c r="A1106" s="12" t="s">
        <v>4136</v>
      </c>
      <c r="B1106" s="12" t="s">
        <v>3952</v>
      </c>
      <c r="C1106" s="12">
        <v>248805</v>
      </c>
      <c r="D1106" s="12">
        <v>248840</v>
      </c>
      <c r="E1106" s="12" t="s">
        <v>3940</v>
      </c>
      <c r="F1106" s="12">
        <v>2</v>
      </c>
      <c r="H1106" s="12" t="s">
        <v>3657</v>
      </c>
      <c r="I1106" s="41" t="s">
        <v>6962</v>
      </c>
      <c r="M1106" s="41" t="e">
        <f>VLOOKUP(I1106,错误mRNA总表!D:I,6,FALSE)</f>
        <v>#N/A</v>
      </c>
    </row>
    <row r="1107" spans="1:13" x14ac:dyDescent="0.2">
      <c r="A1107" s="12" t="s">
        <v>4579</v>
      </c>
      <c r="B1107" s="12" t="s">
        <v>3973</v>
      </c>
      <c r="C1107" s="12">
        <v>248902716</v>
      </c>
      <c r="D1107" s="12">
        <v>248903151</v>
      </c>
      <c r="E1107" s="12" t="s">
        <v>3940</v>
      </c>
      <c r="F1107" s="12">
        <v>2</v>
      </c>
      <c r="G1107" s="41" t="s">
        <v>139</v>
      </c>
      <c r="H1107" s="12" t="s">
        <v>406</v>
      </c>
      <c r="I1107" s="41" t="s">
        <v>3312</v>
      </c>
      <c r="J1107" s="41" t="s">
        <v>3312</v>
      </c>
      <c r="K1107" s="41" t="str">
        <f>VLOOKUP(J1107,错误mRNA总表!D:J,7,FALSE)</f>
        <v/>
      </c>
      <c r="L1107" s="41" t="s">
        <v>3762</v>
      </c>
      <c r="M1107" s="41">
        <f>VLOOKUP(I1107,错误mRNA总表!D:I,6,FALSE)</f>
        <v>0</v>
      </c>
    </row>
    <row r="1108" spans="1:13" x14ac:dyDescent="0.2">
      <c r="A1108" s="12" t="s">
        <v>4579</v>
      </c>
      <c r="B1108" s="12" t="s">
        <v>3973</v>
      </c>
      <c r="C1108" s="12">
        <v>248902716</v>
      </c>
      <c r="D1108" s="12">
        <v>248903157</v>
      </c>
      <c r="E1108" s="12" t="s">
        <v>3940</v>
      </c>
      <c r="F1108" s="12">
        <v>4</v>
      </c>
      <c r="G1108" s="41" t="s">
        <v>139</v>
      </c>
      <c r="H1108" s="12" t="s">
        <v>406</v>
      </c>
      <c r="I1108" s="41" t="s">
        <v>3312</v>
      </c>
      <c r="J1108" s="41" t="s">
        <v>3312</v>
      </c>
      <c r="K1108" s="41" t="str">
        <f>VLOOKUP(J1108,错误mRNA总表!D:J,7,FALSE)</f>
        <v/>
      </c>
      <c r="L1108" s="41" t="s">
        <v>3762</v>
      </c>
      <c r="M1108" s="41">
        <f>VLOOKUP(I1108,错误mRNA总表!D:I,6,FALSE)</f>
        <v>0</v>
      </c>
    </row>
    <row r="1109" spans="1:13" x14ac:dyDescent="0.2">
      <c r="A1109" s="12" t="s">
        <v>4579</v>
      </c>
      <c r="B1109" s="12" t="s">
        <v>3973</v>
      </c>
      <c r="C1109" s="12">
        <v>248902716</v>
      </c>
      <c r="D1109" s="12">
        <v>248903164</v>
      </c>
      <c r="E1109" s="12" t="s">
        <v>3943</v>
      </c>
      <c r="F1109" s="12">
        <v>1</v>
      </c>
      <c r="G1109" s="41" t="s">
        <v>139</v>
      </c>
      <c r="H1109" s="12" t="s">
        <v>406</v>
      </c>
      <c r="I1109" s="41" t="s">
        <v>3312</v>
      </c>
      <c r="J1109" s="41" t="s">
        <v>3312</v>
      </c>
      <c r="K1109" s="41" t="str">
        <f>VLOOKUP(J1109,错误mRNA总表!D:J,7,FALSE)</f>
        <v/>
      </c>
      <c r="L1109" s="41" t="s">
        <v>3762</v>
      </c>
      <c r="M1109" s="41">
        <f>VLOOKUP(I1109,错误mRNA总表!D:I,6,FALSE)</f>
        <v>0</v>
      </c>
    </row>
    <row r="1110" spans="1:13" x14ac:dyDescent="0.2">
      <c r="A1110" s="12" t="s">
        <v>4580</v>
      </c>
      <c r="B1110" s="12" t="s">
        <v>3946</v>
      </c>
      <c r="C1110" s="12">
        <v>26721661</v>
      </c>
      <c r="D1110" s="12">
        <v>26727721</v>
      </c>
      <c r="E1110" s="12" t="s">
        <v>3943</v>
      </c>
      <c r="F1110" s="12">
        <v>1</v>
      </c>
      <c r="G1110" s="41" t="s">
        <v>47</v>
      </c>
      <c r="H1110" s="12" t="s">
        <v>1164</v>
      </c>
      <c r="I1110" s="41" t="s">
        <v>3386</v>
      </c>
      <c r="J1110" s="41" t="s">
        <v>3386</v>
      </c>
      <c r="K1110" s="41" t="str">
        <f>VLOOKUP(J1110,错误mRNA总表!D:J,7,FALSE)</f>
        <v>纠后正确</v>
      </c>
      <c r="L1110" s="41" t="s">
        <v>3763</v>
      </c>
      <c r="M1110" s="41">
        <f>VLOOKUP(I1110,错误mRNA总表!D:I,6,FALSE)</f>
        <v>0</v>
      </c>
    </row>
    <row r="1111" spans="1:13" x14ac:dyDescent="0.2">
      <c r="A1111" s="12" t="s">
        <v>4580</v>
      </c>
      <c r="B1111" s="12" t="s">
        <v>3946</v>
      </c>
      <c r="C1111" s="12">
        <v>26721661</v>
      </c>
      <c r="D1111" s="12">
        <v>26724874</v>
      </c>
      <c r="E1111" s="12" t="s">
        <v>3940</v>
      </c>
      <c r="F1111" s="12">
        <v>3</v>
      </c>
      <c r="G1111" s="41" t="s">
        <v>47</v>
      </c>
      <c r="H1111" s="12" t="s">
        <v>1164</v>
      </c>
      <c r="I1111" s="41" t="s">
        <v>3386</v>
      </c>
      <c r="J1111" s="41" t="s">
        <v>3386</v>
      </c>
      <c r="K1111" s="41" t="str">
        <f>VLOOKUP(J1111,错误mRNA总表!D:J,7,FALSE)</f>
        <v>纠后正确</v>
      </c>
      <c r="L1111" s="41" t="s">
        <v>3763</v>
      </c>
      <c r="M1111" s="41">
        <f>VLOOKUP(I1111,错误mRNA总表!D:I,6,FALSE)</f>
        <v>0</v>
      </c>
    </row>
    <row r="1112" spans="1:13" x14ac:dyDescent="0.2">
      <c r="A1112" s="12" t="s">
        <v>4581</v>
      </c>
      <c r="B1112" s="12" t="s">
        <v>4004</v>
      </c>
      <c r="C1112" s="12">
        <v>143738874</v>
      </c>
      <c r="D1112" s="12">
        <v>143739805</v>
      </c>
      <c r="E1112" s="12" t="s">
        <v>3940</v>
      </c>
      <c r="F1112" s="12">
        <v>2</v>
      </c>
      <c r="G1112" s="41" t="s">
        <v>103</v>
      </c>
      <c r="H1112" s="12" t="s">
        <v>794</v>
      </c>
      <c r="I1112" s="41" t="s">
        <v>3354</v>
      </c>
      <c r="J1112" s="41" t="s">
        <v>3354</v>
      </c>
      <c r="K1112" s="41" t="str">
        <f>VLOOKUP(J1112,错误mRNA总表!D:J,7,FALSE)</f>
        <v>纠后正确，版本不一致，utr略有变化</v>
      </c>
      <c r="L1112" s="41" t="s">
        <v>3866</v>
      </c>
      <c r="M1112" s="41" t="str">
        <f>VLOOKUP(I1112,错误mRNA总表!D:I,6,FALSE)</f>
        <v>纠后正确，版本不一致，utr略有变化</v>
      </c>
    </row>
    <row r="1113" spans="1:13" x14ac:dyDescent="0.2">
      <c r="A1113" s="12" t="s">
        <v>4581</v>
      </c>
      <c r="B1113" s="12" t="s">
        <v>4004</v>
      </c>
      <c r="C1113" s="12">
        <v>143738874</v>
      </c>
      <c r="D1113" s="12">
        <v>143743881</v>
      </c>
      <c r="E1113" s="12" t="s">
        <v>3943</v>
      </c>
      <c r="F1113" s="12">
        <v>1</v>
      </c>
      <c r="G1113" s="41" t="s">
        <v>103</v>
      </c>
      <c r="H1113" s="12" t="s">
        <v>794</v>
      </c>
      <c r="I1113" s="41" t="s">
        <v>3354</v>
      </c>
      <c r="J1113" s="41" t="s">
        <v>3354</v>
      </c>
      <c r="K1113" s="41" t="str">
        <f>VLOOKUP(J1113,错误mRNA总表!D:J,7,FALSE)</f>
        <v>纠后正确，版本不一致，utr略有变化</v>
      </c>
      <c r="L1113" s="41" t="s">
        <v>3866</v>
      </c>
      <c r="M1113" s="41" t="str">
        <f>VLOOKUP(I1113,错误mRNA总表!D:I,6,FALSE)</f>
        <v>纠后正确，版本不一致，utr略有变化</v>
      </c>
    </row>
    <row r="1114" spans="1:13" x14ac:dyDescent="0.2">
      <c r="A1114" s="12" t="s">
        <v>4581</v>
      </c>
      <c r="B1114" s="12" t="s">
        <v>4004</v>
      </c>
      <c r="C1114" s="12">
        <v>143738874</v>
      </c>
      <c r="D1114" s="12">
        <v>143744422</v>
      </c>
      <c r="E1114" s="12" t="s">
        <v>3943</v>
      </c>
      <c r="F1114" s="12">
        <v>4</v>
      </c>
      <c r="G1114" s="41" t="s">
        <v>103</v>
      </c>
      <c r="H1114" s="12" t="s">
        <v>794</v>
      </c>
      <c r="I1114" s="41" t="s">
        <v>3354</v>
      </c>
      <c r="J1114" s="41" t="s">
        <v>3354</v>
      </c>
      <c r="K1114" s="41" t="str">
        <f>VLOOKUP(J1114,错误mRNA总表!D:J,7,FALSE)</f>
        <v>纠后正确，版本不一致，utr略有变化</v>
      </c>
      <c r="L1114" s="41" t="s">
        <v>3866</v>
      </c>
      <c r="M1114" s="41" t="str">
        <f>VLOOKUP(I1114,错误mRNA总表!D:I,6,FALSE)</f>
        <v>纠后正确，版本不一致，utr略有变化</v>
      </c>
    </row>
    <row r="1115" spans="1:13" x14ac:dyDescent="0.2">
      <c r="A1115" s="12" t="s">
        <v>4581</v>
      </c>
      <c r="B1115" s="12" t="s">
        <v>4004</v>
      </c>
      <c r="C1115" s="12">
        <v>143738874</v>
      </c>
      <c r="D1115" s="12">
        <v>143746093</v>
      </c>
      <c r="E1115" s="12" t="s">
        <v>3943</v>
      </c>
      <c r="F1115" s="12">
        <v>2</v>
      </c>
      <c r="G1115" s="41" t="s">
        <v>103</v>
      </c>
      <c r="H1115" s="12" t="s">
        <v>794</v>
      </c>
      <c r="I1115" s="41" t="s">
        <v>3354</v>
      </c>
      <c r="J1115" s="41" t="s">
        <v>3354</v>
      </c>
      <c r="K1115" s="41" t="str">
        <f>VLOOKUP(J1115,错误mRNA总表!D:J,7,FALSE)</f>
        <v>纠后正确，版本不一致，utr略有变化</v>
      </c>
      <c r="L1115" s="41" t="s">
        <v>3866</v>
      </c>
      <c r="M1115" s="41" t="str">
        <f>VLOOKUP(I1115,错误mRNA总表!D:I,6,FALSE)</f>
        <v>纠后正确，版本不一致，utr略有变化</v>
      </c>
    </row>
    <row r="1116" spans="1:13" x14ac:dyDescent="0.2">
      <c r="A1116" s="12" t="s">
        <v>4582</v>
      </c>
      <c r="B1116" s="12" t="s">
        <v>4059</v>
      </c>
      <c r="C1116" s="12">
        <v>28234788</v>
      </c>
      <c r="D1116" s="12">
        <v>28239933</v>
      </c>
      <c r="E1116" s="12" t="s">
        <v>3940</v>
      </c>
      <c r="F1116" s="12">
        <v>1</v>
      </c>
      <c r="G1116" s="41" t="s">
        <v>175</v>
      </c>
      <c r="H1116" s="12" t="s">
        <v>174</v>
      </c>
      <c r="I1116" s="41" t="s">
        <v>2152</v>
      </c>
      <c r="J1116" s="41" t="s">
        <v>2152</v>
      </c>
      <c r="K1116" s="41" t="str">
        <f>VLOOKUP(J1116,错误mRNA总表!D:J,7,FALSE)</f>
        <v>纠后正确</v>
      </c>
      <c r="L1116" s="41" t="s">
        <v>3763</v>
      </c>
      <c r="M1116" s="41">
        <f>VLOOKUP(I1116,错误mRNA总表!D:I,6,FALSE)</f>
        <v>0</v>
      </c>
    </row>
    <row r="1117" spans="1:13" x14ac:dyDescent="0.2">
      <c r="A1117" s="12" t="s">
        <v>4583</v>
      </c>
      <c r="B1117" s="12" t="s">
        <v>3986</v>
      </c>
      <c r="C1117" s="12">
        <v>2328629</v>
      </c>
      <c r="D1117" s="12">
        <v>2340156</v>
      </c>
      <c r="E1117" s="12" t="s">
        <v>3940</v>
      </c>
      <c r="F1117" s="12">
        <v>1</v>
      </c>
      <c r="G1117" s="41" t="s">
        <v>50</v>
      </c>
      <c r="H1117" s="12" t="s">
        <v>159</v>
      </c>
      <c r="I1117" s="41" t="s">
        <v>2143</v>
      </c>
      <c r="J1117" s="41" t="s">
        <v>2143</v>
      </c>
      <c r="K1117" s="41" t="str">
        <f>VLOOKUP(J1117,错误mRNA总表!D:J,7,FALSE)</f>
        <v>纠后正确</v>
      </c>
      <c r="L1117" s="41" t="s">
        <v>3763</v>
      </c>
      <c r="M1117" s="41">
        <f>VLOOKUP(I1117,错误mRNA总表!D:I,6,FALSE)</f>
        <v>0</v>
      </c>
    </row>
    <row r="1118" spans="1:13" x14ac:dyDescent="0.2">
      <c r="A1118" s="12" t="s">
        <v>4584</v>
      </c>
      <c r="B1118" s="12" t="s">
        <v>4012</v>
      </c>
      <c r="C1118" s="12">
        <v>135800</v>
      </c>
      <c r="D1118" s="12">
        <v>138772</v>
      </c>
      <c r="E1118" s="12" t="s">
        <v>3940</v>
      </c>
      <c r="F1118" s="12">
        <v>1</v>
      </c>
      <c r="G1118" s="41" t="s">
        <v>121</v>
      </c>
      <c r="H1118" s="12" t="s">
        <v>194</v>
      </c>
      <c r="I1118" s="41" t="s">
        <v>2180</v>
      </c>
      <c r="J1118" s="41" t="s">
        <v>2180</v>
      </c>
      <c r="K1118" s="41" t="str">
        <f>VLOOKUP(J1118,错误mRNA总表!D:J,7,FALSE)</f>
        <v>纠后正确</v>
      </c>
      <c r="L1118" s="41" t="s">
        <v>3763</v>
      </c>
      <c r="M1118" s="41">
        <f>VLOOKUP(I1118,错误mRNA总表!D:I,6,FALSE)</f>
        <v>0</v>
      </c>
    </row>
    <row r="1119" spans="1:13" x14ac:dyDescent="0.2">
      <c r="A1119" s="12" t="s">
        <v>4585</v>
      </c>
      <c r="B1119" s="12" t="s">
        <v>4052</v>
      </c>
      <c r="C1119" s="12">
        <v>97889472</v>
      </c>
      <c r="D1119" s="12">
        <v>97920100</v>
      </c>
      <c r="E1119" s="12" t="s">
        <v>3940</v>
      </c>
      <c r="F1119" s="12">
        <v>1</v>
      </c>
      <c r="G1119" s="41" t="s">
        <v>93</v>
      </c>
      <c r="H1119" s="12" t="s">
        <v>181</v>
      </c>
      <c r="I1119" s="41" t="s">
        <v>2155</v>
      </c>
      <c r="J1119" s="41" t="s">
        <v>2155</v>
      </c>
      <c r="K1119" s="41" t="str">
        <f>VLOOKUP(J1119,错误mRNA总表!D:J,7,FALSE)</f>
        <v>纠后正确</v>
      </c>
      <c r="L1119" s="41" t="s">
        <v>3763</v>
      </c>
      <c r="M1119" s="41">
        <f>VLOOKUP(I1119,错误mRNA总表!D:I,6,FALSE)</f>
        <v>0</v>
      </c>
    </row>
    <row r="1120" spans="1:13" x14ac:dyDescent="0.2">
      <c r="A1120" s="12" t="s">
        <v>4586</v>
      </c>
      <c r="B1120" s="12" t="s">
        <v>3966</v>
      </c>
      <c r="C1120" s="12">
        <v>30792930</v>
      </c>
      <c r="D1120" s="12">
        <v>30819616</v>
      </c>
      <c r="E1120" s="12" t="s">
        <v>3940</v>
      </c>
      <c r="F1120" s="12">
        <v>1</v>
      </c>
      <c r="G1120" s="41" t="s">
        <v>43</v>
      </c>
      <c r="H1120" s="12" t="s">
        <v>5946</v>
      </c>
      <c r="I1120" s="41" t="s">
        <v>7160</v>
      </c>
      <c r="M1120" s="41" t="e">
        <f>VLOOKUP(I1120,错误mRNA总表!D:I,6,FALSE)</f>
        <v>#N/A</v>
      </c>
    </row>
    <row r="1121" spans="1:13" x14ac:dyDescent="0.2">
      <c r="A1121" s="12" t="s">
        <v>4587</v>
      </c>
      <c r="B1121" s="12" t="s">
        <v>3942</v>
      </c>
      <c r="C1121" s="12">
        <v>175810940</v>
      </c>
      <c r="D1121" s="12">
        <v>175811094</v>
      </c>
      <c r="E1121" s="12" t="s">
        <v>3940</v>
      </c>
      <c r="F1121" s="12">
        <v>2</v>
      </c>
      <c r="G1121" s="41" t="s">
        <v>186</v>
      </c>
      <c r="H1121" s="12" t="s">
        <v>5947</v>
      </c>
      <c r="I1121" s="41" t="s">
        <v>7026</v>
      </c>
      <c r="M1121" s="41" t="e">
        <f>VLOOKUP(I1121,错误mRNA总表!D:I,6,FALSE)</f>
        <v>#N/A</v>
      </c>
    </row>
    <row r="1122" spans="1:13" x14ac:dyDescent="0.2">
      <c r="A1122" s="12" t="s">
        <v>4007</v>
      </c>
      <c r="B1122" s="12" t="s">
        <v>3994</v>
      </c>
      <c r="C1122" s="12">
        <v>2816315</v>
      </c>
      <c r="D1122" s="12">
        <v>2820691</v>
      </c>
      <c r="E1122" s="12" t="s">
        <v>3940</v>
      </c>
      <c r="F1122" s="12">
        <v>2</v>
      </c>
      <c r="H1122" s="12" t="s">
        <v>3426</v>
      </c>
      <c r="I1122" s="41" t="s">
        <v>6703</v>
      </c>
      <c r="M1122" s="41" t="e">
        <f>VLOOKUP(I1122,错误mRNA总表!D:I,6,FALSE)</f>
        <v>#N/A</v>
      </c>
    </row>
    <row r="1123" spans="1:13" x14ac:dyDescent="0.2">
      <c r="A1123" s="12" t="s">
        <v>4588</v>
      </c>
      <c r="B1123" s="12" t="s">
        <v>3957</v>
      </c>
      <c r="C1123" s="12">
        <v>67777775</v>
      </c>
      <c r="D1123" s="12">
        <v>67786065</v>
      </c>
      <c r="E1123" s="12" t="s">
        <v>3940</v>
      </c>
      <c r="F1123" s="12">
        <v>1</v>
      </c>
      <c r="G1123" s="41" t="s">
        <v>36</v>
      </c>
      <c r="H1123" s="12" t="s">
        <v>5948</v>
      </c>
      <c r="I1123" s="41" t="s">
        <v>7161</v>
      </c>
      <c r="M1123" s="41" t="e">
        <f>VLOOKUP(I1123,错误mRNA总表!D:I,6,FALSE)</f>
        <v>#N/A</v>
      </c>
    </row>
    <row r="1124" spans="1:13" x14ac:dyDescent="0.2">
      <c r="A1124" s="12" t="s">
        <v>4588</v>
      </c>
      <c r="B1124" s="12" t="s">
        <v>3957</v>
      </c>
      <c r="C1124" s="12">
        <v>67777775</v>
      </c>
      <c r="D1124" s="12">
        <v>67789294</v>
      </c>
      <c r="E1124" s="12" t="s">
        <v>3940</v>
      </c>
      <c r="F1124" s="12">
        <v>1</v>
      </c>
      <c r="G1124" s="41" t="s">
        <v>36</v>
      </c>
      <c r="H1124" s="12" t="s">
        <v>5948</v>
      </c>
      <c r="I1124" s="41" t="s">
        <v>7161</v>
      </c>
      <c r="M1124" s="41" t="e">
        <f>VLOOKUP(I1124,错误mRNA总表!D:I,6,FALSE)</f>
        <v>#N/A</v>
      </c>
    </row>
    <row r="1125" spans="1:13" x14ac:dyDescent="0.2">
      <c r="A1125" s="12" t="s">
        <v>4588</v>
      </c>
      <c r="B1125" s="12" t="s">
        <v>3957</v>
      </c>
      <c r="C1125" s="12">
        <v>67777775</v>
      </c>
      <c r="D1125" s="12">
        <v>67795380</v>
      </c>
      <c r="E1125" s="12" t="s">
        <v>3940</v>
      </c>
      <c r="F1125" s="12">
        <v>1</v>
      </c>
      <c r="G1125" s="41" t="s">
        <v>36</v>
      </c>
      <c r="H1125" s="12" t="s">
        <v>5948</v>
      </c>
      <c r="I1125" s="41" t="s">
        <v>7161</v>
      </c>
      <c r="M1125" s="41" t="e">
        <f>VLOOKUP(I1125,错误mRNA总表!D:I,6,FALSE)</f>
        <v>#N/A</v>
      </c>
    </row>
    <row r="1126" spans="1:13" x14ac:dyDescent="0.2">
      <c r="A1126" s="12" t="s">
        <v>4589</v>
      </c>
      <c r="B1126" s="12" t="s">
        <v>4001</v>
      </c>
      <c r="C1126" s="12">
        <v>873547</v>
      </c>
      <c r="D1126" s="12">
        <v>904213</v>
      </c>
      <c r="E1126" s="12" t="s">
        <v>3940</v>
      </c>
      <c r="F1126" s="12">
        <v>1</v>
      </c>
      <c r="H1126" s="12" t="s">
        <v>3520</v>
      </c>
      <c r="I1126" s="41" t="s">
        <v>7162</v>
      </c>
      <c r="M1126" s="41" t="e">
        <f>VLOOKUP(I1126,错误mRNA总表!D:I,6,FALSE)</f>
        <v>#N/A</v>
      </c>
    </row>
    <row r="1127" spans="1:13" x14ac:dyDescent="0.2">
      <c r="A1127" s="12" t="s">
        <v>4590</v>
      </c>
      <c r="B1127" s="12" t="s">
        <v>4023</v>
      </c>
      <c r="C1127" s="12">
        <v>596172</v>
      </c>
      <c r="D1127" s="12">
        <v>759494</v>
      </c>
      <c r="E1127" s="12" t="s">
        <v>3943</v>
      </c>
      <c r="F1127" s="12">
        <v>7</v>
      </c>
      <c r="H1127" s="12" t="s">
        <v>1184</v>
      </c>
      <c r="I1127" s="41" t="s">
        <v>7163</v>
      </c>
      <c r="J1127" s="41" t="s">
        <v>3037</v>
      </c>
      <c r="K1127" s="41" t="str">
        <f>VLOOKUP(J1127,错误mRNA总表!D:J,7,FALSE)</f>
        <v/>
      </c>
      <c r="M1127" s="41" t="e">
        <f>VLOOKUP(I1127,错误mRNA总表!D:I,6,FALSE)</f>
        <v>#N/A</v>
      </c>
    </row>
    <row r="1128" spans="1:13" x14ac:dyDescent="0.2">
      <c r="A1128" s="12" t="s">
        <v>4590</v>
      </c>
      <c r="B1128" s="12" t="s">
        <v>4023</v>
      </c>
      <c r="C1128" s="12">
        <v>596172</v>
      </c>
      <c r="D1128" s="12">
        <v>760377</v>
      </c>
      <c r="E1128" s="12" t="s">
        <v>3943</v>
      </c>
      <c r="F1128" s="12">
        <v>1</v>
      </c>
      <c r="H1128" s="12" t="s">
        <v>1184</v>
      </c>
      <c r="I1128" s="41" t="s">
        <v>7163</v>
      </c>
      <c r="J1128" s="41" t="s">
        <v>3037</v>
      </c>
      <c r="K1128" s="41" t="str">
        <f>VLOOKUP(J1128,错误mRNA总表!D:J,7,FALSE)</f>
        <v/>
      </c>
      <c r="M1128" s="41" t="e">
        <f>VLOOKUP(I1128,错误mRNA总表!D:I,6,FALSE)</f>
        <v>#N/A</v>
      </c>
    </row>
    <row r="1129" spans="1:13" x14ac:dyDescent="0.2">
      <c r="A1129" s="12" t="s">
        <v>4590</v>
      </c>
      <c r="B1129" s="12" t="s">
        <v>4023</v>
      </c>
      <c r="C1129" s="12">
        <v>596172</v>
      </c>
      <c r="D1129" s="12">
        <v>760470</v>
      </c>
      <c r="E1129" s="12" t="s">
        <v>3940</v>
      </c>
      <c r="F1129" s="12">
        <v>1</v>
      </c>
      <c r="H1129" s="12" t="s">
        <v>1184</v>
      </c>
      <c r="I1129" s="41" t="s">
        <v>7163</v>
      </c>
      <c r="J1129" s="41" t="s">
        <v>3037</v>
      </c>
      <c r="K1129" s="41" t="str">
        <f>VLOOKUP(J1129,错误mRNA总表!D:J,7,FALSE)</f>
        <v/>
      </c>
      <c r="M1129" s="41" t="e">
        <f>VLOOKUP(I1129,错误mRNA总表!D:I,6,FALSE)</f>
        <v>#N/A</v>
      </c>
    </row>
    <row r="1130" spans="1:13" x14ac:dyDescent="0.2">
      <c r="A1130" s="12" t="s">
        <v>4590</v>
      </c>
      <c r="B1130" s="12" t="s">
        <v>4023</v>
      </c>
      <c r="C1130" s="12">
        <v>596172</v>
      </c>
      <c r="D1130" s="12">
        <v>760495</v>
      </c>
      <c r="E1130" s="12" t="s">
        <v>3940</v>
      </c>
      <c r="F1130" s="12">
        <v>1</v>
      </c>
      <c r="H1130" s="12" t="s">
        <v>1184</v>
      </c>
      <c r="I1130" s="41" t="s">
        <v>7163</v>
      </c>
      <c r="J1130" s="41" t="s">
        <v>3037</v>
      </c>
      <c r="K1130" s="41" t="str">
        <f>VLOOKUP(J1130,错误mRNA总表!D:J,7,FALSE)</f>
        <v/>
      </c>
      <c r="M1130" s="41" t="e">
        <f>VLOOKUP(I1130,错误mRNA总表!D:I,6,FALSE)</f>
        <v>#N/A</v>
      </c>
    </row>
    <row r="1131" spans="1:13" x14ac:dyDescent="0.2">
      <c r="A1131" s="12" t="s">
        <v>4590</v>
      </c>
      <c r="B1131" s="12" t="s">
        <v>4023</v>
      </c>
      <c r="C1131" s="12">
        <v>596172</v>
      </c>
      <c r="D1131" s="12">
        <v>760660</v>
      </c>
      <c r="E1131" s="12" t="s">
        <v>3940</v>
      </c>
      <c r="F1131" s="12">
        <v>1</v>
      </c>
      <c r="H1131" s="12" t="s">
        <v>1184</v>
      </c>
      <c r="I1131" s="41" t="s">
        <v>7163</v>
      </c>
      <c r="J1131" s="41" t="s">
        <v>3037</v>
      </c>
      <c r="K1131" s="41" t="str">
        <f>VLOOKUP(J1131,错误mRNA总表!D:J,7,FALSE)</f>
        <v/>
      </c>
      <c r="M1131" s="41" t="e">
        <f>VLOOKUP(I1131,错误mRNA总表!D:I,6,FALSE)</f>
        <v>#N/A</v>
      </c>
    </row>
    <row r="1132" spans="1:13" x14ac:dyDescent="0.2">
      <c r="A1132" s="12" t="s">
        <v>4591</v>
      </c>
      <c r="B1132" s="12" t="s">
        <v>4055</v>
      </c>
      <c r="C1132" s="12">
        <v>40787196</v>
      </c>
      <c r="D1132" s="12">
        <v>40879206</v>
      </c>
      <c r="E1132" s="12" t="s">
        <v>3940</v>
      </c>
      <c r="F1132" s="12">
        <v>2</v>
      </c>
      <c r="G1132" s="41" t="s">
        <v>212</v>
      </c>
      <c r="H1132" s="12" t="s">
        <v>6406</v>
      </c>
      <c r="I1132" s="41" t="s">
        <v>7164</v>
      </c>
      <c r="M1132" s="41" t="e">
        <f>VLOOKUP(I1132,错误mRNA总表!D:I,6,FALSE)</f>
        <v>#N/A</v>
      </c>
    </row>
    <row r="1133" spans="1:13" x14ac:dyDescent="0.2">
      <c r="A1133" s="12" t="s">
        <v>4591</v>
      </c>
      <c r="B1133" s="12" t="s">
        <v>4055</v>
      </c>
      <c r="C1133" s="12">
        <v>40787196</v>
      </c>
      <c r="D1133" s="12">
        <v>40898247</v>
      </c>
      <c r="E1133" s="12" t="s">
        <v>3940</v>
      </c>
      <c r="F1133" s="12">
        <v>590</v>
      </c>
      <c r="G1133" s="41" t="s">
        <v>212</v>
      </c>
      <c r="H1133" s="12" t="s">
        <v>6406</v>
      </c>
      <c r="I1133" s="41" t="s">
        <v>7164</v>
      </c>
      <c r="M1133" s="41" t="e">
        <f>VLOOKUP(I1133,错误mRNA总表!D:I,6,FALSE)</f>
        <v>#N/A</v>
      </c>
    </row>
    <row r="1134" spans="1:13" x14ac:dyDescent="0.2">
      <c r="A1134" s="12" t="s">
        <v>4592</v>
      </c>
      <c r="B1134" s="12" t="s">
        <v>3957</v>
      </c>
      <c r="C1134" s="12">
        <v>118914896</v>
      </c>
      <c r="D1134" s="12">
        <v>118915757</v>
      </c>
      <c r="E1134" s="12" t="s">
        <v>3943</v>
      </c>
      <c r="F1134" s="12">
        <v>1</v>
      </c>
      <c r="G1134" s="41" t="s">
        <v>36</v>
      </c>
      <c r="H1134" s="12" t="s">
        <v>3614</v>
      </c>
      <c r="I1134" s="41" t="s">
        <v>7165</v>
      </c>
      <c r="M1134" s="41" t="e">
        <f>VLOOKUP(I1134,错误mRNA总表!D:I,6,FALSE)</f>
        <v>#N/A</v>
      </c>
    </row>
    <row r="1135" spans="1:13" x14ac:dyDescent="0.2">
      <c r="A1135" s="12" t="s">
        <v>4267</v>
      </c>
      <c r="B1135" s="12" t="s">
        <v>3969</v>
      </c>
      <c r="C1135" s="12">
        <v>928111</v>
      </c>
      <c r="D1135" s="12">
        <v>943463</v>
      </c>
      <c r="E1135" s="12" t="s">
        <v>3943</v>
      </c>
      <c r="F1135" s="12">
        <v>4</v>
      </c>
      <c r="H1135" s="12" t="s">
        <v>3528</v>
      </c>
      <c r="I1135" s="41" t="s">
        <v>7166</v>
      </c>
      <c r="M1135" s="41" t="e">
        <f>VLOOKUP(I1135,错误mRNA总表!D:I,6,FALSE)</f>
        <v>#N/A</v>
      </c>
    </row>
    <row r="1136" spans="1:13" x14ac:dyDescent="0.2">
      <c r="A1136" s="12" t="s">
        <v>4593</v>
      </c>
      <c r="B1136" s="12" t="s">
        <v>3989</v>
      </c>
      <c r="C1136" s="12">
        <v>1976470</v>
      </c>
      <c r="D1136" s="12">
        <v>2002815</v>
      </c>
      <c r="E1136" s="12" t="s">
        <v>3940</v>
      </c>
      <c r="F1136" s="12">
        <v>155</v>
      </c>
      <c r="H1136" s="12" t="s">
        <v>3548</v>
      </c>
      <c r="I1136" s="41" t="s">
        <v>7167</v>
      </c>
      <c r="M1136" s="41" t="e">
        <f>VLOOKUP(I1136,错误mRNA总表!D:I,6,FALSE)</f>
        <v>#N/A</v>
      </c>
    </row>
    <row r="1137" spans="1:13" x14ac:dyDescent="0.2">
      <c r="A1137" s="12" t="s">
        <v>4593</v>
      </c>
      <c r="B1137" s="12" t="s">
        <v>3989</v>
      </c>
      <c r="C1137" s="12">
        <v>1976470</v>
      </c>
      <c r="D1137" s="12">
        <v>2005921</v>
      </c>
      <c r="E1137" s="12" t="s">
        <v>3940</v>
      </c>
      <c r="F1137" s="12">
        <v>1</v>
      </c>
      <c r="H1137" s="12" t="s">
        <v>3548</v>
      </c>
      <c r="I1137" s="41" t="s">
        <v>7167</v>
      </c>
      <c r="M1137" s="41" t="e">
        <f>VLOOKUP(I1137,错误mRNA总表!D:I,6,FALSE)</f>
        <v>#N/A</v>
      </c>
    </row>
    <row r="1138" spans="1:13" x14ac:dyDescent="0.2">
      <c r="A1138" s="12" t="s">
        <v>4593</v>
      </c>
      <c r="B1138" s="12" t="s">
        <v>3989</v>
      </c>
      <c r="C1138" s="12">
        <v>1976470</v>
      </c>
      <c r="D1138" s="12">
        <v>2005932</v>
      </c>
      <c r="E1138" s="12" t="s">
        <v>3943</v>
      </c>
      <c r="F1138" s="12">
        <v>1</v>
      </c>
      <c r="H1138" s="12" t="s">
        <v>3548</v>
      </c>
      <c r="I1138" s="41" t="s">
        <v>7167</v>
      </c>
      <c r="M1138" s="41" t="e">
        <f>VLOOKUP(I1138,错误mRNA总表!D:I,6,FALSE)</f>
        <v>#N/A</v>
      </c>
    </row>
    <row r="1139" spans="1:13" x14ac:dyDescent="0.2">
      <c r="A1139" s="12" t="s">
        <v>4593</v>
      </c>
      <c r="B1139" s="12" t="s">
        <v>3989</v>
      </c>
      <c r="C1139" s="12">
        <v>1976470</v>
      </c>
      <c r="D1139" s="12">
        <v>2005938</v>
      </c>
      <c r="E1139" s="12" t="s">
        <v>3940</v>
      </c>
      <c r="F1139" s="12">
        <v>2</v>
      </c>
      <c r="H1139" s="12" t="s">
        <v>3548</v>
      </c>
      <c r="I1139" s="41" t="s">
        <v>7167</v>
      </c>
      <c r="M1139" s="41" t="e">
        <f>VLOOKUP(I1139,错误mRNA总表!D:I,6,FALSE)</f>
        <v>#N/A</v>
      </c>
    </row>
    <row r="1140" spans="1:13" x14ac:dyDescent="0.2">
      <c r="A1140" s="12" t="s">
        <v>4593</v>
      </c>
      <c r="B1140" s="12" t="s">
        <v>3989</v>
      </c>
      <c r="C1140" s="12">
        <v>1976470</v>
      </c>
      <c r="D1140" s="12">
        <v>2002099</v>
      </c>
      <c r="E1140" s="12" t="s">
        <v>3940</v>
      </c>
      <c r="F1140" s="12">
        <v>6</v>
      </c>
      <c r="H1140" s="12" t="s">
        <v>3548</v>
      </c>
      <c r="I1140" s="41" t="s">
        <v>7167</v>
      </c>
      <c r="M1140" s="41" t="e">
        <f>VLOOKUP(I1140,错误mRNA总表!D:I,6,FALSE)</f>
        <v>#N/A</v>
      </c>
    </row>
    <row r="1141" spans="1:13" x14ac:dyDescent="0.2">
      <c r="A1141" s="12" t="s">
        <v>4593</v>
      </c>
      <c r="B1141" s="12" t="s">
        <v>3989</v>
      </c>
      <c r="C1141" s="12">
        <v>1976470</v>
      </c>
      <c r="D1141" s="12">
        <v>2002808</v>
      </c>
      <c r="E1141" s="12" t="s">
        <v>3940</v>
      </c>
      <c r="F1141" s="12">
        <v>1</v>
      </c>
      <c r="H1141" s="12" t="s">
        <v>3548</v>
      </c>
      <c r="I1141" s="41" t="s">
        <v>7167</v>
      </c>
      <c r="M1141" s="41" t="e">
        <f>VLOOKUP(I1141,错误mRNA总表!D:I,6,FALSE)</f>
        <v>#N/A</v>
      </c>
    </row>
    <row r="1142" spans="1:13" x14ac:dyDescent="0.2">
      <c r="A1142" s="12" t="s">
        <v>4593</v>
      </c>
      <c r="B1142" s="12" t="s">
        <v>3989</v>
      </c>
      <c r="C1142" s="12">
        <v>1976470</v>
      </c>
      <c r="D1142" s="12">
        <v>1983198</v>
      </c>
      <c r="E1142" s="12" t="s">
        <v>3940</v>
      </c>
      <c r="F1142" s="12">
        <v>117</v>
      </c>
      <c r="H1142" s="12" t="s">
        <v>3548</v>
      </c>
      <c r="I1142" s="41" t="s">
        <v>7167</v>
      </c>
      <c r="M1142" s="41" t="e">
        <f>VLOOKUP(I1142,错误mRNA总表!D:I,6,FALSE)</f>
        <v>#N/A</v>
      </c>
    </row>
    <row r="1143" spans="1:13" x14ac:dyDescent="0.2">
      <c r="A1143" s="12" t="s">
        <v>4593</v>
      </c>
      <c r="B1143" s="12" t="s">
        <v>3989</v>
      </c>
      <c r="C1143" s="12">
        <v>1976470</v>
      </c>
      <c r="D1143" s="12">
        <v>1983187</v>
      </c>
      <c r="E1143" s="12" t="s">
        <v>3940</v>
      </c>
      <c r="F1143" s="12">
        <v>2</v>
      </c>
      <c r="H1143" s="12" t="s">
        <v>3548</v>
      </c>
      <c r="I1143" s="41" t="s">
        <v>7167</v>
      </c>
      <c r="M1143" s="41" t="e">
        <f>VLOOKUP(I1143,错误mRNA总表!D:I,6,FALSE)</f>
        <v>#N/A</v>
      </c>
    </row>
    <row r="1144" spans="1:13" x14ac:dyDescent="0.2">
      <c r="A1144" s="12" t="s">
        <v>4593</v>
      </c>
      <c r="B1144" s="12" t="s">
        <v>3989</v>
      </c>
      <c r="C1144" s="12">
        <v>1976470</v>
      </c>
      <c r="D1144" s="12">
        <v>1981103</v>
      </c>
      <c r="E1144" s="12" t="s">
        <v>3940</v>
      </c>
      <c r="F1144" s="12">
        <v>160</v>
      </c>
      <c r="H1144" s="12" t="s">
        <v>3548</v>
      </c>
      <c r="I1144" s="41" t="s">
        <v>7167</v>
      </c>
      <c r="M1144" s="41" t="e">
        <f>VLOOKUP(I1144,错误mRNA总表!D:I,6,FALSE)</f>
        <v>#N/A</v>
      </c>
    </row>
    <row r="1145" spans="1:13" x14ac:dyDescent="0.2">
      <c r="A1145" s="12" t="s">
        <v>4593</v>
      </c>
      <c r="B1145" s="12" t="s">
        <v>3989</v>
      </c>
      <c r="C1145" s="12">
        <v>1976470</v>
      </c>
      <c r="D1145" s="12">
        <v>1979473</v>
      </c>
      <c r="E1145" s="12" t="s">
        <v>3940</v>
      </c>
      <c r="F1145" s="12">
        <v>40</v>
      </c>
      <c r="H1145" s="12" t="s">
        <v>3548</v>
      </c>
      <c r="I1145" s="41" t="s">
        <v>7167</v>
      </c>
      <c r="M1145" s="41" t="e">
        <f>VLOOKUP(I1145,错误mRNA总表!D:I,6,FALSE)</f>
        <v>#N/A</v>
      </c>
    </row>
    <row r="1146" spans="1:13" x14ac:dyDescent="0.2">
      <c r="A1146" s="12" t="s">
        <v>4593</v>
      </c>
      <c r="B1146" s="12" t="s">
        <v>3989</v>
      </c>
      <c r="C1146" s="12">
        <v>1976470</v>
      </c>
      <c r="D1146" s="12">
        <v>1981092</v>
      </c>
      <c r="E1146" s="12" t="s">
        <v>3940</v>
      </c>
      <c r="F1146" s="12">
        <v>2</v>
      </c>
      <c r="H1146" s="12" t="s">
        <v>3548</v>
      </c>
      <c r="I1146" s="41" t="s">
        <v>7167</v>
      </c>
      <c r="M1146" s="41" t="e">
        <f>VLOOKUP(I1146,错误mRNA总表!D:I,6,FALSE)</f>
        <v>#N/A</v>
      </c>
    </row>
    <row r="1147" spans="1:13" x14ac:dyDescent="0.2">
      <c r="A1147" s="12" t="s">
        <v>4594</v>
      </c>
      <c r="B1147" s="12" t="s">
        <v>3978</v>
      </c>
      <c r="C1147" s="12">
        <v>4938493</v>
      </c>
      <c r="D1147" s="12">
        <v>4940288</v>
      </c>
      <c r="E1147" s="12" t="s">
        <v>3943</v>
      </c>
      <c r="F1147" s="12">
        <v>1</v>
      </c>
      <c r="G1147" s="41" t="s">
        <v>86</v>
      </c>
      <c r="H1147" s="12" t="s">
        <v>5949</v>
      </c>
      <c r="I1147" s="41" t="s">
        <v>7168</v>
      </c>
      <c r="M1147" s="41" t="e">
        <f>VLOOKUP(I1147,错误mRNA总表!D:I,6,FALSE)</f>
        <v>#N/A</v>
      </c>
    </row>
    <row r="1148" spans="1:13" x14ac:dyDescent="0.2">
      <c r="A1148" s="12" t="s">
        <v>4595</v>
      </c>
      <c r="B1148" s="12" t="s">
        <v>3946</v>
      </c>
      <c r="C1148" s="12">
        <v>40731526</v>
      </c>
      <c r="D1148" s="12">
        <v>40733066</v>
      </c>
      <c r="E1148" s="12" t="s">
        <v>3940</v>
      </c>
      <c r="F1148" s="12">
        <v>6</v>
      </c>
      <c r="G1148" s="41" t="s">
        <v>47</v>
      </c>
      <c r="H1148" s="12" t="s">
        <v>6514</v>
      </c>
      <c r="I1148" s="41" t="s">
        <v>7169</v>
      </c>
      <c r="M1148" s="41" t="e">
        <f>VLOOKUP(I1148,错误mRNA总表!D:I,6,FALSE)</f>
        <v>#N/A</v>
      </c>
    </row>
    <row r="1149" spans="1:13" x14ac:dyDescent="0.2">
      <c r="A1149" s="12" t="s">
        <v>4596</v>
      </c>
      <c r="B1149" s="12" t="s">
        <v>3957</v>
      </c>
      <c r="C1149" s="12">
        <v>118895061</v>
      </c>
      <c r="D1149" s="12">
        <v>118898435</v>
      </c>
      <c r="E1149" s="12" t="s">
        <v>3943</v>
      </c>
      <c r="F1149" s="12">
        <v>1</v>
      </c>
      <c r="G1149" s="41" t="s">
        <v>36</v>
      </c>
      <c r="H1149" s="12" t="s">
        <v>150</v>
      </c>
      <c r="I1149" s="41" t="s">
        <v>2136</v>
      </c>
      <c r="J1149" s="41" t="s">
        <v>2136</v>
      </c>
      <c r="K1149" s="41" t="str">
        <f>VLOOKUP(J1149,错误mRNA总表!D:J,7,FALSE)</f>
        <v>纠后正确</v>
      </c>
      <c r="L1149" s="41" t="s">
        <v>3763</v>
      </c>
      <c r="M1149" s="41">
        <f>VLOOKUP(I1149,错误mRNA总表!D:I,6,FALSE)</f>
        <v>0</v>
      </c>
    </row>
    <row r="1150" spans="1:13" x14ac:dyDescent="0.2">
      <c r="A1150" s="12" t="s">
        <v>4243</v>
      </c>
      <c r="B1150" s="12" t="s">
        <v>3984</v>
      </c>
      <c r="C1150" s="12">
        <v>2529777</v>
      </c>
      <c r="D1150" s="12">
        <v>2529933</v>
      </c>
      <c r="E1150" s="12" t="s">
        <v>3940</v>
      </c>
      <c r="F1150" s="12">
        <v>1</v>
      </c>
      <c r="H1150" s="12" t="s">
        <v>3555</v>
      </c>
      <c r="I1150" s="41" t="s">
        <v>7170</v>
      </c>
      <c r="M1150" s="41" t="e">
        <f>VLOOKUP(I1150,错误mRNA总表!D:I,6,FALSE)</f>
        <v>#N/A</v>
      </c>
    </row>
    <row r="1151" spans="1:13" x14ac:dyDescent="0.2">
      <c r="A1151" s="12" t="s">
        <v>4243</v>
      </c>
      <c r="B1151" s="12" t="s">
        <v>3984</v>
      </c>
      <c r="C1151" s="12">
        <v>2529777</v>
      </c>
      <c r="D1151" s="12">
        <v>2529965</v>
      </c>
      <c r="E1151" s="12" t="s">
        <v>3940</v>
      </c>
      <c r="F1151" s="12">
        <v>1</v>
      </c>
      <c r="H1151" s="12" t="s">
        <v>3555</v>
      </c>
      <c r="I1151" s="41" t="s">
        <v>7170</v>
      </c>
      <c r="M1151" s="41" t="e">
        <f>VLOOKUP(I1151,错误mRNA总表!D:I,6,FALSE)</f>
        <v>#N/A</v>
      </c>
    </row>
    <row r="1152" spans="1:13" x14ac:dyDescent="0.2">
      <c r="A1152" s="12" t="s">
        <v>3959</v>
      </c>
      <c r="B1152" s="12" t="s">
        <v>4098</v>
      </c>
      <c r="C1152" s="12">
        <v>165232</v>
      </c>
      <c r="D1152" s="12">
        <v>169309</v>
      </c>
      <c r="E1152" s="12" t="s">
        <v>3943</v>
      </c>
      <c r="F1152" s="12">
        <v>3</v>
      </c>
      <c r="H1152" s="12" t="s">
        <v>3650</v>
      </c>
      <c r="I1152" s="41" t="s">
        <v>6637</v>
      </c>
      <c r="M1152" s="41" t="e">
        <f>VLOOKUP(I1152,错误mRNA总表!D:I,6,FALSE)</f>
        <v>#N/A</v>
      </c>
    </row>
    <row r="1153" spans="1:13" x14ac:dyDescent="0.2">
      <c r="A1153" s="12" t="s">
        <v>4597</v>
      </c>
      <c r="B1153" s="12" t="s">
        <v>4059</v>
      </c>
      <c r="C1153" s="12">
        <v>66044806</v>
      </c>
      <c r="D1153" s="12">
        <v>66205888</v>
      </c>
      <c r="E1153" s="12" t="s">
        <v>3940</v>
      </c>
      <c r="F1153" s="12">
        <v>2</v>
      </c>
      <c r="G1153" s="41" t="s">
        <v>175</v>
      </c>
      <c r="H1153" s="12" t="s">
        <v>5950</v>
      </c>
      <c r="I1153" s="41" t="s">
        <v>7171</v>
      </c>
      <c r="M1153" s="41" t="e">
        <f>VLOOKUP(I1153,错误mRNA总表!D:I,6,FALSE)</f>
        <v>#N/A</v>
      </c>
    </row>
    <row r="1154" spans="1:13" x14ac:dyDescent="0.2">
      <c r="A1154" s="12" t="s">
        <v>4598</v>
      </c>
      <c r="B1154" s="12" t="s">
        <v>4042</v>
      </c>
      <c r="C1154" s="12">
        <v>82632347</v>
      </c>
      <c r="D1154" s="12">
        <v>82637399</v>
      </c>
      <c r="E1154" s="12" t="s">
        <v>3940</v>
      </c>
      <c r="F1154" s="12">
        <v>105</v>
      </c>
      <c r="G1154" s="41" t="s">
        <v>113</v>
      </c>
      <c r="H1154" s="12" t="s">
        <v>6515</v>
      </c>
      <c r="I1154" s="41" t="s">
        <v>7172</v>
      </c>
      <c r="M1154" s="41" t="e">
        <f>VLOOKUP(I1154,错误mRNA总表!D:I,6,FALSE)</f>
        <v>#N/A</v>
      </c>
    </row>
    <row r="1155" spans="1:13" x14ac:dyDescent="0.2">
      <c r="A1155" s="12" t="s">
        <v>4598</v>
      </c>
      <c r="B1155" s="12" t="s">
        <v>4042</v>
      </c>
      <c r="C1155" s="12">
        <v>82632347</v>
      </c>
      <c r="D1155" s="12">
        <v>82637293</v>
      </c>
      <c r="E1155" s="12" t="s">
        <v>3940</v>
      </c>
      <c r="F1155" s="12">
        <v>42</v>
      </c>
      <c r="G1155" s="41" t="s">
        <v>113</v>
      </c>
      <c r="H1155" s="12" t="s">
        <v>6515</v>
      </c>
      <c r="I1155" s="41" t="s">
        <v>7172</v>
      </c>
      <c r="M1155" s="41" t="e">
        <f>VLOOKUP(I1155,错误mRNA总表!D:I,6,FALSE)</f>
        <v>#N/A</v>
      </c>
    </row>
    <row r="1156" spans="1:13" x14ac:dyDescent="0.2">
      <c r="A1156" s="12" t="s">
        <v>4598</v>
      </c>
      <c r="B1156" s="12" t="s">
        <v>4042</v>
      </c>
      <c r="C1156" s="12">
        <v>82632347</v>
      </c>
      <c r="D1156" s="12">
        <v>82637011</v>
      </c>
      <c r="E1156" s="12" t="s">
        <v>3943</v>
      </c>
      <c r="F1156" s="12">
        <v>18</v>
      </c>
      <c r="G1156" s="41" t="s">
        <v>113</v>
      </c>
      <c r="H1156" s="12" t="s">
        <v>6515</v>
      </c>
      <c r="I1156" s="41" t="s">
        <v>7172</v>
      </c>
      <c r="M1156" s="41" t="e">
        <f>VLOOKUP(I1156,错误mRNA总表!D:I,6,FALSE)</f>
        <v>#N/A</v>
      </c>
    </row>
    <row r="1157" spans="1:13" x14ac:dyDescent="0.2">
      <c r="A1157" s="12" t="s">
        <v>4599</v>
      </c>
      <c r="B1157" s="12" t="s">
        <v>3946</v>
      </c>
      <c r="C1157" s="12">
        <v>40962150</v>
      </c>
      <c r="D1157" s="12">
        <v>40976311</v>
      </c>
      <c r="E1157" s="12" t="s">
        <v>3940</v>
      </c>
      <c r="F1157" s="12">
        <v>1</v>
      </c>
      <c r="G1157" s="41" t="s">
        <v>47</v>
      </c>
      <c r="H1157" s="12" t="s">
        <v>5951</v>
      </c>
      <c r="I1157" s="41" t="s">
        <v>7173</v>
      </c>
      <c r="M1157" s="41" t="e">
        <f>VLOOKUP(I1157,错误mRNA总表!D:I,6,FALSE)</f>
        <v>#N/A</v>
      </c>
    </row>
    <row r="1158" spans="1:13" x14ac:dyDescent="0.2">
      <c r="A1158" s="12" t="s">
        <v>4308</v>
      </c>
      <c r="B1158" s="12" t="s">
        <v>3994</v>
      </c>
      <c r="C1158" s="12">
        <v>2474679</v>
      </c>
      <c r="D1158" s="12">
        <v>2479954</v>
      </c>
      <c r="E1158" s="12" t="s">
        <v>3943</v>
      </c>
      <c r="F1158" s="12">
        <v>1</v>
      </c>
      <c r="H1158" s="12" t="s">
        <v>5862</v>
      </c>
      <c r="I1158" s="41" t="s">
        <v>7174</v>
      </c>
      <c r="M1158" s="41" t="e">
        <f>VLOOKUP(I1158,错误mRNA总表!D:I,6,FALSE)</f>
        <v>#N/A</v>
      </c>
    </row>
    <row r="1159" spans="1:13" x14ac:dyDescent="0.2">
      <c r="A1159" s="12" t="s">
        <v>4600</v>
      </c>
      <c r="B1159" s="12" t="s">
        <v>4055</v>
      </c>
      <c r="C1159" s="12">
        <v>11418857</v>
      </c>
      <c r="D1159" s="12">
        <v>11420333</v>
      </c>
      <c r="E1159" s="12" t="s">
        <v>3943</v>
      </c>
      <c r="F1159" s="12">
        <v>1</v>
      </c>
      <c r="G1159" s="41" t="s">
        <v>212</v>
      </c>
      <c r="H1159" s="12" t="s">
        <v>211</v>
      </c>
      <c r="I1159" s="41" t="s">
        <v>2190</v>
      </c>
      <c r="J1159" s="41" t="s">
        <v>2190</v>
      </c>
      <c r="K1159" s="41" t="str">
        <f>VLOOKUP(J1159,错误mRNA总表!D:J,7,FALSE)</f>
        <v>纠后正确</v>
      </c>
      <c r="L1159" s="41" t="s">
        <v>3763</v>
      </c>
      <c r="M1159" s="41">
        <f>VLOOKUP(I1159,错误mRNA总表!D:I,6,FALSE)</f>
        <v>0</v>
      </c>
    </row>
    <row r="1160" spans="1:13" x14ac:dyDescent="0.2">
      <c r="A1160" s="12" t="s">
        <v>4601</v>
      </c>
      <c r="B1160" s="12" t="s">
        <v>3946</v>
      </c>
      <c r="C1160" s="12">
        <v>73232694</v>
      </c>
      <c r="D1160" s="12">
        <v>73234010</v>
      </c>
      <c r="E1160" s="12" t="s">
        <v>3940</v>
      </c>
      <c r="F1160" s="12">
        <v>14</v>
      </c>
      <c r="G1160" s="41" t="s">
        <v>47</v>
      </c>
      <c r="H1160" s="12" t="s">
        <v>6516</v>
      </c>
      <c r="I1160" s="41" t="s">
        <v>7175</v>
      </c>
      <c r="M1160" s="41" t="e">
        <f>VLOOKUP(I1160,错误mRNA总表!D:I,6,FALSE)</f>
        <v>#N/A</v>
      </c>
    </row>
    <row r="1161" spans="1:13" x14ac:dyDescent="0.2">
      <c r="A1161" s="12" t="s">
        <v>4602</v>
      </c>
      <c r="B1161" s="12" t="s">
        <v>4124</v>
      </c>
      <c r="C1161" s="12">
        <v>173724766</v>
      </c>
      <c r="D1161" s="12">
        <v>173724922</v>
      </c>
      <c r="E1161" s="12" t="s">
        <v>3943</v>
      </c>
      <c r="F1161" s="12">
        <v>1</v>
      </c>
      <c r="G1161" s="41" t="s">
        <v>1</v>
      </c>
      <c r="H1161" s="12" t="s">
        <v>5952</v>
      </c>
      <c r="I1161" s="41" t="s">
        <v>7176</v>
      </c>
      <c r="M1161" s="41" t="e">
        <f>VLOOKUP(I1161,错误mRNA总表!D:I,6,FALSE)</f>
        <v>#N/A</v>
      </c>
    </row>
    <row r="1162" spans="1:13" x14ac:dyDescent="0.2">
      <c r="A1162" s="12" t="s">
        <v>4224</v>
      </c>
      <c r="B1162" s="12" t="s">
        <v>3994</v>
      </c>
      <c r="C1162" s="12">
        <v>2755326</v>
      </c>
      <c r="D1162" s="12">
        <v>2759251</v>
      </c>
      <c r="E1162" s="12" t="s">
        <v>3940</v>
      </c>
      <c r="F1162" s="12">
        <v>1</v>
      </c>
      <c r="H1162" s="12" t="s">
        <v>5833</v>
      </c>
      <c r="I1162" s="41" t="s">
        <v>7177</v>
      </c>
      <c r="M1162" s="41" t="e">
        <f>VLOOKUP(I1162,错误mRNA总表!D:I,6,FALSE)</f>
        <v>#N/A</v>
      </c>
    </row>
    <row r="1163" spans="1:13" x14ac:dyDescent="0.2">
      <c r="A1163" s="12" t="s">
        <v>4224</v>
      </c>
      <c r="B1163" s="12" t="s">
        <v>3994</v>
      </c>
      <c r="C1163" s="12">
        <v>2755326</v>
      </c>
      <c r="D1163" s="12">
        <v>2759391</v>
      </c>
      <c r="E1163" s="12" t="s">
        <v>3940</v>
      </c>
      <c r="F1163" s="12">
        <v>1</v>
      </c>
      <c r="H1163" s="12" t="s">
        <v>5833</v>
      </c>
      <c r="I1163" s="41" t="s">
        <v>7177</v>
      </c>
      <c r="M1163" s="41" t="e">
        <f>VLOOKUP(I1163,错误mRNA总表!D:I,6,FALSE)</f>
        <v>#N/A</v>
      </c>
    </row>
    <row r="1164" spans="1:13" x14ac:dyDescent="0.2">
      <c r="A1164" s="12" t="s">
        <v>4224</v>
      </c>
      <c r="B1164" s="12" t="s">
        <v>3994</v>
      </c>
      <c r="C1164" s="12">
        <v>2755326</v>
      </c>
      <c r="D1164" s="12">
        <v>2760239</v>
      </c>
      <c r="E1164" s="12" t="s">
        <v>3943</v>
      </c>
      <c r="F1164" s="12">
        <v>1</v>
      </c>
      <c r="H1164" s="12" t="s">
        <v>5833</v>
      </c>
      <c r="I1164" s="41" t="s">
        <v>7177</v>
      </c>
      <c r="M1164" s="41" t="e">
        <f>VLOOKUP(I1164,错误mRNA总表!D:I,6,FALSE)</f>
        <v>#N/A</v>
      </c>
    </row>
    <row r="1165" spans="1:13" x14ac:dyDescent="0.2">
      <c r="A1165" s="12" t="s">
        <v>4603</v>
      </c>
      <c r="B1165" s="12" t="s">
        <v>4030</v>
      </c>
      <c r="C1165" s="12">
        <v>21989231</v>
      </c>
      <c r="D1165" s="12">
        <v>21989472</v>
      </c>
      <c r="E1165" s="12" t="s">
        <v>3940</v>
      </c>
      <c r="F1165" s="12">
        <v>15</v>
      </c>
      <c r="G1165" s="41" t="s">
        <v>81</v>
      </c>
      <c r="H1165" s="12" t="s">
        <v>5953</v>
      </c>
      <c r="I1165" s="41" t="s">
        <v>7178</v>
      </c>
      <c r="M1165" s="41" t="e">
        <f>VLOOKUP(I1165,错误mRNA总表!D:I,6,FALSE)</f>
        <v>#N/A</v>
      </c>
    </row>
    <row r="1166" spans="1:13" x14ac:dyDescent="0.2">
      <c r="A1166" s="12" t="s">
        <v>4603</v>
      </c>
      <c r="B1166" s="12" t="s">
        <v>4030</v>
      </c>
      <c r="C1166" s="12">
        <v>21989231</v>
      </c>
      <c r="D1166" s="12">
        <v>21989706</v>
      </c>
      <c r="E1166" s="12" t="s">
        <v>3940</v>
      </c>
      <c r="F1166" s="12">
        <v>2</v>
      </c>
      <c r="G1166" s="41" t="s">
        <v>81</v>
      </c>
      <c r="H1166" s="12" t="s">
        <v>5953</v>
      </c>
      <c r="I1166" s="41" t="s">
        <v>7178</v>
      </c>
      <c r="M1166" s="41" t="e">
        <f>VLOOKUP(I1166,错误mRNA总表!D:I,6,FALSE)</f>
        <v>#N/A</v>
      </c>
    </row>
    <row r="1167" spans="1:13" x14ac:dyDescent="0.2">
      <c r="A1167" s="12" t="s">
        <v>4232</v>
      </c>
      <c r="B1167" s="12" t="s">
        <v>3994</v>
      </c>
      <c r="C1167" s="12">
        <v>3505441</v>
      </c>
      <c r="D1167" s="12">
        <v>3534506</v>
      </c>
      <c r="E1167" s="12" t="s">
        <v>3940</v>
      </c>
      <c r="F1167" s="12">
        <v>3</v>
      </c>
      <c r="H1167" s="12" t="s">
        <v>5836</v>
      </c>
      <c r="I1167" s="41" t="s">
        <v>7179</v>
      </c>
      <c r="M1167" s="41" t="e">
        <f>VLOOKUP(I1167,错误mRNA总表!D:I,6,FALSE)</f>
        <v>#N/A</v>
      </c>
    </row>
    <row r="1168" spans="1:13" x14ac:dyDescent="0.2">
      <c r="A1168" s="12" t="s">
        <v>4044</v>
      </c>
      <c r="B1168" s="12" t="s">
        <v>3952</v>
      </c>
      <c r="C1168" s="12">
        <v>134946</v>
      </c>
      <c r="D1168" s="12">
        <v>147897</v>
      </c>
      <c r="E1168" s="12" t="s">
        <v>3943</v>
      </c>
      <c r="F1168" s="12">
        <v>1</v>
      </c>
      <c r="H1168" s="12" t="s">
        <v>3648</v>
      </c>
      <c r="I1168" s="41" t="s">
        <v>6693</v>
      </c>
      <c r="M1168" s="41" t="e">
        <f>VLOOKUP(I1168,错误mRNA总表!D:I,6,FALSE)</f>
        <v>#N/A</v>
      </c>
    </row>
    <row r="1169" spans="1:13" x14ac:dyDescent="0.2">
      <c r="A1169" s="12" t="s">
        <v>4604</v>
      </c>
      <c r="B1169" s="12" t="s">
        <v>4124</v>
      </c>
      <c r="C1169" s="12">
        <v>24346350</v>
      </c>
      <c r="D1169" s="12">
        <v>24387179</v>
      </c>
      <c r="E1169" s="12" t="s">
        <v>3940</v>
      </c>
      <c r="F1169" s="12">
        <v>1</v>
      </c>
      <c r="G1169" s="41" t="s">
        <v>1</v>
      </c>
      <c r="H1169" s="12" t="s">
        <v>70</v>
      </c>
      <c r="I1169" s="41" t="s">
        <v>2092</v>
      </c>
      <c r="J1169" s="41" t="s">
        <v>2092</v>
      </c>
      <c r="K1169" s="41" t="str">
        <f>VLOOKUP(J1169,错误mRNA总表!D:J,7,FALSE)</f>
        <v>纠后正确</v>
      </c>
      <c r="L1169" s="41" t="s">
        <v>3763</v>
      </c>
      <c r="M1169" s="41">
        <f>VLOOKUP(I1169,错误mRNA总表!D:I,6,FALSE)</f>
        <v>0</v>
      </c>
    </row>
    <row r="1170" spans="1:13" x14ac:dyDescent="0.2">
      <c r="A1170" s="12" t="s">
        <v>4605</v>
      </c>
      <c r="B1170" s="12" t="s">
        <v>3939</v>
      </c>
      <c r="C1170" s="12">
        <v>152224766</v>
      </c>
      <c r="D1170" s="12">
        <v>152227591</v>
      </c>
      <c r="E1170" s="12" t="s">
        <v>3943</v>
      </c>
      <c r="F1170" s="12">
        <v>3</v>
      </c>
      <c r="G1170" s="41" t="s">
        <v>73</v>
      </c>
      <c r="H1170" s="12" t="s">
        <v>5954</v>
      </c>
      <c r="I1170" s="41" t="s">
        <v>7180</v>
      </c>
      <c r="M1170" s="41" t="e">
        <f>VLOOKUP(I1170,错误mRNA总表!D:I,6,FALSE)</f>
        <v>#N/A</v>
      </c>
    </row>
    <row r="1171" spans="1:13" x14ac:dyDescent="0.2">
      <c r="A1171" s="12" t="s">
        <v>4606</v>
      </c>
      <c r="B1171" s="12" t="s">
        <v>4607</v>
      </c>
      <c r="C1171" s="12">
        <v>373201</v>
      </c>
      <c r="D1171" s="12">
        <v>375445</v>
      </c>
      <c r="E1171" s="12" t="s">
        <v>3943</v>
      </c>
      <c r="F1171" s="12">
        <v>1</v>
      </c>
      <c r="H1171" s="12" t="s">
        <v>3619</v>
      </c>
      <c r="I1171" s="41" t="s">
        <v>7181</v>
      </c>
      <c r="M1171" s="41" t="e">
        <f>VLOOKUP(I1171,错误mRNA总表!D:I,6,FALSE)</f>
        <v>#N/A</v>
      </c>
    </row>
    <row r="1172" spans="1:13" x14ac:dyDescent="0.2">
      <c r="A1172" s="12" t="s">
        <v>4606</v>
      </c>
      <c r="B1172" s="12" t="s">
        <v>4607</v>
      </c>
      <c r="C1172" s="12">
        <v>373201</v>
      </c>
      <c r="D1172" s="12">
        <v>376618</v>
      </c>
      <c r="E1172" s="12" t="s">
        <v>3940</v>
      </c>
      <c r="F1172" s="12">
        <v>1</v>
      </c>
      <c r="H1172" s="12" t="s">
        <v>3619</v>
      </c>
      <c r="I1172" s="41" t="s">
        <v>7181</v>
      </c>
      <c r="M1172" s="41" t="e">
        <f>VLOOKUP(I1172,错误mRNA总表!D:I,6,FALSE)</f>
        <v>#N/A</v>
      </c>
    </row>
    <row r="1173" spans="1:13" x14ac:dyDescent="0.2">
      <c r="A1173" s="12" t="s">
        <v>4608</v>
      </c>
      <c r="B1173" s="12" t="s">
        <v>3957</v>
      </c>
      <c r="C1173" s="12">
        <v>46638826</v>
      </c>
      <c r="D1173" s="12">
        <v>46694313</v>
      </c>
      <c r="E1173" s="12" t="s">
        <v>3943</v>
      </c>
      <c r="F1173" s="12">
        <v>2</v>
      </c>
      <c r="G1173" s="41" t="s">
        <v>36</v>
      </c>
      <c r="H1173" s="12" t="s">
        <v>5955</v>
      </c>
      <c r="I1173" s="41" t="s">
        <v>7182</v>
      </c>
      <c r="M1173" s="41" t="e">
        <f>VLOOKUP(I1173,错误mRNA总表!D:I,6,FALSE)</f>
        <v>#N/A</v>
      </c>
    </row>
    <row r="1174" spans="1:13" x14ac:dyDescent="0.2">
      <c r="A1174" s="12" t="s">
        <v>4609</v>
      </c>
      <c r="B1174" s="12" t="s">
        <v>4018</v>
      </c>
      <c r="C1174" s="12">
        <v>17791523</v>
      </c>
      <c r="D1174" s="12">
        <v>17981988</v>
      </c>
      <c r="E1174" s="12" t="s">
        <v>3940</v>
      </c>
      <c r="F1174" s="12">
        <v>1</v>
      </c>
      <c r="G1174" s="41" t="s">
        <v>241</v>
      </c>
      <c r="H1174" s="12" t="s">
        <v>5956</v>
      </c>
      <c r="I1174" s="41" t="s">
        <v>7183</v>
      </c>
      <c r="M1174" s="41" t="e">
        <f>VLOOKUP(I1174,错误mRNA总表!D:I,6,FALSE)</f>
        <v>#N/A</v>
      </c>
    </row>
    <row r="1175" spans="1:13" x14ac:dyDescent="0.2">
      <c r="A1175" s="12" t="s">
        <v>4610</v>
      </c>
      <c r="B1175" s="12" t="s">
        <v>3996</v>
      </c>
      <c r="C1175" s="12">
        <v>4554915</v>
      </c>
      <c r="D1175" s="12">
        <v>4559040</v>
      </c>
      <c r="E1175" s="12" t="s">
        <v>3940</v>
      </c>
      <c r="F1175" s="12">
        <v>1</v>
      </c>
      <c r="H1175" s="12" t="s">
        <v>5957</v>
      </c>
      <c r="I1175" s="41" t="s">
        <v>7184</v>
      </c>
      <c r="M1175" s="41" t="e">
        <f>VLOOKUP(I1175,错误mRNA总表!D:I,6,FALSE)</f>
        <v>#N/A</v>
      </c>
    </row>
    <row r="1176" spans="1:13" x14ac:dyDescent="0.2">
      <c r="A1176" s="12" t="s">
        <v>4610</v>
      </c>
      <c r="B1176" s="12" t="s">
        <v>3996</v>
      </c>
      <c r="C1176" s="12">
        <v>4554915</v>
      </c>
      <c r="D1176" s="12">
        <v>4559981</v>
      </c>
      <c r="E1176" s="12" t="s">
        <v>3943</v>
      </c>
      <c r="F1176" s="12">
        <v>1</v>
      </c>
      <c r="H1176" s="12" t="s">
        <v>5957</v>
      </c>
      <c r="I1176" s="41" t="s">
        <v>7184</v>
      </c>
      <c r="M1176" s="41" t="e">
        <f>VLOOKUP(I1176,错误mRNA总表!D:I,6,FALSE)</f>
        <v>#N/A</v>
      </c>
    </row>
    <row r="1177" spans="1:13" x14ac:dyDescent="0.2">
      <c r="A1177" s="12" t="s">
        <v>4610</v>
      </c>
      <c r="B1177" s="12" t="s">
        <v>3996</v>
      </c>
      <c r="C1177" s="12">
        <v>4554915</v>
      </c>
      <c r="D1177" s="12">
        <v>4560130</v>
      </c>
      <c r="E1177" s="12" t="s">
        <v>3943</v>
      </c>
      <c r="F1177" s="12">
        <v>1</v>
      </c>
      <c r="H1177" s="12" t="s">
        <v>5957</v>
      </c>
      <c r="I1177" s="41" t="s">
        <v>7184</v>
      </c>
      <c r="M1177" s="41" t="e">
        <f>VLOOKUP(I1177,错误mRNA总表!D:I,6,FALSE)</f>
        <v>#N/A</v>
      </c>
    </row>
    <row r="1178" spans="1:13" x14ac:dyDescent="0.2">
      <c r="A1178" s="12" t="s">
        <v>4610</v>
      </c>
      <c r="B1178" s="12" t="s">
        <v>3996</v>
      </c>
      <c r="C1178" s="12">
        <v>4554915</v>
      </c>
      <c r="D1178" s="12">
        <v>4560208</v>
      </c>
      <c r="E1178" s="12" t="s">
        <v>3943</v>
      </c>
      <c r="F1178" s="12">
        <v>4</v>
      </c>
      <c r="H1178" s="12" t="s">
        <v>5957</v>
      </c>
      <c r="I1178" s="41" t="s">
        <v>7184</v>
      </c>
      <c r="M1178" s="41" t="e">
        <f>VLOOKUP(I1178,错误mRNA总表!D:I,6,FALSE)</f>
        <v>#N/A</v>
      </c>
    </row>
    <row r="1179" spans="1:13" x14ac:dyDescent="0.2">
      <c r="A1179" s="12" t="s">
        <v>4611</v>
      </c>
      <c r="B1179" s="12" t="s">
        <v>4030</v>
      </c>
      <c r="C1179" s="12">
        <v>24641234</v>
      </c>
      <c r="D1179" s="12">
        <v>24646413</v>
      </c>
      <c r="E1179" s="12" t="s">
        <v>3940</v>
      </c>
      <c r="F1179" s="12">
        <v>3</v>
      </c>
      <c r="G1179" s="41" t="s">
        <v>81</v>
      </c>
      <c r="H1179" s="12" t="s">
        <v>1072</v>
      </c>
      <c r="I1179" s="41" t="s">
        <v>2276</v>
      </c>
      <c r="J1179" s="41" t="s">
        <v>2276</v>
      </c>
      <c r="K1179" s="41" t="str">
        <f>VLOOKUP(J1179,错误mRNA总表!D:J,7,FALSE)</f>
        <v>纠后正确，加1个氨基酸chr14:24646414-24649301</v>
      </c>
      <c r="L1179" s="41" t="s">
        <v>8343</v>
      </c>
      <c r="M1179" s="41">
        <f>VLOOKUP(I1179,错误mRNA总表!D:I,6,FALSE)</f>
        <v>0</v>
      </c>
    </row>
    <row r="1180" spans="1:13" x14ac:dyDescent="0.2">
      <c r="A1180" s="12" t="s">
        <v>4612</v>
      </c>
      <c r="B1180" s="12" t="s">
        <v>4004</v>
      </c>
      <c r="C1180" s="12">
        <v>104310661</v>
      </c>
      <c r="D1180" s="12">
        <v>104343941</v>
      </c>
      <c r="E1180" s="12" t="s">
        <v>3943</v>
      </c>
      <c r="F1180" s="12">
        <v>1</v>
      </c>
      <c r="G1180" s="41" t="s">
        <v>103</v>
      </c>
      <c r="H1180" s="12" t="s">
        <v>5958</v>
      </c>
      <c r="I1180" s="41" t="s">
        <v>7185</v>
      </c>
      <c r="M1180" s="41" t="e">
        <f>VLOOKUP(I1180,错误mRNA总表!D:I,6,FALSE)</f>
        <v>#N/A</v>
      </c>
    </row>
    <row r="1181" spans="1:13" x14ac:dyDescent="0.2">
      <c r="A1181" s="12" t="s">
        <v>4613</v>
      </c>
      <c r="B1181" s="12" t="s">
        <v>3946</v>
      </c>
      <c r="C1181" s="12">
        <v>79609349</v>
      </c>
      <c r="D1181" s="12">
        <v>79614937</v>
      </c>
      <c r="E1181" s="12" t="s">
        <v>3943</v>
      </c>
      <c r="F1181" s="12">
        <v>4</v>
      </c>
      <c r="G1181" s="41" t="s">
        <v>47</v>
      </c>
      <c r="H1181" s="12" t="s">
        <v>229</v>
      </c>
      <c r="I1181" s="41" t="s">
        <v>2200</v>
      </c>
      <c r="J1181" s="41" t="s">
        <v>2200</v>
      </c>
      <c r="K1181" s="41" t="str">
        <f>VLOOKUP(J1181,错误mRNA总表!D:J,7,FALSE)</f>
        <v>纠后正确</v>
      </c>
      <c r="L1181" s="41" t="s">
        <v>3763</v>
      </c>
      <c r="M1181" s="41">
        <f>VLOOKUP(I1181,错误mRNA总表!D:I,6,FALSE)</f>
        <v>0</v>
      </c>
    </row>
    <row r="1182" spans="1:13" x14ac:dyDescent="0.2">
      <c r="A1182" s="12" t="s">
        <v>4614</v>
      </c>
      <c r="B1182" s="12" t="s">
        <v>4052</v>
      </c>
      <c r="C1182" s="12">
        <v>64571756</v>
      </c>
      <c r="D1182" s="12">
        <v>64572037</v>
      </c>
      <c r="E1182" s="12" t="s">
        <v>3943</v>
      </c>
      <c r="F1182" s="12">
        <v>1</v>
      </c>
      <c r="G1182" s="41" t="s">
        <v>93</v>
      </c>
      <c r="H1182" s="12" t="s">
        <v>5959</v>
      </c>
      <c r="I1182" s="41" t="s">
        <v>7186</v>
      </c>
      <c r="M1182" s="41" t="e">
        <f>VLOOKUP(I1182,错误mRNA总表!D:I,6,FALSE)</f>
        <v>#N/A</v>
      </c>
    </row>
    <row r="1183" spans="1:13" x14ac:dyDescent="0.2">
      <c r="A1183" s="12" t="s">
        <v>4615</v>
      </c>
      <c r="B1183" s="12" t="s">
        <v>3957</v>
      </c>
      <c r="C1183" s="12">
        <v>46638826</v>
      </c>
      <c r="D1183" s="12">
        <v>46694313</v>
      </c>
      <c r="E1183" s="12" t="s">
        <v>3943</v>
      </c>
      <c r="F1183" s="12">
        <v>2</v>
      </c>
      <c r="G1183" s="41" t="s">
        <v>36</v>
      </c>
      <c r="H1183" s="12" t="s">
        <v>5960</v>
      </c>
      <c r="I1183" s="41" t="s">
        <v>7187</v>
      </c>
      <c r="M1183" s="41" t="e">
        <f>VLOOKUP(I1183,错误mRNA总表!D:I,6,FALSE)</f>
        <v>#N/A</v>
      </c>
    </row>
    <row r="1184" spans="1:13" x14ac:dyDescent="0.2">
      <c r="A1184" s="12" t="s">
        <v>4050</v>
      </c>
      <c r="B1184" s="12" t="s">
        <v>3989</v>
      </c>
      <c r="C1184" s="12">
        <v>3705729</v>
      </c>
      <c r="D1184" s="12">
        <v>3705860</v>
      </c>
      <c r="E1184" s="12" t="s">
        <v>3943</v>
      </c>
      <c r="F1184" s="12">
        <v>1</v>
      </c>
      <c r="H1184" s="12" t="s">
        <v>5790</v>
      </c>
      <c r="I1184" s="41" t="s">
        <v>7188</v>
      </c>
      <c r="M1184" s="41" t="e">
        <f>VLOOKUP(I1184,错误mRNA总表!D:I,6,FALSE)</f>
        <v>#N/A</v>
      </c>
    </row>
    <row r="1185" spans="1:13" x14ac:dyDescent="0.2">
      <c r="A1185" s="12" t="s">
        <v>4616</v>
      </c>
      <c r="B1185" s="12" t="s">
        <v>3946</v>
      </c>
      <c r="C1185" s="12">
        <v>5185558</v>
      </c>
      <c r="D1185" s="12">
        <v>5286886</v>
      </c>
      <c r="E1185" s="12" t="s">
        <v>3943</v>
      </c>
      <c r="F1185" s="12">
        <v>25</v>
      </c>
      <c r="G1185" s="41" t="s">
        <v>47</v>
      </c>
      <c r="H1185" s="12" t="s">
        <v>5961</v>
      </c>
      <c r="I1185" s="41" t="s">
        <v>7189</v>
      </c>
      <c r="M1185" s="41" t="e">
        <f>VLOOKUP(I1185,错误mRNA总表!D:I,6,FALSE)</f>
        <v>#N/A</v>
      </c>
    </row>
    <row r="1186" spans="1:13" x14ac:dyDescent="0.2">
      <c r="A1186" s="12" t="s">
        <v>4617</v>
      </c>
      <c r="B1186" s="12" t="s">
        <v>4115</v>
      </c>
      <c r="C1186" s="12">
        <v>136207751</v>
      </c>
      <c r="D1186" s="12">
        <v>136209400</v>
      </c>
      <c r="E1186" s="12" t="s">
        <v>3943</v>
      </c>
      <c r="F1186" s="12">
        <v>5</v>
      </c>
      <c r="G1186" s="41" t="s">
        <v>33</v>
      </c>
      <c r="H1186" s="12" t="s">
        <v>3607</v>
      </c>
      <c r="I1186" s="41" t="s">
        <v>7190</v>
      </c>
      <c r="M1186" s="41" t="e">
        <f>VLOOKUP(I1186,错误mRNA总表!D:I,6,FALSE)</f>
        <v>#N/A</v>
      </c>
    </row>
    <row r="1187" spans="1:13" x14ac:dyDescent="0.2">
      <c r="A1187" s="12" t="s">
        <v>4618</v>
      </c>
      <c r="B1187" s="12" t="s">
        <v>3954</v>
      </c>
      <c r="C1187" s="12">
        <v>124358</v>
      </c>
      <c r="D1187" s="12">
        <v>124555</v>
      </c>
      <c r="E1187" s="12" t="s">
        <v>3940</v>
      </c>
      <c r="F1187" s="12">
        <v>97</v>
      </c>
      <c r="G1187" s="41" t="s">
        <v>569</v>
      </c>
      <c r="H1187" s="12" t="s">
        <v>570</v>
      </c>
      <c r="I1187" s="41" t="s">
        <v>7191</v>
      </c>
      <c r="J1187" s="41" t="s">
        <v>2239</v>
      </c>
      <c r="K1187" s="41" t="str">
        <f>VLOOKUP(J1187,错误mRNA总表!D:J,7,FALSE)</f>
        <v>纠后区间有变化（版本不一致）与Browers相匹配，chr4:133711-136743之前有5个氨基酸不对，其他正确</v>
      </c>
      <c r="M1187" s="41" t="e">
        <f>VLOOKUP(I1187,错误mRNA总表!D:I,6,FALSE)</f>
        <v>#N/A</v>
      </c>
    </row>
    <row r="1188" spans="1:13" x14ac:dyDescent="0.2">
      <c r="A1188" s="12" t="s">
        <v>4618</v>
      </c>
      <c r="B1188" s="12" t="s">
        <v>3954</v>
      </c>
      <c r="C1188" s="12">
        <v>124358</v>
      </c>
      <c r="D1188" s="12">
        <v>133634</v>
      </c>
      <c r="E1188" s="12" t="s">
        <v>3940</v>
      </c>
      <c r="F1188" s="12">
        <v>22</v>
      </c>
      <c r="G1188" s="41" t="s">
        <v>569</v>
      </c>
      <c r="H1188" s="12" t="s">
        <v>570</v>
      </c>
      <c r="I1188" s="41" t="s">
        <v>7191</v>
      </c>
      <c r="J1188" s="41" t="s">
        <v>2239</v>
      </c>
      <c r="K1188" s="41" t="str">
        <f>VLOOKUP(J1188,错误mRNA总表!D:J,7,FALSE)</f>
        <v>纠后区间有变化（版本不一致）与Browers相匹配，chr4:133711-136743之前有5个氨基酸不对，其他正确</v>
      </c>
      <c r="M1188" s="41" t="e">
        <f>VLOOKUP(I1188,错误mRNA总表!D:I,6,FALSE)</f>
        <v>#N/A</v>
      </c>
    </row>
    <row r="1189" spans="1:13" x14ac:dyDescent="0.2">
      <c r="A1189" s="12" t="s">
        <v>4618</v>
      </c>
      <c r="B1189" s="12" t="s">
        <v>3954</v>
      </c>
      <c r="C1189" s="12">
        <v>124358</v>
      </c>
      <c r="D1189" s="12">
        <v>133624</v>
      </c>
      <c r="E1189" s="12" t="s">
        <v>3943</v>
      </c>
      <c r="F1189" s="12">
        <v>2</v>
      </c>
      <c r="G1189" s="41" t="s">
        <v>569</v>
      </c>
      <c r="H1189" s="12" t="s">
        <v>570</v>
      </c>
      <c r="I1189" s="41" t="s">
        <v>7191</v>
      </c>
      <c r="J1189" s="41" t="s">
        <v>2239</v>
      </c>
      <c r="K1189" s="41" t="str">
        <f>VLOOKUP(J1189,错误mRNA总表!D:J,7,FALSE)</f>
        <v>纠后区间有变化（版本不一致）与Browers相匹配，chr4:133711-136743之前有5个氨基酸不对，其他正确</v>
      </c>
      <c r="M1189" s="41" t="e">
        <f>VLOOKUP(I1189,错误mRNA总表!D:I,6,FALSE)</f>
        <v>#N/A</v>
      </c>
    </row>
    <row r="1190" spans="1:13" x14ac:dyDescent="0.2">
      <c r="A1190" s="12" t="s">
        <v>4618</v>
      </c>
      <c r="B1190" s="12" t="s">
        <v>3954</v>
      </c>
      <c r="C1190" s="12">
        <v>124358</v>
      </c>
      <c r="D1190" s="12">
        <v>137023</v>
      </c>
      <c r="E1190" s="12" t="s">
        <v>3940</v>
      </c>
      <c r="F1190" s="12">
        <v>69</v>
      </c>
      <c r="G1190" s="41" t="s">
        <v>569</v>
      </c>
      <c r="H1190" s="12" t="s">
        <v>570</v>
      </c>
      <c r="I1190" s="41" t="s">
        <v>7191</v>
      </c>
      <c r="J1190" s="41" t="s">
        <v>2239</v>
      </c>
      <c r="K1190" s="41" t="str">
        <f>VLOOKUP(J1190,错误mRNA总表!D:J,7,FALSE)</f>
        <v>纠后区间有变化（版本不一致）与Browers相匹配，chr4:133711-136743之前有5个氨基酸不对，其他正确</v>
      </c>
      <c r="M1190" s="41" t="e">
        <f>VLOOKUP(I1190,错误mRNA总表!D:I,6,FALSE)</f>
        <v>#N/A</v>
      </c>
    </row>
    <row r="1191" spans="1:13" x14ac:dyDescent="0.2">
      <c r="A1191" s="12" t="s">
        <v>4618</v>
      </c>
      <c r="B1191" s="12" t="s">
        <v>3954</v>
      </c>
      <c r="C1191" s="12">
        <v>124358</v>
      </c>
      <c r="D1191" s="12">
        <v>137020</v>
      </c>
      <c r="E1191" s="12" t="s">
        <v>3940</v>
      </c>
      <c r="F1191" s="12">
        <v>1</v>
      </c>
      <c r="G1191" s="41" t="s">
        <v>569</v>
      </c>
      <c r="H1191" s="12" t="s">
        <v>570</v>
      </c>
      <c r="I1191" s="41" t="s">
        <v>7191</v>
      </c>
      <c r="J1191" s="41" t="s">
        <v>2239</v>
      </c>
      <c r="K1191" s="41" t="str">
        <f>VLOOKUP(J1191,错误mRNA总表!D:J,7,FALSE)</f>
        <v>纠后区间有变化（版本不一致）与Browers相匹配，chr4:133711-136743之前有5个氨基酸不对，其他正确</v>
      </c>
      <c r="M1191" s="41" t="e">
        <f>VLOOKUP(I1191,错误mRNA总表!D:I,6,FALSE)</f>
        <v>#N/A</v>
      </c>
    </row>
    <row r="1192" spans="1:13" x14ac:dyDescent="0.2">
      <c r="A1192" s="12" t="s">
        <v>4619</v>
      </c>
      <c r="B1192" s="12" t="s">
        <v>3989</v>
      </c>
      <c r="C1192" s="12">
        <v>1450168</v>
      </c>
      <c r="D1192" s="12">
        <v>1450564</v>
      </c>
      <c r="E1192" s="12" t="s">
        <v>3943</v>
      </c>
      <c r="F1192" s="12">
        <v>2</v>
      </c>
      <c r="H1192" s="12" t="s">
        <v>3538</v>
      </c>
      <c r="I1192" s="41" t="s">
        <v>7192</v>
      </c>
      <c r="M1192" s="41" t="e">
        <f>VLOOKUP(I1192,错误mRNA总表!D:I,6,FALSE)</f>
        <v>#N/A</v>
      </c>
    </row>
    <row r="1193" spans="1:13" x14ac:dyDescent="0.2">
      <c r="A1193" s="12" t="s">
        <v>4619</v>
      </c>
      <c r="B1193" s="12" t="s">
        <v>3989</v>
      </c>
      <c r="C1193" s="12">
        <v>1450168</v>
      </c>
      <c r="D1193" s="12">
        <v>1450904</v>
      </c>
      <c r="E1193" s="12" t="s">
        <v>3943</v>
      </c>
      <c r="F1193" s="12">
        <v>1</v>
      </c>
      <c r="H1193" s="12" t="s">
        <v>3538</v>
      </c>
      <c r="I1193" s="41" t="s">
        <v>7192</v>
      </c>
      <c r="M1193" s="41" t="e">
        <f>VLOOKUP(I1193,错误mRNA总表!D:I,6,FALSE)</f>
        <v>#N/A</v>
      </c>
    </row>
    <row r="1194" spans="1:13" x14ac:dyDescent="0.2">
      <c r="A1194" s="12" t="s">
        <v>4620</v>
      </c>
      <c r="B1194" s="12" t="s">
        <v>4621</v>
      </c>
      <c r="C1194" s="12">
        <v>497190</v>
      </c>
      <c r="D1194" s="12">
        <v>571992</v>
      </c>
      <c r="E1194" s="12" t="s">
        <v>3940</v>
      </c>
      <c r="F1194" s="12">
        <v>6</v>
      </c>
      <c r="H1194" s="12" t="s">
        <v>5962</v>
      </c>
      <c r="I1194" s="41" t="s">
        <v>7193</v>
      </c>
      <c r="M1194" s="41" t="e">
        <f>VLOOKUP(I1194,错误mRNA总表!D:I,6,FALSE)</f>
        <v>#N/A</v>
      </c>
    </row>
    <row r="1195" spans="1:13" x14ac:dyDescent="0.2">
      <c r="A1195" s="12" t="s">
        <v>4620</v>
      </c>
      <c r="B1195" s="12" t="s">
        <v>4621</v>
      </c>
      <c r="C1195" s="12">
        <v>497190</v>
      </c>
      <c r="D1195" s="12">
        <v>583694</v>
      </c>
      <c r="E1195" s="12" t="s">
        <v>3940</v>
      </c>
      <c r="F1195" s="12">
        <v>1</v>
      </c>
      <c r="H1195" s="12" t="s">
        <v>5962</v>
      </c>
      <c r="I1195" s="41" t="s">
        <v>7193</v>
      </c>
      <c r="M1195" s="41" t="e">
        <f>VLOOKUP(I1195,错误mRNA总表!D:I,6,FALSE)</f>
        <v>#N/A</v>
      </c>
    </row>
    <row r="1196" spans="1:13" x14ac:dyDescent="0.2">
      <c r="A1196" s="12" t="s">
        <v>4620</v>
      </c>
      <c r="B1196" s="12" t="s">
        <v>4621</v>
      </c>
      <c r="C1196" s="12">
        <v>497190</v>
      </c>
      <c r="D1196" s="12">
        <v>583701</v>
      </c>
      <c r="E1196" s="12" t="s">
        <v>3943</v>
      </c>
      <c r="F1196" s="12">
        <v>1</v>
      </c>
      <c r="H1196" s="12" t="s">
        <v>5962</v>
      </c>
      <c r="I1196" s="41" t="s">
        <v>7193</v>
      </c>
      <c r="M1196" s="41" t="e">
        <f>VLOOKUP(I1196,错误mRNA总表!D:I,6,FALSE)</f>
        <v>#N/A</v>
      </c>
    </row>
    <row r="1197" spans="1:13" x14ac:dyDescent="0.2">
      <c r="A1197" s="12" t="s">
        <v>4620</v>
      </c>
      <c r="B1197" s="12" t="s">
        <v>4621</v>
      </c>
      <c r="C1197" s="12">
        <v>497190</v>
      </c>
      <c r="D1197" s="12">
        <v>583709</v>
      </c>
      <c r="E1197" s="12" t="s">
        <v>3943</v>
      </c>
      <c r="F1197" s="12">
        <v>2</v>
      </c>
      <c r="H1197" s="12" t="s">
        <v>5962</v>
      </c>
      <c r="I1197" s="41" t="s">
        <v>7193</v>
      </c>
      <c r="M1197" s="41" t="e">
        <f>VLOOKUP(I1197,错误mRNA总表!D:I,6,FALSE)</f>
        <v>#N/A</v>
      </c>
    </row>
    <row r="1198" spans="1:13" x14ac:dyDescent="0.2">
      <c r="A1198" s="12" t="s">
        <v>4622</v>
      </c>
      <c r="B1198" s="12" t="s">
        <v>4042</v>
      </c>
      <c r="C1198" s="12">
        <v>72102888</v>
      </c>
      <c r="D1198" s="12">
        <v>72105932</v>
      </c>
      <c r="E1198" s="12" t="s">
        <v>3943</v>
      </c>
      <c r="F1198" s="12">
        <v>1</v>
      </c>
      <c r="G1198" s="41" t="s">
        <v>113</v>
      </c>
      <c r="H1198" s="12" t="s">
        <v>224</v>
      </c>
      <c r="I1198" s="41" t="s">
        <v>7194</v>
      </c>
      <c r="J1198" s="41" t="s">
        <v>2185</v>
      </c>
      <c r="K1198" s="41" t="str">
        <f>VLOOKUP(J1198,错误mRNA总表!D:J,7,FALSE)</f>
        <v>纠后正确，utr略有变化，版本不一致</v>
      </c>
      <c r="M1198" s="41" t="e">
        <f>VLOOKUP(I1198,错误mRNA总表!D:I,6,FALSE)</f>
        <v>#N/A</v>
      </c>
    </row>
    <row r="1199" spans="1:13" x14ac:dyDescent="0.2">
      <c r="A1199" s="12" t="s">
        <v>4623</v>
      </c>
      <c r="B1199" s="12" t="s">
        <v>3948</v>
      </c>
      <c r="C1199" s="12">
        <v>139246316</v>
      </c>
      <c r="D1199" s="12">
        <v>139316493</v>
      </c>
      <c r="E1199" s="12" t="s">
        <v>3940</v>
      </c>
      <c r="F1199" s="12">
        <v>962</v>
      </c>
      <c r="G1199" s="41" t="s">
        <v>40</v>
      </c>
      <c r="H1199" s="12" t="s">
        <v>263</v>
      </c>
      <c r="I1199" s="41" t="s">
        <v>2251</v>
      </c>
      <c r="J1199" s="41" t="s">
        <v>2251</v>
      </c>
      <c r="K1199" s="41" t="str">
        <f>VLOOKUP(J1199,错误mRNA总表!D:J,7,FALSE)</f>
        <v>多321个氨基酸，但rs号是多350个chr7:139257673-139316492</v>
      </c>
      <c r="L1199" s="41" t="s">
        <v>8332</v>
      </c>
      <c r="M1199" s="41">
        <f>VLOOKUP(I1199,错误mRNA总表!D:I,6,FALSE)</f>
        <v>0</v>
      </c>
    </row>
    <row r="1200" spans="1:13" x14ac:dyDescent="0.2">
      <c r="A1200" s="12" t="s">
        <v>4623</v>
      </c>
      <c r="B1200" s="12" t="s">
        <v>3948</v>
      </c>
      <c r="C1200" s="12">
        <v>139246316</v>
      </c>
      <c r="D1200" s="12">
        <v>139316474</v>
      </c>
      <c r="E1200" s="12" t="s">
        <v>3940</v>
      </c>
      <c r="F1200" s="12">
        <v>1</v>
      </c>
      <c r="G1200" s="41" t="s">
        <v>40</v>
      </c>
      <c r="H1200" s="12" t="s">
        <v>263</v>
      </c>
      <c r="I1200" s="41" t="s">
        <v>2251</v>
      </c>
      <c r="J1200" s="41" t="s">
        <v>2251</v>
      </c>
      <c r="K1200" s="41" t="str">
        <f>VLOOKUP(J1200,错误mRNA总表!D:J,7,FALSE)</f>
        <v>多321个氨基酸，但rs号是多350个chr7:139257673-139316492</v>
      </c>
      <c r="L1200" s="41" t="s">
        <v>8332</v>
      </c>
      <c r="M1200" s="41">
        <f>VLOOKUP(I1200,错误mRNA总表!D:I,6,FALSE)</f>
        <v>0</v>
      </c>
    </row>
    <row r="1201" spans="1:13" x14ac:dyDescent="0.2">
      <c r="A1201" s="12" t="s">
        <v>4624</v>
      </c>
      <c r="B1201" s="12" t="s">
        <v>4055</v>
      </c>
      <c r="C1201" s="12">
        <v>128368534</v>
      </c>
      <c r="D1201" s="12">
        <v>128452982</v>
      </c>
      <c r="E1201" s="12" t="s">
        <v>3943</v>
      </c>
      <c r="F1201" s="12">
        <v>8</v>
      </c>
      <c r="G1201" s="41" t="s">
        <v>212</v>
      </c>
      <c r="H1201" s="12" t="s">
        <v>6407</v>
      </c>
      <c r="I1201" s="41" t="s">
        <v>7195</v>
      </c>
      <c r="M1201" s="41" t="e">
        <f>VLOOKUP(I1201,错误mRNA总表!D:I,6,FALSE)</f>
        <v>#N/A</v>
      </c>
    </row>
    <row r="1202" spans="1:13" x14ac:dyDescent="0.2">
      <c r="A1202" s="12" t="s">
        <v>4625</v>
      </c>
      <c r="B1202" s="12" t="s">
        <v>4018</v>
      </c>
      <c r="C1202" s="12">
        <v>34915344</v>
      </c>
      <c r="D1202" s="12">
        <v>34949497</v>
      </c>
      <c r="E1202" s="12" t="s">
        <v>3940</v>
      </c>
      <c r="F1202" s="12">
        <v>1</v>
      </c>
      <c r="G1202" s="41" t="s">
        <v>241</v>
      </c>
      <c r="H1202" s="12" t="s">
        <v>3665</v>
      </c>
      <c r="I1202" s="41" t="s">
        <v>7196</v>
      </c>
      <c r="M1202" s="41" t="e">
        <f>VLOOKUP(I1202,错误mRNA总表!D:I,6,FALSE)</f>
        <v>#N/A</v>
      </c>
    </row>
    <row r="1203" spans="1:13" x14ac:dyDescent="0.2">
      <c r="A1203" s="12" t="s">
        <v>4626</v>
      </c>
      <c r="B1203" s="12" t="s">
        <v>3966</v>
      </c>
      <c r="C1203" s="12">
        <v>27053446</v>
      </c>
      <c r="D1203" s="12">
        <v>27062700</v>
      </c>
      <c r="E1203" s="12" t="s">
        <v>3940</v>
      </c>
      <c r="F1203" s="12">
        <v>1</v>
      </c>
      <c r="G1203" s="41" t="s">
        <v>43</v>
      </c>
      <c r="H1203" s="12" t="s">
        <v>6408</v>
      </c>
      <c r="I1203" s="41" t="s">
        <v>7197</v>
      </c>
      <c r="M1203" s="41" t="e">
        <f>VLOOKUP(I1203,错误mRNA总表!D:I,6,FALSE)</f>
        <v>#N/A</v>
      </c>
    </row>
    <row r="1204" spans="1:13" x14ac:dyDescent="0.2">
      <c r="A1204" s="12" t="s">
        <v>4627</v>
      </c>
      <c r="B1204" s="12" t="s">
        <v>3957</v>
      </c>
      <c r="C1204" s="12">
        <v>27676440</v>
      </c>
      <c r="D1204" s="12">
        <v>27676545</v>
      </c>
      <c r="E1204" s="12" t="s">
        <v>3943</v>
      </c>
      <c r="F1204" s="12">
        <v>1</v>
      </c>
      <c r="G1204" s="41" t="s">
        <v>36</v>
      </c>
      <c r="H1204" s="12" t="s">
        <v>5963</v>
      </c>
      <c r="I1204" s="41" t="s">
        <v>7198</v>
      </c>
      <c r="M1204" s="41" t="e">
        <f>VLOOKUP(I1204,错误mRNA总表!D:I,6,FALSE)</f>
        <v>#N/A</v>
      </c>
    </row>
    <row r="1205" spans="1:13" x14ac:dyDescent="0.2">
      <c r="A1205" s="12" t="s">
        <v>4627</v>
      </c>
      <c r="B1205" s="12" t="s">
        <v>3957</v>
      </c>
      <c r="C1205" s="12">
        <v>27676440</v>
      </c>
      <c r="D1205" s="12">
        <v>27679010</v>
      </c>
      <c r="E1205" s="12" t="s">
        <v>3943</v>
      </c>
      <c r="F1205" s="12">
        <v>1</v>
      </c>
      <c r="G1205" s="41" t="s">
        <v>36</v>
      </c>
      <c r="H1205" s="12" t="s">
        <v>5963</v>
      </c>
      <c r="I1205" s="41" t="s">
        <v>7198</v>
      </c>
      <c r="M1205" s="41" t="e">
        <f>VLOOKUP(I1205,错误mRNA总表!D:I,6,FALSE)</f>
        <v>#N/A</v>
      </c>
    </row>
    <row r="1206" spans="1:13" x14ac:dyDescent="0.2">
      <c r="A1206" s="12" t="s">
        <v>4628</v>
      </c>
      <c r="B1206" s="12" t="s">
        <v>3957</v>
      </c>
      <c r="C1206" s="12">
        <v>46638826</v>
      </c>
      <c r="D1206" s="12">
        <v>46694313</v>
      </c>
      <c r="E1206" s="12" t="s">
        <v>3943</v>
      </c>
      <c r="F1206" s="12">
        <v>2</v>
      </c>
      <c r="G1206" s="41" t="s">
        <v>36</v>
      </c>
      <c r="H1206" s="12" t="s">
        <v>5964</v>
      </c>
      <c r="I1206" s="41" t="s">
        <v>7199</v>
      </c>
      <c r="M1206" s="41" t="e">
        <f>VLOOKUP(I1206,错误mRNA总表!D:I,6,FALSE)</f>
        <v>#N/A</v>
      </c>
    </row>
    <row r="1207" spans="1:13" x14ac:dyDescent="0.2">
      <c r="A1207" s="12" t="s">
        <v>4629</v>
      </c>
      <c r="B1207" s="12" t="s">
        <v>3957</v>
      </c>
      <c r="C1207" s="12">
        <v>118895061</v>
      </c>
      <c r="D1207" s="12">
        <v>118898435</v>
      </c>
      <c r="E1207" s="12" t="s">
        <v>3943</v>
      </c>
      <c r="F1207" s="12">
        <v>1</v>
      </c>
      <c r="G1207" s="41" t="s">
        <v>36</v>
      </c>
      <c r="H1207" s="12" t="s">
        <v>154</v>
      </c>
      <c r="I1207" s="41" t="s">
        <v>2140</v>
      </c>
      <c r="J1207" s="41" t="s">
        <v>2140</v>
      </c>
      <c r="K1207" s="41" t="str">
        <f>VLOOKUP(J1207,错误mRNA总表!D:J,7,FALSE)</f>
        <v>纠后正确</v>
      </c>
      <c r="L1207" s="41" t="s">
        <v>3763</v>
      </c>
      <c r="M1207" s="41">
        <f>VLOOKUP(I1207,错误mRNA总表!D:I,6,FALSE)</f>
        <v>0</v>
      </c>
    </row>
    <row r="1208" spans="1:13" x14ac:dyDescent="0.2">
      <c r="A1208" s="12" t="s">
        <v>4013</v>
      </c>
      <c r="B1208" s="12" t="s">
        <v>3989</v>
      </c>
      <c r="C1208" s="12">
        <v>2937602</v>
      </c>
      <c r="D1208" s="12">
        <v>2937698</v>
      </c>
      <c r="E1208" s="12" t="s">
        <v>3943</v>
      </c>
      <c r="F1208" s="12">
        <v>4</v>
      </c>
      <c r="H1208" s="12" t="s">
        <v>3560</v>
      </c>
      <c r="I1208" s="41" t="s">
        <v>7200</v>
      </c>
      <c r="M1208" s="41" t="e">
        <f>VLOOKUP(I1208,错误mRNA总表!D:I,6,FALSE)</f>
        <v>#N/A</v>
      </c>
    </row>
    <row r="1209" spans="1:13" x14ac:dyDescent="0.2">
      <c r="A1209" s="12" t="s">
        <v>4464</v>
      </c>
      <c r="B1209" s="12" t="s">
        <v>3994</v>
      </c>
      <c r="C1209" s="12">
        <v>1603265</v>
      </c>
      <c r="D1209" s="12">
        <v>1603906</v>
      </c>
      <c r="E1209" s="12" t="s">
        <v>3940</v>
      </c>
      <c r="F1209" s="12">
        <v>4</v>
      </c>
      <c r="H1209" s="12" t="s">
        <v>6399</v>
      </c>
      <c r="I1209" s="41" t="s">
        <v>7201</v>
      </c>
      <c r="M1209" s="41" t="e">
        <f>VLOOKUP(I1209,错误mRNA总表!D:I,6,FALSE)</f>
        <v>#N/A</v>
      </c>
    </row>
    <row r="1210" spans="1:13" x14ac:dyDescent="0.2">
      <c r="A1210" s="12" t="s">
        <v>4464</v>
      </c>
      <c r="B1210" s="12" t="s">
        <v>3994</v>
      </c>
      <c r="C1210" s="12">
        <v>1603265</v>
      </c>
      <c r="D1210" s="12">
        <v>1607391</v>
      </c>
      <c r="E1210" s="12" t="s">
        <v>3943</v>
      </c>
      <c r="F1210" s="12">
        <v>4</v>
      </c>
      <c r="H1210" s="12" t="s">
        <v>6399</v>
      </c>
      <c r="I1210" s="41" t="s">
        <v>7201</v>
      </c>
      <c r="M1210" s="41" t="e">
        <f>VLOOKUP(I1210,错误mRNA总表!D:I,6,FALSE)</f>
        <v>#N/A</v>
      </c>
    </row>
    <row r="1211" spans="1:13" x14ac:dyDescent="0.2">
      <c r="A1211" s="12" t="s">
        <v>4464</v>
      </c>
      <c r="B1211" s="12" t="s">
        <v>3994</v>
      </c>
      <c r="C1211" s="12">
        <v>1603265</v>
      </c>
      <c r="D1211" s="12">
        <v>1608185</v>
      </c>
      <c r="E1211" s="12" t="s">
        <v>3940</v>
      </c>
      <c r="F1211" s="12">
        <v>1</v>
      </c>
      <c r="H1211" s="12" t="s">
        <v>6399</v>
      </c>
      <c r="I1211" s="41" t="s">
        <v>7201</v>
      </c>
      <c r="M1211" s="41" t="e">
        <f>VLOOKUP(I1211,错误mRNA总表!D:I,6,FALSE)</f>
        <v>#N/A</v>
      </c>
    </row>
    <row r="1212" spans="1:13" x14ac:dyDescent="0.2">
      <c r="A1212" s="12" t="s">
        <v>4000</v>
      </c>
      <c r="B1212" s="12" t="s">
        <v>3964</v>
      </c>
      <c r="C1212" s="12">
        <v>2333438</v>
      </c>
      <c r="D1212" s="12">
        <v>2336306</v>
      </c>
      <c r="E1212" s="12" t="s">
        <v>3940</v>
      </c>
      <c r="F1212" s="12">
        <v>90</v>
      </c>
      <c r="H1212" s="12" t="s">
        <v>5780</v>
      </c>
      <c r="I1212" s="41" t="s">
        <v>7202</v>
      </c>
      <c r="M1212" s="41" t="e">
        <f>VLOOKUP(I1212,错误mRNA总表!D:I,6,FALSE)</f>
        <v>#N/A</v>
      </c>
    </row>
    <row r="1213" spans="1:13" x14ac:dyDescent="0.2">
      <c r="A1213" s="12" t="s">
        <v>4000</v>
      </c>
      <c r="B1213" s="12" t="s">
        <v>3964</v>
      </c>
      <c r="C1213" s="12">
        <v>2333438</v>
      </c>
      <c r="D1213" s="12">
        <v>2337139</v>
      </c>
      <c r="E1213" s="12" t="s">
        <v>3940</v>
      </c>
      <c r="F1213" s="12">
        <v>90</v>
      </c>
      <c r="H1213" s="12" t="s">
        <v>5780</v>
      </c>
      <c r="I1213" s="41" t="s">
        <v>7202</v>
      </c>
      <c r="M1213" s="41" t="e">
        <f>VLOOKUP(I1213,错误mRNA总表!D:I,6,FALSE)</f>
        <v>#N/A</v>
      </c>
    </row>
    <row r="1214" spans="1:13" x14ac:dyDescent="0.2">
      <c r="A1214" s="12" t="s">
        <v>4630</v>
      </c>
      <c r="B1214" s="12" t="s">
        <v>3939</v>
      </c>
      <c r="C1214" s="12">
        <v>104463611</v>
      </c>
      <c r="D1214" s="12">
        <v>104464276</v>
      </c>
      <c r="E1214" s="12" t="s">
        <v>3943</v>
      </c>
      <c r="F1214" s="12">
        <v>1</v>
      </c>
      <c r="G1214" s="41" t="s">
        <v>73</v>
      </c>
      <c r="H1214" s="12" t="s">
        <v>166</v>
      </c>
      <c r="I1214" s="41" t="s">
        <v>2148</v>
      </c>
      <c r="J1214" s="41" t="s">
        <v>2148</v>
      </c>
      <c r="K1214" s="41" t="str">
        <f>VLOOKUP(J1214,错误mRNA总表!D:J,7,FALSE)</f>
        <v>纠后正确</v>
      </c>
      <c r="L1214" s="41" t="s">
        <v>3763</v>
      </c>
      <c r="M1214" s="41">
        <f>VLOOKUP(I1214,错误mRNA总表!D:I,6,FALSE)</f>
        <v>0</v>
      </c>
    </row>
    <row r="1215" spans="1:13" x14ac:dyDescent="0.2">
      <c r="A1215" s="12" t="s">
        <v>4630</v>
      </c>
      <c r="B1215" s="12" t="s">
        <v>3939</v>
      </c>
      <c r="C1215" s="12">
        <v>104463611</v>
      </c>
      <c r="D1215" s="12">
        <v>104464281</v>
      </c>
      <c r="E1215" s="12" t="s">
        <v>3943</v>
      </c>
      <c r="F1215" s="12">
        <v>1</v>
      </c>
      <c r="G1215" s="41" t="s">
        <v>73</v>
      </c>
      <c r="H1215" s="12" t="s">
        <v>166</v>
      </c>
      <c r="I1215" s="41" t="s">
        <v>2148</v>
      </c>
      <c r="J1215" s="41" t="s">
        <v>2148</v>
      </c>
      <c r="K1215" s="41" t="str">
        <f>VLOOKUP(J1215,错误mRNA总表!D:J,7,FALSE)</f>
        <v>纠后正确</v>
      </c>
      <c r="L1215" s="41" t="s">
        <v>3763</v>
      </c>
      <c r="M1215" s="41">
        <f>VLOOKUP(I1215,错误mRNA总表!D:I,6,FALSE)</f>
        <v>0</v>
      </c>
    </row>
    <row r="1216" spans="1:13" x14ac:dyDescent="0.2">
      <c r="A1216" s="12" t="s">
        <v>4631</v>
      </c>
      <c r="B1216" s="12" t="s">
        <v>4098</v>
      </c>
      <c r="C1216" s="12">
        <v>340900</v>
      </c>
      <c r="D1216" s="12">
        <v>340916</v>
      </c>
      <c r="E1216" s="12" t="s">
        <v>3940</v>
      </c>
      <c r="F1216" s="12">
        <v>245</v>
      </c>
      <c r="H1216" s="12" t="s">
        <v>3473</v>
      </c>
      <c r="I1216" s="41" t="s">
        <v>7203</v>
      </c>
      <c r="M1216" s="41" t="e">
        <f>VLOOKUP(I1216,错误mRNA总表!D:I,6,FALSE)</f>
        <v>#N/A</v>
      </c>
    </row>
    <row r="1217" spans="1:13" x14ac:dyDescent="0.2">
      <c r="A1217" s="12" t="s">
        <v>4631</v>
      </c>
      <c r="B1217" s="12" t="s">
        <v>4098</v>
      </c>
      <c r="C1217" s="12">
        <v>340900</v>
      </c>
      <c r="D1217" s="12">
        <v>344479</v>
      </c>
      <c r="E1217" s="12" t="s">
        <v>3940</v>
      </c>
      <c r="F1217" s="12">
        <v>481</v>
      </c>
      <c r="H1217" s="12" t="s">
        <v>3473</v>
      </c>
      <c r="I1217" s="41" t="s">
        <v>7203</v>
      </c>
      <c r="M1217" s="41" t="e">
        <f>VLOOKUP(I1217,错误mRNA总表!D:I,6,FALSE)</f>
        <v>#N/A</v>
      </c>
    </row>
    <row r="1218" spans="1:13" x14ac:dyDescent="0.2">
      <c r="A1218" s="12" t="s">
        <v>4631</v>
      </c>
      <c r="B1218" s="12" t="s">
        <v>4098</v>
      </c>
      <c r="C1218" s="12">
        <v>340900</v>
      </c>
      <c r="D1218" s="12">
        <v>356470</v>
      </c>
      <c r="E1218" s="12" t="s">
        <v>3940</v>
      </c>
      <c r="F1218" s="12">
        <v>455</v>
      </c>
      <c r="H1218" s="12" t="s">
        <v>3473</v>
      </c>
      <c r="I1218" s="41" t="s">
        <v>7203</v>
      </c>
      <c r="M1218" s="41" t="e">
        <f>VLOOKUP(I1218,错误mRNA总表!D:I,6,FALSE)</f>
        <v>#N/A</v>
      </c>
    </row>
    <row r="1219" spans="1:13" x14ac:dyDescent="0.2">
      <c r="A1219" s="12" t="s">
        <v>4180</v>
      </c>
      <c r="B1219" s="12" t="s">
        <v>3989</v>
      </c>
      <c r="C1219" s="12">
        <v>1450168</v>
      </c>
      <c r="D1219" s="12">
        <v>1450564</v>
      </c>
      <c r="E1219" s="12" t="s">
        <v>3943</v>
      </c>
      <c r="F1219" s="12">
        <v>2</v>
      </c>
      <c r="H1219" s="12" t="s">
        <v>3539</v>
      </c>
      <c r="I1219" s="41" t="s">
        <v>7204</v>
      </c>
      <c r="M1219" s="41" t="e">
        <f>VLOOKUP(I1219,错误mRNA总表!D:I,6,FALSE)</f>
        <v>#N/A</v>
      </c>
    </row>
    <row r="1220" spans="1:13" x14ac:dyDescent="0.2">
      <c r="A1220" s="12" t="s">
        <v>4180</v>
      </c>
      <c r="B1220" s="12" t="s">
        <v>3989</v>
      </c>
      <c r="C1220" s="12">
        <v>1450168</v>
      </c>
      <c r="D1220" s="12">
        <v>1450904</v>
      </c>
      <c r="E1220" s="12" t="s">
        <v>3943</v>
      </c>
      <c r="F1220" s="12">
        <v>1</v>
      </c>
      <c r="H1220" s="12" t="s">
        <v>3539</v>
      </c>
      <c r="I1220" s="41" t="s">
        <v>7204</v>
      </c>
      <c r="M1220" s="41" t="e">
        <f>VLOOKUP(I1220,错误mRNA总表!D:I,6,FALSE)</f>
        <v>#N/A</v>
      </c>
    </row>
    <row r="1221" spans="1:13" x14ac:dyDescent="0.2">
      <c r="A1221" s="12" t="s">
        <v>4632</v>
      </c>
      <c r="B1221" s="12" t="s">
        <v>3986</v>
      </c>
      <c r="C1221" s="12">
        <v>4903092</v>
      </c>
      <c r="D1221" s="12">
        <v>4954680</v>
      </c>
      <c r="E1221" s="12" t="s">
        <v>3940</v>
      </c>
      <c r="F1221" s="12">
        <v>1</v>
      </c>
      <c r="G1221" s="41" t="s">
        <v>50</v>
      </c>
      <c r="H1221" s="12" t="s">
        <v>5965</v>
      </c>
      <c r="I1221" s="41" t="s">
        <v>7205</v>
      </c>
      <c r="M1221" s="41" t="e">
        <f>VLOOKUP(I1221,错误mRNA总表!D:I,6,FALSE)</f>
        <v>#N/A</v>
      </c>
    </row>
    <row r="1222" spans="1:13" x14ac:dyDescent="0.2">
      <c r="A1222" s="12" t="s">
        <v>4633</v>
      </c>
      <c r="B1222" s="12" t="s">
        <v>3946</v>
      </c>
      <c r="C1222" s="12">
        <v>61627796</v>
      </c>
      <c r="D1222" s="12">
        <v>61660894</v>
      </c>
      <c r="E1222" s="12" t="s">
        <v>3943</v>
      </c>
      <c r="F1222" s="12">
        <v>1</v>
      </c>
      <c r="G1222" s="41" t="s">
        <v>47</v>
      </c>
      <c r="H1222" s="12" t="s">
        <v>5966</v>
      </c>
      <c r="I1222" s="41" t="s">
        <v>7206</v>
      </c>
      <c r="M1222" s="41" t="e">
        <f>VLOOKUP(I1222,错误mRNA总表!D:I,6,FALSE)</f>
        <v>#N/A</v>
      </c>
    </row>
    <row r="1223" spans="1:13" x14ac:dyDescent="0.2">
      <c r="A1223" s="12" t="s">
        <v>4634</v>
      </c>
      <c r="B1223" s="12" t="s">
        <v>4098</v>
      </c>
      <c r="C1223" s="12">
        <v>213800</v>
      </c>
      <c r="D1223" s="12">
        <v>213802</v>
      </c>
      <c r="E1223" s="12" t="s">
        <v>3943</v>
      </c>
      <c r="F1223" s="12">
        <v>1</v>
      </c>
      <c r="H1223" s="12" t="s">
        <v>5967</v>
      </c>
      <c r="I1223" s="41" t="s">
        <v>7207</v>
      </c>
      <c r="M1223" s="41" t="e">
        <f>VLOOKUP(I1223,错误mRNA总表!D:I,6,FALSE)</f>
        <v>#N/A</v>
      </c>
    </row>
    <row r="1224" spans="1:13" x14ac:dyDescent="0.2">
      <c r="A1224" s="12" t="s">
        <v>4635</v>
      </c>
      <c r="B1224" s="12" t="s">
        <v>3986</v>
      </c>
      <c r="C1224" s="12">
        <v>4472255</v>
      </c>
      <c r="D1224" s="12">
        <v>4499664</v>
      </c>
      <c r="E1224" s="12" t="s">
        <v>3943</v>
      </c>
      <c r="F1224" s="12">
        <v>15</v>
      </c>
      <c r="G1224" s="41" t="s">
        <v>50</v>
      </c>
      <c r="H1224" s="12" t="s">
        <v>1227</v>
      </c>
      <c r="I1224" s="41" t="s">
        <v>2283</v>
      </c>
      <c r="J1224" s="41" t="s">
        <v>2283</v>
      </c>
      <c r="K1224" s="41" t="str">
        <f>VLOOKUP(J1224,错误mRNA总表!D:J,7,FALSE)</f>
        <v>纠后正确，且氨基酸少5个chr19：4499665-4502022</v>
      </c>
      <c r="L1224" s="41" t="s">
        <v>8344</v>
      </c>
      <c r="M1224" s="41">
        <f>VLOOKUP(I1224,错误mRNA总表!D:I,6,FALSE)</f>
        <v>0</v>
      </c>
    </row>
    <row r="1225" spans="1:13" x14ac:dyDescent="0.2">
      <c r="A1225" s="12" t="s">
        <v>4381</v>
      </c>
      <c r="B1225" s="12" t="s">
        <v>3957</v>
      </c>
      <c r="C1225" s="12">
        <v>118938493</v>
      </c>
      <c r="D1225" s="12">
        <v>118939941</v>
      </c>
      <c r="E1225" s="12" t="s">
        <v>3940</v>
      </c>
      <c r="F1225" s="12">
        <v>1</v>
      </c>
      <c r="G1225" s="41" t="s">
        <v>36</v>
      </c>
      <c r="H1225" s="12" t="s">
        <v>226</v>
      </c>
      <c r="I1225" s="41" t="s">
        <v>2205</v>
      </c>
      <c r="J1225" s="41" t="s">
        <v>2205</v>
      </c>
      <c r="K1225" s="41" t="str">
        <f>VLOOKUP(J1225,错误mRNA总表!D:J,7,FALSE)</f>
        <v>纠后正确</v>
      </c>
      <c r="L1225" s="41" t="s">
        <v>3763</v>
      </c>
      <c r="M1225" s="41">
        <f>VLOOKUP(I1225,错误mRNA总表!D:I,6,FALSE)</f>
        <v>0</v>
      </c>
    </row>
    <row r="1226" spans="1:13" x14ac:dyDescent="0.2">
      <c r="A1226" s="12" t="s">
        <v>4636</v>
      </c>
      <c r="B1226" s="12" t="s">
        <v>3957</v>
      </c>
      <c r="C1226" s="12">
        <v>67776017</v>
      </c>
      <c r="D1226" s="12">
        <v>67786065</v>
      </c>
      <c r="E1226" s="12" t="s">
        <v>3940</v>
      </c>
      <c r="F1226" s="12">
        <v>1</v>
      </c>
      <c r="G1226" s="41" t="s">
        <v>36</v>
      </c>
      <c r="H1226" s="12" t="s">
        <v>958</v>
      </c>
      <c r="I1226" s="41" t="s">
        <v>7208</v>
      </c>
      <c r="J1226" s="41" t="s">
        <v>2267</v>
      </c>
      <c r="K1226" s="41" t="str">
        <f>VLOOKUP(J1226,错误mRNA总表!D:J,7,FALSE)</f>
        <v>纠后正确</v>
      </c>
      <c r="M1226" s="41" t="e">
        <f>VLOOKUP(I1226,错误mRNA总表!D:I,6,FALSE)</f>
        <v>#N/A</v>
      </c>
    </row>
    <row r="1227" spans="1:13" x14ac:dyDescent="0.2">
      <c r="A1227" s="12" t="s">
        <v>4636</v>
      </c>
      <c r="B1227" s="12" t="s">
        <v>3957</v>
      </c>
      <c r="C1227" s="12">
        <v>67776017</v>
      </c>
      <c r="D1227" s="12">
        <v>67789294</v>
      </c>
      <c r="E1227" s="12" t="s">
        <v>3940</v>
      </c>
      <c r="F1227" s="12">
        <v>1</v>
      </c>
      <c r="G1227" s="41" t="s">
        <v>36</v>
      </c>
      <c r="H1227" s="12" t="s">
        <v>958</v>
      </c>
      <c r="I1227" s="41" t="s">
        <v>7208</v>
      </c>
      <c r="J1227" s="41" t="s">
        <v>2267</v>
      </c>
      <c r="K1227" s="41" t="str">
        <f>VLOOKUP(J1227,错误mRNA总表!D:J,7,FALSE)</f>
        <v>纠后正确</v>
      </c>
      <c r="M1227" s="41" t="e">
        <f>VLOOKUP(I1227,错误mRNA总表!D:I,6,FALSE)</f>
        <v>#N/A</v>
      </c>
    </row>
    <row r="1228" spans="1:13" x14ac:dyDescent="0.2">
      <c r="A1228" s="12" t="s">
        <v>4636</v>
      </c>
      <c r="B1228" s="12" t="s">
        <v>3957</v>
      </c>
      <c r="C1228" s="12">
        <v>67776017</v>
      </c>
      <c r="D1228" s="12">
        <v>67795380</v>
      </c>
      <c r="E1228" s="12" t="s">
        <v>3940</v>
      </c>
      <c r="F1228" s="12">
        <v>1</v>
      </c>
      <c r="G1228" s="41" t="s">
        <v>36</v>
      </c>
      <c r="H1228" s="12" t="s">
        <v>958</v>
      </c>
      <c r="I1228" s="41" t="s">
        <v>7208</v>
      </c>
      <c r="J1228" s="41" t="s">
        <v>2267</v>
      </c>
      <c r="K1228" s="41" t="str">
        <f>VLOOKUP(J1228,错误mRNA总表!D:J,7,FALSE)</f>
        <v>纠后正确</v>
      </c>
      <c r="M1228" s="41" t="e">
        <f>VLOOKUP(I1228,错误mRNA总表!D:I,6,FALSE)</f>
        <v>#N/A</v>
      </c>
    </row>
    <row r="1229" spans="1:13" x14ac:dyDescent="0.2">
      <c r="A1229" s="12" t="s">
        <v>4637</v>
      </c>
      <c r="B1229" s="12" t="s">
        <v>3957</v>
      </c>
      <c r="C1229" s="12">
        <v>46638826</v>
      </c>
      <c r="D1229" s="12">
        <v>46694313</v>
      </c>
      <c r="E1229" s="12" t="s">
        <v>3943</v>
      </c>
      <c r="F1229" s="12">
        <v>2</v>
      </c>
      <c r="G1229" s="41" t="s">
        <v>36</v>
      </c>
      <c r="H1229" s="12" t="s">
        <v>5968</v>
      </c>
      <c r="I1229" s="41" t="s">
        <v>7209</v>
      </c>
      <c r="M1229" s="41" t="e">
        <f>VLOOKUP(I1229,错误mRNA总表!D:I,6,FALSE)</f>
        <v>#N/A</v>
      </c>
    </row>
    <row r="1230" spans="1:13" x14ac:dyDescent="0.2">
      <c r="A1230" s="12" t="s">
        <v>4638</v>
      </c>
      <c r="B1230" s="12" t="s">
        <v>3957</v>
      </c>
      <c r="C1230" s="12">
        <v>71846756</v>
      </c>
      <c r="D1230" s="12">
        <v>71850157</v>
      </c>
      <c r="E1230" s="12" t="s">
        <v>3940</v>
      </c>
      <c r="F1230" s="12">
        <v>2</v>
      </c>
      <c r="G1230" s="41" t="s">
        <v>36</v>
      </c>
      <c r="H1230" s="12" t="s">
        <v>5969</v>
      </c>
      <c r="I1230" s="41" t="s">
        <v>7210</v>
      </c>
      <c r="M1230" s="41" t="e">
        <f>VLOOKUP(I1230,错误mRNA总表!D:I,6,FALSE)</f>
        <v>#N/A</v>
      </c>
    </row>
    <row r="1231" spans="1:13" x14ac:dyDescent="0.2">
      <c r="A1231" s="12" t="s">
        <v>4639</v>
      </c>
      <c r="B1231" s="12" t="s">
        <v>3946</v>
      </c>
      <c r="C1231" s="12">
        <v>6926369</v>
      </c>
      <c r="D1231" s="12">
        <v>6928049</v>
      </c>
      <c r="E1231" s="12" t="s">
        <v>3940</v>
      </c>
      <c r="F1231" s="12">
        <v>3</v>
      </c>
      <c r="G1231" s="41" t="s">
        <v>47</v>
      </c>
      <c r="H1231" s="12" t="s">
        <v>1155</v>
      </c>
      <c r="I1231" s="41" t="s">
        <v>2277</v>
      </c>
      <c r="J1231" s="41" t="s">
        <v>2277</v>
      </c>
      <c r="K1231" s="41" t="str">
        <f>VLOOKUP(J1231,错误mRNA总表!D:J,7,FALSE)</f>
        <v>纠后正确，加1个氨基酸chr17:6928051-6930938</v>
      </c>
      <c r="L1231" s="41" t="s">
        <v>8345</v>
      </c>
      <c r="M1231" s="41">
        <f>VLOOKUP(I1231,错误mRNA总表!D:I,6,FALSE)</f>
        <v>0</v>
      </c>
    </row>
    <row r="1232" spans="1:13" x14ac:dyDescent="0.2">
      <c r="A1232" s="12" t="s">
        <v>4640</v>
      </c>
      <c r="B1232" s="12" t="s">
        <v>3957</v>
      </c>
      <c r="C1232" s="12">
        <v>27676440</v>
      </c>
      <c r="D1232" s="12">
        <v>27676545</v>
      </c>
      <c r="E1232" s="12" t="s">
        <v>3943</v>
      </c>
      <c r="F1232" s="12">
        <v>1</v>
      </c>
      <c r="G1232" s="41" t="s">
        <v>36</v>
      </c>
      <c r="H1232" s="12" t="s">
        <v>5970</v>
      </c>
      <c r="I1232" s="41" t="s">
        <v>7211</v>
      </c>
      <c r="M1232" s="41" t="e">
        <f>VLOOKUP(I1232,错误mRNA总表!D:I,6,FALSE)</f>
        <v>#N/A</v>
      </c>
    </row>
    <row r="1233" spans="1:13" x14ac:dyDescent="0.2">
      <c r="A1233" s="12" t="s">
        <v>4640</v>
      </c>
      <c r="B1233" s="12" t="s">
        <v>3957</v>
      </c>
      <c r="C1233" s="12">
        <v>27676440</v>
      </c>
      <c r="D1233" s="12">
        <v>27679010</v>
      </c>
      <c r="E1233" s="12" t="s">
        <v>3943</v>
      </c>
      <c r="F1233" s="12">
        <v>1</v>
      </c>
      <c r="G1233" s="41" t="s">
        <v>36</v>
      </c>
      <c r="H1233" s="12" t="s">
        <v>5970</v>
      </c>
      <c r="I1233" s="41" t="s">
        <v>7211</v>
      </c>
      <c r="M1233" s="41" t="e">
        <f>VLOOKUP(I1233,错误mRNA总表!D:I,6,FALSE)</f>
        <v>#N/A</v>
      </c>
    </row>
    <row r="1234" spans="1:13" x14ac:dyDescent="0.2">
      <c r="A1234" s="12" t="s">
        <v>4641</v>
      </c>
      <c r="B1234" s="12" t="s">
        <v>3946</v>
      </c>
      <c r="C1234" s="12">
        <v>5185558</v>
      </c>
      <c r="D1234" s="12">
        <v>5286886</v>
      </c>
      <c r="E1234" s="12" t="s">
        <v>3943</v>
      </c>
      <c r="F1234" s="12">
        <v>25</v>
      </c>
      <c r="G1234" s="41" t="s">
        <v>47</v>
      </c>
      <c r="H1234" s="12" t="s">
        <v>5971</v>
      </c>
      <c r="I1234" s="41" t="s">
        <v>7212</v>
      </c>
      <c r="M1234" s="41" t="e">
        <f>VLOOKUP(I1234,错误mRNA总表!D:I,6,FALSE)</f>
        <v>#N/A</v>
      </c>
    </row>
    <row r="1235" spans="1:13" x14ac:dyDescent="0.2">
      <c r="A1235" s="12" t="s">
        <v>4642</v>
      </c>
      <c r="B1235" s="12" t="s">
        <v>3986</v>
      </c>
      <c r="C1235" s="12">
        <v>16244838</v>
      </c>
      <c r="D1235" s="12">
        <v>16268207</v>
      </c>
      <c r="E1235" s="12" t="s">
        <v>3943</v>
      </c>
      <c r="F1235" s="12">
        <v>1</v>
      </c>
      <c r="G1235" s="41" t="s">
        <v>50</v>
      </c>
      <c r="H1235" s="12" t="s">
        <v>5972</v>
      </c>
      <c r="I1235" s="41" t="s">
        <v>7213</v>
      </c>
      <c r="M1235" s="41" t="e">
        <f>VLOOKUP(I1235,错误mRNA总表!D:I,6,FALSE)</f>
        <v>#N/A</v>
      </c>
    </row>
    <row r="1236" spans="1:13" x14ac:dyDescent="0.2">
      <c r="A1236" s="12" t="s">
        <v>4643</v>
      </c>
      <c r="B1236" s="12" t="s">
        <v>4052</v>
      </c>
      <c r="C1236" s="12">
        <v>64571756</v>
      </c>
      <c r="D1236" s="12">
        <v>64572037</v>
      </c>
      <c r="E1236" s="12" t="s">
        <v>3943</v>
      </c>
      <c r="F1236" s="12">
        <v>1</v>
      </c>
      <c r="G1236" s="41" t="s">
        <v>93</v>
      </c>
      <c r="H1236" s="12" t="s">
        <v>5973</v>
      </c>
      <c r="I1236" s="41" t="s">
        <v>7214</v>
      </c>
      <c r="M1236" s="41" t="e">
        <f>VLOOKUP(I1236,错误mRNA总表!D:I,6,FALSE)</f>
        <v>#N/A</v>
      </c>
    </row>
    <row r="1237" spans="1:13" x14ac:dyDescent="0.2">
      <c r="A1237" s="12" t="s">
        <v>4140</v>
      </c>
      <c r="B1237" s="12" t="s">
        <v>3984</v>
      </c>
      <c r="C1237" s="12">
        <v>2922643</v>
      </c>
      <c r="D1237" s="12">
        <v>2922659</v>
      </c>
      <c r="E1237" s="12" t="s">
        <v>3943</v>
      </c>
      <c r="F1237" s="12">
        <v>5</v>
      </c>
      <c r="H1237" s="12" t="s">
        <v>3568</v>
      </c>
      <c r="I1237" s="41" t="s">
        <v>7215</v>
      </c>
      <c r="M1237" s="41" t="e">
        <f>VLOOKUP(I1237,错误mRNA总表!D:I,6,FALSE)</f>
        <v>#N/A</v>
      </c>
    </row>
    <row r="1238" spans="1:13" x14ac:dyDescent="0.2">
      <c r="A1238" s="12" t="s">
        <v>4140</v>
      </c>
      <c r="B1238" s="12" t="s">
        <v>3984</v>
      </c>
      <c r="C1238" s="12">
        <v>2922643</v>
      </c>
      <c r="D1238" s="12">
        <v>2923119</v>
      </c>
      <c r="E1238" s="12" t="s">
        <v>3943</v>
      </c>
      <c r="F1238" s="12">
        <v>1</v>
      </c>
      <c r="H1238" s="12" t="s">
        <v>3568</v>
      </c>
      <c r="I1238" s="41" t="s">
        <v>7215</v>
      </c>
      <c r="M1238" s="41" t="e">
        <f>VLOOKUP(I1238,错误mRNA总表!D:I,6,FALSE)</f>
        <v>#N/A</v>
      </c>
    </row>
    <row r="1239" spans="1:13" x14ac:dyDescent="0.2">
      <c r="A1239" s="12" t="s">
        <v>4140</v>
      </c>
      <c r="B1239" s="12" t="s">
        <v>3984</v>
      </c>
      <c r="C1239" s="12">
        <v>2922643</v>
      </c>
      <c r="D1239" s="12">
        <v>2923239</v>
      </c>
      <c r="E1239" s="12" t="s">
        <v>3940</v>
      </c>
      <c r="F1239" s="12">
        <v>1</v>
      </c>
      <c r="H1239" s="12" t="s">
        <v>3568</v>
      </c>
      <c r="I1239" s="41" t="s">
        <v>7215</v>
      </c>
      <c r="M1239" s="41" t="e">
        <f>VLOOKUP(I1239,错误mRNA总表!D:I,6,FALSE)</f>
        <v>#N/A</v>
      </c>
    </row>
    <row r="1240" spans="1:13" x14ac:dyDescent="0.2">
      <c r="A1240" s="12" t="s">
        <v>4644</v>
      </c>
      <c r="B1240" s="12" t="s">
        <v>3957</v>
      </c>
      <c r="C1240" s="12">
        <v>46638826</v>
      </c>
      <c r="D1240" s="12">
        <v>46694313</v>
      </c>
      <c r="E1240" s="12" t="s">
        <v>3943</v>
      </c>
      <c r="F1240" s="12">
        <v>2</v>
      </c>
      <c r="G1240" s="41" t="s">
        <v>36</v>
      </c>
      <c r="H1240" s="12" t="s">
        <v>5974</v>
      </c>
      <c r="I1240" s="41" t="s">
        <v>7216</v>
      </c>
      <c r="M1240" s="41" t="e">
        <f>VLOOKUP(I1240,错误mRNA总表!D:I,6,FALSE)</f>
        <v>#N/A</v>
      </c>
    </row>
    <row r="1241" spans="1:13" x14ac:dyDescent="0.2">
      <c r="A1241" s="12" t="s">
        <v>4645</v>
      </c>
      <c r="B1241" s="12" t="s">
        <v>3957</v>
      </c>
      <c r="C1241" s="12">
        <v>94800041</v>
      </c>
      <c r="D1241" s="12">
        <v>94800903</v>
      </c>
      <c r="E1241" s="12" t="s">
        <v>3940</v>
      </c>
      <c r="F1241" s="12">
        <v>1</v>
      </c>
      <c r="G1241" s="41" t="s">
        <v>36</v>
      </c>
      <c r="H1241" s="12" t="s">
        <v>230</v>
      </c>
      <c r="I1241" s="41" t="s">
        <v>7217</v>
      </c>
      <c r="J1241" s="41" t="s">
        <v>2199</v>
      </c>
      <c r="K1241" s="41" t="str">
        <f>VLOOKUP(J1241,错误mRNA总表!D:J,7,FALSE)</f>
        <v>纠后正确，utr略有变化，版本不一致</v>
      </c>
      <c r="M1241" s="41" t="e">
        <f>VLOOKUP(I1241,错误mRNA总表!D:I,6,FALSE)</f>
        <v>#N/A</v>
      </c>
    </row>
    <row r="1242" spans="1:13" x14ac:dyDescent="0.2">
      <c r="A1242" s="12" t="s">
        <v>4645</v>
      </c>
      <c r="B1242" s="12" t="s">
        <v>3957</v>
      </c>
      <c r="C1242" s="12">
        <v>94800041</v>
      </c>
      <c r="D1242" s="12">
        <v>94801634</v>
      </c>
      <c r="E1242" s="12" t="s">
        <v>3940</v>
      </c>
      <c r="F1242" s="12">
        <v>1</v>
      </c>
      <c r="G1242" s="41" t="s">
        <v>36</v>
      </c>
      <c r="H1242" s="12" t="s">
        <v>230</v>
      </c>
      <c r="I1242" s="41" t="s">
        <v>7217</v>
      </c>
      <c r="J1242" s="41" t="s">
        <v>2199</v>
      </c>
      <c r="K1242" s="41" t="str">
        <f>VLOOKUP(J1242,错误mRNA总表!D:J,7,FALSE)</f>
        <v>纠后正确，utr略有变化，版本不一致</v>
      </c>
      <c r="M1242" s="41" t="e">
        <f>VLOOKUP(I1242,错误mRNA总表!D:I,6,FALSE)</f>
        <v>#N/A</v>
      </c>
    </row>
    <row r="1243" spans="1:13" x14ac:dyDescent="0.2">
      <c r="A1243" s="12" t="s">
        <v>4646</v>
      </c>
      <c r="B1243" s="12" t="s">
        <v>3978</v>
      </c>
      <c r="C1243" s="12">
        <v>44754135</v>
      </c>
      <c r="D1243" s="12">
        <v>44765016</v>
      </c>
      <c r="E1243" s="12" t="s">
        <v>3940</v>
      </c>
      <c r="F1243" s="12">
        <v>1</v>
      </c>
      <c r="G1243" s="41" t="s">
        <v>86</v>
      </c>
      <c r="H1243" s="12" t="s">
        <v>5975</v>
      </c>
      <c r="I1243" s="41" t="s">
        <v>7218</v>
      </c>
      <c r="M1243" s="41" t="e">
        <f>VLOOKUP(I1243,错误mRNA总表!D:I,6,FALSE)</f>
        <v>#N/A</v>
      </c>
    </row>
    <row r="1244" spans="1:13" x14ac:dyDescent="0.2">
      <c r="A1244" s="12" t="s">
        <v>4647</v>
      </c>
      <c r="B1244" s="12" t="s">
        <v>4012</v>
      </c>
      <c r="C1244" s="12">
        <v>76311115</v>
      </c>
      <c r="D1244" s="12">
        <v>76311603</v>
      </c>
      <c r="E1244" s="12" t="s">
        <v>3940</v>
      </c>
      <c r="F1244" s="12">
        <v>1</v>
      </c>
      <c r="G1244" s="41" t="s">
        <v>121</v>
      </c>
      <c r="H1244" s="12" t="s">
        <v>5976</v>
      </c>
      <c r="I1244" s="41" t="s">
        <v>7219</v>
      </c>
      <c r="M1244" s="41" t="e">
        <f>VLOOKUP(I1244,错误mRNA总表!D:I,6,FALSE)</f>
        <v>#N/A</v>
      </c>
    </row>
    <row r="1245" spans="1:13" x14ac:dyDescent="0.2">
      <c r="A1245" s="12" t="s">
        <v>4648</v>
      </c>
      <c r="B1245" s="12" t="s">
        <v>4339</v>
      </c>
      <c r="C1245" s="12">
        <v>581146</v>
      </c>
      <c r="D1245" s="12">
        <v>587892</v>
      </c>
      <c r="E1245" s="12" t="s">
        <v>3940</v>
      </c>
      <c r="F1245" s="12">
        <v>1</v>
      </c>
      <c r="H1245" s="12" t="s">
        <v>5977</v>
      </c>
      <c r="I1245" s="41" t="s">
        <v>7220</v>
      </c>
      <c r="M1245" s="41" t="e">
        <f>VLOOKUP(I1245,错误mRNA总表!D:I,6,FALSE)</f>
        <v>#N/A</v>
      </c>
    </row>
    <row r="1246" spans="1:13" x14ac:dyDescent="0.2">
      <c r="A1246" s="12" t="s">
        <v>4649</v>
      </c>
      <c r="B1246" s="12" t="s">
        <v>4115</v>
      </c>
      <c r="C1246" s="12">
        <v>133223427</v>
      </c>
      <c r="D1246" s="12">
        <v>133223454</v>
      </c>
      <c r="E1246" s="12" t="s">
        <v>3940</v>
      </c>
      <c r="F1246" s="12">
        <v>98</v>
      </c>
      <c r="G1246" s="41" t="s">
        <v>33</v>
      </c>
      <c r="H1246" s="12" t="s">
        <v>5978</v>
      </c>
      <c r="I1246" s="41" t="s">
        <v>7221</v>
      </c>
      <c r="M1246" s="41" t="e">
        <f>VLOOKUP(I1246,错误mRNA总表!D:I,6,FALSE)</f>
        <v>#N/A</v>
      </c>
    </row>
    <row r="1247" spans="1:13" x14ac:dyDescent="0.2">
      <c r="A1247" s="12" t="s">
        <v>4649</v>
      </c>
      <c r="B1247" s="12" t="s">
        <v>4115</v>
      </c>
      <c r="C1247" s="12">
        <v>133223427</v>
      </c>
      <c r="D1247" s="12">
        <v>133223440</v>
      </c>
      <c r="E1247" s="12" t="s">
        <v>3940</v>
      </c>
      <c r="F1247" s="12">
        <v>1</v>
      </c>
      <c r="G1247" s="41" t="s">
        <v>33</v>
      </c>
      <c r="H1247" s="12" t="s">
        <v>5978</v>
      </c>
      <c r="I1247" s="41" t="s">
        <v>7221</v>
      </c>
      <c r="M1247" s="41" t="e">
        <f>VLOOKUP(I1247,错误mRNA总表!D:I,6,FALSE)</f>
        <v>#N/A</v>
      </c>
    </row>
    <row r="1248" spans="1:13" x14ac:dyDescent="0.2">
      <c r="A1248" s="12" t="s">
        <v>4650</v>
      </c>
      <c r="B1248" s="12" t="s">
        <v>3939</v>
      </c>
      <c r="C1248" s="12">
        <v>148609130</v>
      </c>
      <c r="D1248" s="12">
        <v>148615567</v>
      </c>
      <c r="E1248" s="12" t="s">
        <v>3940</v>
      </c>
      <c r="F1248" s="12">
        <v>3</v>
      </c>
      <c r="G1248" s="41" t="s">
        <v>73</v>
      </c>
      <c r="H1248" s="12" t="s">
        <v>6500</v>
      </c>
      <c r="I1248" s="41" t="s">
        <v>7222</v>
      </c>
      <c r="M1248" s="41" t="e">
        <f>VLOOKUP(I1248,错误mRNA总表!D:I,6,FALSE)</f>
        <v>#N/A</v>
      </c>
    </row>
    <row r="1249" spans="1:13" x14ac:dyDescent="0.2">
      <c r="A1249" s="12" t="s">
        <v>4651</v>
      </c>
      <c r="B1249" s="12" t="s">
        <v>4157</v>
      </c>
      <c r="C1249" s="12">
        <v>380630</v>
      </c>
      <c r="D1249" s="12">
        <v>390653</v>
      </c>
      <c r="E1249" s="12" t="s">
        <v>3940</v>
      </c>
      <c r="F1249" s="12">
        <v>1</v>
      </c>
      <c r="H1249" s="12" t="s">
        <v>3451</v>
      </c>
      <c r="I1249" s="41" t="s">
        <v>7223</v>
      </c>
      <c r="M1249" s="41" t="e">
        <f>VLOOKUP(I1249,错误mRNA总表!D:I,6,FALSE)</f>
        <v>#N/A</v>
      </c>
    </row>
    <row r="1250" spans="1:13" x14ac:dyDescent="0.2">
      <c r="A1250" s="12" t="s">
        <v>4652</v>
      </c>
      <c r="B1250" s="12" t="s">
        <v>3957</v>
      </c>
      <c r="C1250" s="12">
        <v>1642188</v>
      </c>
      <c r="D1250" s="12">
        <v>1642940</v>
      </c>
      <c r="E1250" s="12" t="s">
        <v>3940</v>
      </c>
      <c r="F1250" s="12">
        <v>180</v>
      </c>
      <c r="G1250" s="41" t="s">
        <v>36</v>
      </c>
      <c r="H1250" s="12" t="s">
        <v>902</v>
      </c>
      <c r="I1250" s="41" t="s">
        <v>2266</v>
      </c>
      <c r="J1250" s="41" t="s">
        <v>2266</v>
      </c>
      <c r="K1250" s="41" t="str">
        <f>VLOOKUP(J1250,错误mRNA总表!D:J,7,FALSE)</f>
        <v>纠后正确,加60个氨基酸chr11:1642637-1642939</v>
      </c>
      <c r="L1250" s="41" t="s">
        <v>3866</v>
      </c>
      <c r="M1250" s="41" t="str">
        <f>VLOOKUP(I1250,错误mRNA总表!D:I,6,FALSE)</f>
        <v>纠后正确,加60个氨基酸chr11:1642637-1642939</v>
      </c>
    </row>
    <row r="1251" spans="1:13" x14ac:dyDescent="0.2">
      <c r="A1251" s="12" t="s">
        <v>4652</v>
      </c>
      <c r="B1251" s="12" t="s">
        <v>3957</v>
      </c>
      <c r="C1251" s="12">
        <v>1642188</v>
      </c>
      <c r="D1251" s="12">
        <v>1642212</v>
      </c>
      <c r="E1251" s="12" t="s">
        <v>3943</v>
      </c>
      <c r="F1251" s="12">
        <v>2</v>
      </c>
      <c r="G1251" s="41" t="s">
        <v>36</v>
      </c>
      <c r="H1251" s="12" t="s">
        <v>902</v>
      </c>
      <c r="I1251" s="41" t="s">
        <v>2266</v>
      </c>
      <c r="J1251" s="41" t="s">
        <v>2266</v>
      </c>
      <c r="K1251" s="41" t="str">
        <f>VLOOKUP(J1251,错误mRNA总表!D:J,7,FALSE)</f>
        <v>纠后正确,加60个氨基酸chr11:1642637-1642939</v>
      </c>
      <c r="L1251" s="41" t="s">
        <v>3866</v>
      </c>
      <c r="M1251" s="41" t="str">
        <f>VLOOKUP(I1251,错误mRNA总表!D:I,6,FALSE)</f>
        <v>纠后正确,加60个氨基酸chr11:1642637-1642939</v>
      </c>
    </row>
    <row r="1252" spans="1:13" x14ac:dyDescent="0.2">
      <c r="A1252" s="12" t="s">
        <v>3968</v>
      </c>
      <c r="B1252" s="12" t="s">
        <v>3964</v>
      </c>
      <c r="C1252" s="12">
        <v>2986492</v>
      </c>
      <c r="D1252" s="12">
        <v>2999771</v>
      </c>
      <c r="E1252" s="12" t="s">
        <v>3943</v>
      </c>
      <c r="F1252" s="12">
        <v>6</v>
      </c>
      <c r="H1252" s="12" t="s">
        <v>3563</v>
      </c>
      <c r="I1252" s="41" t="s">
        <v>7224</v>
      </c>
      <c r="M1252" s="41" t="e">
        <f>VLOOKUP(I1252,错误mRNA总表!D:I,6,FALSE)</f>
        <v>#N/A</v>
      </c>
    </row>
    <row r="1253" spans="1:13" x14ac:dyDescent="0.2">
      <c r="A1253" s="12" t="s">
        <v>4308</v>
      </c>
      <c r="B1253" s="12" t="s">
        <v>3964</v>
      </c>
      <c r="C1253" s="12">
        <v>2508258</v>
      </c>
      <c r="D1253" s="12">
        <v>2513533</v>
      </c>
      <c r="E1253" s="12" t="s">
        <v>3943</v>
      </c>
      <c r="F1253" s="12">
        <v>1</v>
      </c>
      <c r="H1253" s="12" t="s">
        <v>5862</v>
      </c>
      <c r="I1253" s="41" t="s">
        <v>7225</v>
      </c>
      <c r="M1253" s="41" t="e">
        <f>VLOOKUP(I1253,错误mRNA总表!D:I,6,FALSE)</f>
        <v>#N/A</v>
      </c>
    </row>
    <row r="1254" spans="1:13" x14ac:dyDescent="0.2">
      <c r="A1254" s="12" t="s">
        <v>4653</v>
      </c>
      <c r="B1254" s="12" t="s">
        <v>4004</v>
      </c>
      <c r="C1254" s="12">
        <v>144939492</v>
      </c>
      <c r="D1254" s="12">
        <v>144940300</v>
      </c>
      <c r="E1254" s="12" t="s">
        <v>3940</v>
      </c>
      <c r="F1254" s="12">
        <v>8004</v>
      </c>
      <c r="G1254" s="41" t="s">
        <v>103</v>
      </c>
      <c r="H1254" s="12" t="s">
        <v>803</v>
      </c>
      <c r="I1254" s="41" t="s">
        <v>7226</v>
      </c>
      <c r="J1254" s="41" t="s">
        <v>2258</v>
      </c>
      <c r="K1254" s="41" t="str">
        <f>VLOOKUP(J1254,错误mRNA总表!D:J,7,FALSE)</f>
        <v>纠后正确，版本不一致，区间有变化，加2668个氨基酸chr8:144940159-144940299</v>
      </c>
      <c r="M1254" s="41" t="e">
        <f>VLOOKUP(I1254,错误mRNA总表!D:I,6,FALSE)</f>
        <v>#N/A</v>
      </c>
    </row>
    <row r="1255" spans="1:13" x14ac:dyDescent="0.2">
      <c r="A1255" s="12" t="s">
        <v>4653</v>
      </c>
      <c r="B1255" s="12" t="s">
        <v>4004</v>
      </c>
      <c r="C1255" s="12">
        <v>144939492</v>
      </c>
      <c r="D1255" s="12">
        <v>144940069</v>
      </c>
      <c r="E1255" s="12" t="s">
        <v>3940</v>
      </c>
      <c r="F1255" s="12">
        <v>1</v>
      </c>
      <c r="G1255" s="41" t="s">
        <v>103</v>
      </c>
      <c r="H1255" s="12" t="s">
        <v>803</v>
      </c>
      <c r="I1255" s="41" t="s">
        <v>7226</v>
      </c>
      <c r="J1255" s="41" t="s">
        <v>2258</v>
      </c>
      <c r="K1255" s="41" t="str">
        <f>VLOOKUP(J1255,错误mRNA总表!D:J,7,FALSE)</f>
        <v>纠后正确，版本不一致，区间有变化，加2668个氨基酸chr8:144940159-144940299</v>
      </c>
      <c r="M1255" s="41" t="e">
        <f>VLOOKUP(I1255,错误mRNA总表!D:I,6,FALSE)</f>
        <v>#N/A</v>
      </c>
    </row>
    <row r="1256" spans="1:13" x14ac:dyDescent="0.2">
      <c r="A1256" s="12" t="s">
        <v>4654</v>
      </c>
      <c r="B1256" s="12" t="s">
        <v>3999</v>
      </c>
      <c r="C1256" s="12">
        <v>489200</v>
      </c>
      <c r="D1256" s="12">
        <v>498976</v>
      </c>
      <c r="E1256" s="12" t="s">
        <v>3940</v>
      </c>
      <c r="F1256" s="12">
        <v>22</v>
      </c>
      <c r="H1256" s="12" t="s">
        <v>5979</v>
      </c>
      <c r="I1256" s="41" t="s">
        <v>7227</v>
      </c>
      <c r="M1256" s="41" t="e">
        <f>VLOOKUP(I1256,错误mRNA总表!D:I,6,FALSE)</f>
        <v>#N/A</v>
      </c>
    </row>
    <row r="1257" spans="1:13" x14ac:dyDescent="0.2">
      <c r="A1257" s="12" t="s">
        <v>4654</v>
      </c>
      <c r="B1257" s="12" t="s">
        <v>3999</v>
      </c>
      <c r="C1257" s="12">
        <v>489200</v>
      </c>
      <c r="D1257" s="12">
        <v>498988</v>
      </c>
      <c r="E1257" s="12" t="s">
        <v>3940</v>
      </c>
      <c r="F1257" s="12">
        <v>17</v>
      </c>
      <c r="H1257" s="12" t="s">
        <v>5979</v>
      </c>
      <c r="I1257" s="41" t="s">
        <v>7227</v>
      </c>
      <c r="M1257" s="41" t="e">
        <f>VLOOKUP(I1257,错误mRNA总表!D:I,6,FALSE)</f>
        <v>#N/A</v>
      </c>
    </row>
    <row r="1258" spans="1:13" x14ac:dyDescent="0.2">
      <c r="A1258" s="12" t="s">
        <v>4654</v>
      </c>
      <c r="B1258" s="12" t="s">
        <v>3999</v>
      </c>
      <c r="C1258" s="12">
        <v>489200</v>
      </c>
      <c r="D1258" s="12">
        <v>499165</v>
      </c>
      <c r="E1258" s="12" t="s">
        <v>3940</v>
      </c>
      <c r="F1258" s="12">
        <v>148</v>
      </c>
      <c r="H1258" s="12" t="s">
        <v>5979</v>
      </c>
      <c r="I1258" s="41" t="s">
        <v>7227</v>
      </c>
      <c r="M1258" s="41" t="e">
        <f>VLOOKUP(I1258,错误mRNA总表!D:I,6,FALSE)</f>
        <v>#N/A</v>
      </c>
    </row>
    <row r="1259" spans="1:13" x14ac:dyDescent="0.2">
      <c r="A1259" s="12" t="s">
        <v>4654</v>
      </c>
      <c r="B1259" s="12" t="s">
        <v>3999</v>
      </c>
      <c r="C1259" s="12">
        <v>489200</v>
      </c>
      <c r="D1259" s="12">
        <v>499153</v>
      </c>
      <c r="E1259" s="12" t="s">
        <v>3943</v>
      </c>
      <c r="F1259" s="12">
        <v>2</v>
      </c>
      <c r="H1259" s="12" t="s">
        <v>5979</v>
      </c>
      <c r="I1259" s="41" t="s">
        <v>7227</v>
      </c>
      <c r="M1259" s="41" t="e">
        <f>VLOOKUP(I1259,错误mRNA总表!D:I,6,FALSE)</f>
        <v>#N/A</v>
      </c>
    </row>
    <row r="1260" spans="1:13" x14ac:dyDescent="0.2">
      <c r="A1260" s="12" t="s">
        <v>4654</v>
      </c>
      <c r="B1260" s="12" t="s">
        <v>3999</v>
      </c>
      <c r="C1260" s="12">
        <v>489200</v>
      </c>
      <c r="D1260" s="12">
        <v>499352</v>
      </c>
      <c r="E1260" s="12" t="s">
        <v>3940</v>
      </c>
      <c r="F1260" s="12">
        <v>1</v>
      </c>
      <c r="H1260" s="12" t="s">
        <v>5979</v>
      </c>
      <c r="I1260" s="41" t="s">
        <v>7227</v>
      </c>
      <c r="M1260" s="41" t="e">
        <f>VLOOKUP(I1260,错误mRNA总表!D:I,6,FALSE)</f>
        <v>#N/A</v>
      </c>
    </row>
    <row r="1261" spans="1:13" x14ac:dyDescent="0.2">
      <c r="A1261" s="12" t="s">
        <v>4654</v>
      </c>
      <c r="B1261" s="12" t="s">
        <v>3999</v>
      </c>
      <c r="C1261" s="12">
        <v>489200</v>
      </c>
      <c r="D1261" s="12">
        <v>499365</v>
      </c>
      <c r="E1261" s="12" t="s">
        <v>3940</v>
      </c>
      <c r="F1261" s="12">
        <v>1</v>
      </c>
      <c r="H1261" s="12" t="s">
        <v>5979</v>
      </c>
      <c r="I1261" s="41" t="s">
        <v>7227</v>
      </c>
      <c r="M1261" s="41" t="e">
        <f>VLOOKUP(I1261,错误mRNA总表!D:I,6,FALSE)</f>
        <v>#N/A</v>
      </c>
    </row>
    <row r="1262" spans="1:13" x14ac:dyDescent="0.2">
      <c r="A1262" s="12" t="s">
        <v>4655</v>
      </c>
      <c r="B1262" s="12" t="s">
        <v>4052</v>
      </c>
      <c r="C1262" s="12">
        <v>12938625</v>
      </c>
      <c r="D1262" s="12">
        <v>12939093</v>
      </c>
      <c r="E1262" s="12" t="s">
        <v>3943</v>
      </c>
      <c r="F1262" s="12">
        <v>1</v>
      </c>
      <c r="G1262" s="41" t="s">
        <v>93</v>
      </c>
      <c r="H1262" s="12" t="s">
        <v>5980</v>
      </c>
      <c r="I1262" s="41" t="s">
        <v>7228</v>
      </c>
      <c r="M1262" s="41" t="e">
        <f>VLOOKUP(I1262,错误mRNA总表!D:I,6,FALSE)</f>
        <v>#N/A</v>
      </c>
    </row>
    <row r="1263" spans="1:13" x14ac:dyDescent="0.2">
      <c r="A1263" s="12" t="s">
        <v>4656</v>
      </c>
      <c r="B1263" s="12" t="s">
        <v>4066</v>
      </c>
      <c r="C1263" s="12">
        <v>6422526</v>
      </c>
      <c r="D1263" s="12">
        <v>6422728</v>
      </c>
      <c r="E1263" s="12" t="s">
        <v>3943</v>
      </c>
      <c r="F1263" s="12">
        <v>3</v>
      </c>
      <c r="H1263" s="12" t="s">
        <v>5981</v>
      </c>
      <c r="I1263" s="41" t="s">
        <v>7229</v>
      </c>
      <c r="M1263" s="41" t="e">
        <f>VLOOKUP(I1263,错误mRNA总表!D:I,6,FALSE)</f>
        <v>#N/A</v>
      </c>
    </row>
    <row r="1264" spans="1:13" x14ac:dyDescent="0.2">
      <c r="A1264" s="12" t="s">
        <v>4657</v>
      </c>
      <c r="B1264" s="12" t="s">
        <v>4658</v>
      </c>
      <c r="C1264" s="12">
        <v>124484</v>
      </c>
      <c r="D1264" s="12">
        <v>124895</v>
      </c>
      <c r="E1264" s="12" t="s">
        <v>3940</v>
      </c>
      <c r="F1264" s="12">
        <v>2</v>
      </c>
      <c r="H1264" s="12" t="s">
        <v>5982</v>
      </c>
      <c r="I1264" s="41" t="s">
        <v>7230</v>
      </c>
      <c r="M1264" s="41" t="e">
        <f>VLOOKUP(I1264,错误mRNA总表!D:I,6,FALSE)</f>
        <v>#N/A</v>
      </c>
    </row>
    <row r="1265" spans="1:13" x14ac:dyDescent="0.2">
      <c r="A1265" s="12" t="s">
        <v>4659</v>
      </c>
      <c r="B1265" s="12" t="s">
        <v>3973</v>
      </c>
      <c r="C1265" s="12">
        <v>1592939</v>
      </c>
      <c r="D1265" s="12">
        <v>1594199</v>
      </c>
      <c r="E1265" s="12" t="s">
        <v>3940</v>
      </c>
      <c r="F1265" s="12">
        <v>1</v>
      </c>
      <c r="G1265" s="41" t="s">
        <v>139</v>
      </c>
      <c r="H1265" s="12" t="s">
        <v>5983</v>
      </c>
      <c r="I1265" s="41" t="s">
        <v>7231</v>
      </c>
      <c r="M1265" s="41" t="e">
        <f>VLOOKUP(I1265,错误mRNA总表!D:I,6,FALSE)</f>
        <v>#N/A</v>
      </c>
    </row>
    <row r="1266" spans="1:13" x14ac:dyDescent="0.2">
      <c r="A1266" s="12" t="s">
        <v>4659</v>
      </c>
      <c r="B1266" s="12" t="s">
        <v>3973</v>
      </c>
      <c r="C1266" s="12">
        <v>1592939</v>
      </c>
      <c r="D1266" s="12">
        <v>1594840</v>
      </c>
      <c r="E1266" s="12" t="s">
        <v>3940</v>
      </c>
      <c r="F1266" s="12">
        <v>21</v>
      </c>
      <c r="G1266" s="41" t="s">
        <v>139</v>
      </c>
      <c r="H1266" s="12" t="s">
        <v>5983</v>
      </c>
      <c r="I1266" s="41" t="s">
        <v>7231</v>
      </c>
      <c r="M1266" s="41" t="e">
        <f>VLOOKUP(I1266,错误mRNA总表!D:I,6,FALSE)</f>
        <v>#N/A</v>
      </c>
    </row>
    <row r="1267" spans="1:13" x14ac:dyDescent="0.2">
      <c r="A1267" s="12" t="s">
        <v>4132</v>
      </c>
      <c r="B1267" s="12" t="s">
        <v>4098</v>
      </c>
      <c r="C1267" s="12">
        <v>165695</v>
      </c>
      <c r="D1267" s="12">
        <v>169309</v>
      </c>
      <c r="E1267" s="12" t="s">
        <v>3943</v>
      </c>
      <c r="F1267" s="12">
        <v>3</v>
      </c>
      <c r="H1267" s="12" t="s">
        <v>5810</v>
      </c>
      <c r="I1267" s="41" t="s">
        <v>6752</v>
      </c>
      <c r="M1267" s="41" t="e">
        <f>VLOOKUP(I1267,错误mRNA总表!D:I,6,FALSE)</f>
        <v>#N/A</v>
      </c>
    </row>
    <row r="1268" spans="1:13" x14ac:dyDescent="0.2">
      <c r="A1268" s="12" t="s">
        <v>4039</v>
      </c>
      <c r="B1268" s="12" t="s">
        <v>3996</v>
      </c>
      <c r="C1268" s="12">
        <v>2051221</v>
      </c>
      <c r="D1268" s="12">
        <v>2070524</v>
      </c>
      <c r="E1268" s="12" t="s">
        <v>3943</v>
      </c>
      <c r="F1268" s="12">
        <v>1</v>
      </c>
      <c r="H1268" s="12" t="s">
        <v>3543</v>
      </c>
      <c r="I1268" s="41" t="s">
        <v>7232</v>
      </c>
      <c r="M1268" s="41" t="e">
        <f>VLOOKUP(I1268,错误mRNA总表!D:I,6,FALSE)</f>
        <v>#N/A</v>
      </c>
    </row>
    <row r="1269" spans="1:13" x14ac:dyDescent="0.2">
      <c r="A1269" s="12" t="s">
        <v>4660</v>
      </c>
      <c r="B1269" s="12" t="s">
        <v>3960</v>
      </c>
      <c r="C1269" s="12">
        <v>812554</v>
      </c>
      <c r="D1269" s="12">
        <v>819388</v>
      </c>
      <c r="E1269" s="12" t="s">
        <v>3940</v>
      </c>
      <c r="F1269" s="12">
        <v>22</v>
      </c>
      <c r="H1269" s="12" t="s">
        <v>214</v>
      </c>
      <c r="I1269" s="41" t="s">
        <v>7135</v>
      </c>
      <c r="J1269" s="41" t="s">
        <v>2170</v>
      </c>
      <c r="K1269" s="41" t="str">
        <f>VLOOKUP(J1269,错误mRNA总表!D:J,7,FALSE)</f>
        <v>Browser与原结果匹配，纠后与rs匹配(rs746499983)chr19:55350966-55359398</v>
      </c>
      <c r="M1269" s="41" t="e">
        <f>VLOOKUP(I1269,错误mRNA总表!D:I,6,FALSE)</f>
        <v>#N/A</v>
      </c>
    </row>
    <row r="1270" spans="1:13" x14ac:dyDescent="0.2">
      <c r="A1270" s="12" t="s">
        <v>4661</v>
      </c>
      <c r="B1270" s="12" t="s">
        <v>4175</v>
      </c>
      <c r="C1270" s="12">
        <v>5065372</v>
      </c>
      <c r="D1270" s="12">
        <v>5072090</v>
      </c>
      <c r="E1270" s="12" t="s">
        <v>3943</v>
      </c>
      <c r="F1270" s="12">
        <v>1</v>
      </c>
      <c r="H1270" s="12" t="s">
        <v>1400</v>
      </c>
      <c r="I1270" s="41" t="s">
        <v>7233</v>
      </c>
      <c r="J1270" s="41" t="s">
        <v>3202</v>
      </c>
      <c r="K1270" s="41" t="str">
        <f>VLOOKUP(J1270,错误mRNA总表!D:J,7,FALSE)</f>
        <v/>
      </c>
      <c r="M1270" s="41" t="e">
        <f>VLOOKUP(I1270,错误mRNA总表!D:I,6,FALSE)</f>
        <v>#N/A</v>
      </c>
    </row>
    <row r="1271" spans="1:13" x14ac:dyDescent="0.2">
      <c r="A1271" s="12" t="s">
        <v>4028</v>
      </c>
      <c r="B1271" s="12" t="s">
        <v>4045</v>
      </c>
      <c r="C1271" s="12">
        <v>134946</v>
      </c>
      <c r="D1271" s="12">
        <v>147927</v>
      </c>
      <c r="E1271" s="12" t="s">
        <v>3940</v>
      </c>
      <c r="F1271" s="12">
        <v>1</v>
      </c>
      <c r="H1271" s="12" t="s">
        <v>3649</v>
      </c>
      <c r="I1271" s="41" t="s">
        <v>6633</v>
      </c>
      <c r="M1271" s="41" t="e">
        <f>VLOOKUP(I1271,错误mRNA总表!D:I,6,FALSE)</f>
        <v>#N/A</v>
      </c>
    </row>
    <row r="1272" spans="1:13" x14ac:dyDescent="0.2">
      <c r="A1272" s="12" t="s">
        <v>4028</v>
      </c>
      <c r="B1272" s="12" t="s">
        <v>4045</v>
      </c>
      <c r="C1272" s="12">
        <v>134946</v>
      </c>
      <c r="D1272" s="12">
        <v>135009</v>
      </c>
      <c r="E1272" s="12" t="s">
        <v>3940</v>
      </c>
      <c r="F1272" s="12">
        <v>1</v>
      </c>
      <c r="H1272" s="12" t="s">
        <v>3649</v>
      </c>
      <c r="I1272" s="41" t="s">
        <v>6633</v>
      </c>
      <c r="M1272" s="41" t="e">
        <f>VLOOKUP(I1272,错误mRNA总表!D:I,6,FALSE)</f>
        <v>#N/A</v>
      </c>
    </row>
    <row r="1273" spans="1:13" x14ac:dyDescent="0.2">
      <c r="A1273" s="12" t="s">
        <v>4662</v>
      </c>
      <c r="B1273" s="12" t="s">
        <v>3948</v>
      </c>
      <c r="C1273" s="12">
        <v>74422144</v>
      </c>
      <c r="D1273" s="12">
        <v>74422149</v>
      </c>
      <c r="E1273" s="12" t="s">
        <v>3943</v>
      </c>
      <c r="F1273" s="12">
        <v>1</v>
      </c>
      <c r="G1273" s="41" t="s">
        <v>40</v>
      </c>
      <c r="H1273" s="12" t="s">
        <v>6409</v>
      </c>
      <c r="I1273" s="41" t="s">
        <v>7234</v>
      </c>
      <c r="M1273" s="41" t="e">
        <f>VLOOKUP(I1273,错误mRNA总表!D:I,6,FALSE)</f>
        <v>#N/A</v>
      </c>
    </row>
    <row r="1274" spans="1:13" x14ac:dyDescent="0.2">
      <c r="A1274" s="12" t="s">
        <v>4662</v>
      </c>
      <c r="B1274" s="12" t="s">
        <v>3948</v>
      </c>
      <c r="C1274" s="12">
        <v>74422144</v>
      </c>
      <c r="D1274" s="12">
        <v>74422155</v>
      </c>
      <c r="E1274" s="12" t="s">
        <v>3940</v>
      </c>
      <c r="F1274" s="12">
        <v>2</v>
      </c>
      <c r="G1274" s="41" t="s">
        <v>40</v>
      </c>
      <c r="H1274" s="12" t="s">
        <v>6409</v>
      </c>
      <c r="I1274" s="41" t="s">
        <v>7234</v>
      </c>
      <c r="M1274" s="41" t="e">
        <f>VLOOKUP(I1274,错误mRNA总表!D:I,6,FALSE)</f>
        <v>#N/A</v>
      </c>
    </row>
    <row r="1275" spans="1:13" x14ac:dyDescent="0.2">
      <c r="A1275" s="12" t="s">
        <v>4662</v>
      </c>
      <c r="B1275" s="12" t="s">
        <v>3948</v>
      </c>
      <c r="C1275" s="12">
        <v>74422144</v>
      </c>
      <c r="D1275" s="12">
        <v>74443484</v>
      </c>
      <c r="E1275" s="12" t="s">
        <v>3940</v>
      </c>
      <c r="F1275" s="12">
        <v>1</v>
      </c>
      <c r="G1275" s="41" t="s">
        <v>40</v>
      </c>
      <c r="H1275" s="12" t="s">
        <v>6409</v>
      </c>
      <c r="I1275" s="41" t="s">
        <v>7234</v>
      </c>
      <c r="M1275" s="41" t="e">
        <f>VLOOKUP(I1275,错误mRNA总表!D:I,6,FALSE)</f>
        <v>#N/A</v>
      </c>
    </row>
    <row r="1276" spans="1:13" x14ac:dyDescent="0.2">
      <c r="A1276" s="12" t="s">
        <v>4663</v>
      </c>
      <c r="B1276" s="12" t="s">
        <v>4049</v>
      </c>
      <c r="C1276" s="12">
        <v>63867</v>
      </c>
      <c r="D1276" s="12">
        <v>65071</v>
      </c>
      <c r="E1276" s="12" t="s">
        <v>3943</v>
      </c>
      <c r="F1276" s="12">
        <v>1</v>
      </c>
      <c r="H1276" s="12" t="s">
        <v>5984</v>
      </c>
      <c r="I1276" s="41" t="s">
        <v>7235</v>
      </c>
      <c r="M1276" s="41" t="e">
        <f>VLOOKUP(I1276,错误mRNA总表!D:I,6,FALSE)</f>
        <v>#N/A</v>
      </c>
    </row>
    <row r="1277" spans="1:13" x14ac:dyDescent="0.2">
      <c r="A1277" s="12" t="s">
        <v>4664</v>
      </c>
      <c r="B1277" s="12" t="s">
        <v>3957</v>
      </c>
      <c r="C1277" s="12">
        <v>46638826</v>
      </c>
      <c r="D1277" s="12">
        <v>46694313</v>
      </c>
      <c r="E1277" s="12" t="s">
        <v>3943</v>
      </c>
      <c r="F1277" s="12">
        <v>2</v>
      </c>
      <c r="G1277" s="41" t="s">
        <v>36</v>
      </c>
      <c r="H1277" s="12" t="s">
        <v>5985</v>
      </c>
      <c r="I1277" s="41" t="s">
        <v>7236</v>
      </c>
      <c r="M1277" s="41" t="e">
        <f>VLOOKUP(I1277,错误mRNA总表!D:I,6,FALSE)</f>
        <v>#N/A</v>
      </c>
    </row>
    <row r="1278" spans="1:13" x14ac:dyDescent="0.2">
      <c r="A1278" s="12" t="s">
        <v>4665</v>
      </c>
      <c r="B1278" s="12" t="s">
        <v>3989</v>
      </c>
      <c r="C1278" s="12">
        <v>1976470</v>
      </c>
      <c r="D1278" s="12">
        <v>1979473</v>
      </c>
      <c r="E1278" s="12" t="s">
        <v>3940</v>
      </c>
      <c r="F1278" s="12">
        <v>808</v>
      </c>
      <c r="H1278" s="12" t="s">
        <v>3547</v>
      </c>
      <c r="I1278" s="41" t="s">
        <v>7237</v>
      </c>
      <c r="M1278" s="41" t="e">
        <f>VLOOKUP(I1278,错误mRNA总表!D:I,6,FALSE)</f>
        <v>#N/A</v>
      </c>
    </row>
    <row r="1279" spans="1:13" x14ac:dyDescent="0.2">
      <c r="A1279" s="12" t="s">
        <v>4665</v>
      </c>
      <c r="B1279" s="12" t="s">
        <v>3989</v>
      </c>
      <c r="C1279" s="12">
        <v>1976470</v>
      </c>
      <c r="D1279" s="12">
        <v>1998094</v>
      </c>
      <c r="E1279" s="12" t="s">
        <v>3940</v>
      </c>
      <c r="F1279" s="12">
        <v>1</v>
      </c>
      <c r="H1279" s="12" t="s">
        <v>3547</v>
      </c>
      <c r="I1279" s="41" t="s">
        <v>7237</v>
      </c>
      <c r="M1279" s="41" t="e">
        <f>VLOOKUP(I1279,错误mRNA总表!D:I,6,FALSE)</f>
        <v>#N/A</v>
      </c>
    </row>
    <row r="1280" spans="1:13" x14ac:dyDescent="0.2">
      <c r="A1280" s="12" t="s">
        <v>4666</v>
      </c>
      <c r="B1280" s="12" t="s">
        <v>3986</v>
      </c>
      <c r="C1280" s="12">
        <v>51125234</v>
      </c>
      <c r="D1280" s="12">
        <v>51125306</v>
      </c>
      <c r="E1280" s="12" t="s">
        <v>3943</v>
      </c>
      <c r="F1280" s="12">
        <v>1</v>
      </c>
      <c r="G1280" s="41" t="s">
        <v>50</v>
      </c>
      <c r="H1280" s="12" t="s">
        <v>5986</v>
      </c>
      <c r="I1280" s="41" t="s">
        <v>7238</v>
      </c>
      <c r="M1280" s="41" t="e">
        <f>VLOOKUP(I1280,错误mRNA总表!D:I,6,FALSE)</f>
        <v>#N/A</v>
      </c>
    </row>
    <row r="1281" spans="1:13" x14ac:dyDescent="0.2">
      <c r="A1281" s="12" t="s">
        <v>4667</v>
      </c>
      <c r="B1281" s="12" t="s">
        <v>4018</v>
      </c>
      <c r="C1281" s="12">
        <v>17442842</v>
      </c>
      <c r="D1281" s="12">
        <v>17981988</v>
      </c>
      <c r="E1281" s="12" t="s">
        <v>3940</v>
      </c>
      <c r="F1281" s="12">
        <v>1</v>
      </c>
      <c r="G1281" s="41" t="s">
        <v>241</v>
      </c>
      <c r="H1281" s="12" t="s">
        <v>6377</v>
      </c>
      <c r="I1281" s="41" t="s">
        <v>6716</v>
      </c>
      <c r="M1281" s="41" t="e">
        <f>VLOOKUP(I1281,错误mRNA总表!D:I,6,FALSE)</f>
        <v>#N/A</v>
      </c>
    </row>
    <row r="1282" spans="1:13" x14ac:dyDescent="0.2">
      <c r="A1282" s="12" t="s">
        <v>4668</v>
      </c>
      <c r="B1282" s="12" t="s">
        <v>4001</v>
      </c>
      <c r="C1282" s="12">
        <v>873547</v>
      </c>
      <c r="D1282" s="12">
        <v>904213</v>
      </c>
      <c r="E1282" s="12" t="s">
        <v>3940</v>
      </c>
      <c r="F1282" s="12">
        <v>1</v>
      </c>
      <c r="H1282" s="12" t="s">
        <v>5987</v>
      </c>
      <c r="I1282" s="41" t="s">
        <v>7239</v>
      </c>
      <c r="M1282" s="41" t="e">
        <f>VLOOKUP(I1282,错误mRNA总表!D:I,6,FALSE)</f>
        <v>#N/A</v>
      </c>
    </row>
    <row r="1283" spans="1:13" x14ac:dyDescent="0.2">
      <c r="A1283" s="12" t="s">
        <v>4044</v>
      </c>
      <c r="B1283" s="12" t="s">
        <v>3986</v>
      </c>
      <c r="C1283" s="12">
        <v>54663833</v>
      </c>
      <c r="D1283" s="12">
        <v>54663896</v>
      </c>
      <c r="E1283" s="12" t="s">
        <v>3940</v>
      </c>
      <c r="F1283" s="12">
        <v>1</v>
      </c>
      <c r="G1283" s="41" t="s">
        <v>50</v>
      </c>
      <c r="H1283" s="12" t="s">
        <v>3648</v>
      </c>
      <c r="I1283" s="41" t="s">
        <v>6978</v>
      </c>
      <c r="M1283" s="41" t="e">
        <f>VLOOKUP(I1283,错误mRNA总表!D:I,6,FALSE)</f>
        <v>#N/A</v>
      </c>
    </row>
    <row r="1284" spans="1:13" x14ac:dyDescent="0.2">
      <c r="A1284" s="12" t="s">
        <v>4669</v>
      </c>
      <c r="B1284" s="12" t="s">
        <v>3942</v>
      </c>
      <c r="C1284" s="12">
        <v>101944196</v>
      </c>
      <c r="D1284" s="12">
        <v>101945471</v>
      </c>
      <c r="E1284" s="12" t="s">
        <v>3943</v>
      </c>
      <c r="F1284" s="12">
        <v>2</v>
      </c>
      <c r="G1284" s="41" t="s">
        <v>186</v>
      </c>
      <c r="H1284" s="12" t="s">
        <v>5988</v>
      </c>
      <c r="I1284" s="41" t="s">
        <v>7240</v>
      </c>
      <c r="M1284" s="41" t="e">
        <f>VLOOKUP(I1284,错误mRNA总表!D:I,6,FALSE)</f>
        <v>#N/A</v>
      </c>
    </row>
    <row r="1285" spans="1:13" x14ac:dyDescent="0.2">
      <c r="A1285" s="12" t="s">
        <v>4670</v>
      </c>
      <c r="B1285" s="12" t="s">
        <v>3978</v>
      </c>
      <c r="C1285" s="12">
        <v>44754135</v>
      </c>
      <c r="D1285" s="12">
        <v>44765016</v>
      </c>
      <c r="E1285" s="12" t="s">
        <v>3940</v>
      </c>
      <c r="F1285" s="12">
        <v>1</v>
      </c>
      <c r="G1285" s="41" t="s">
        <v>86</v>
      </c>
      <c r="H1285" s="12" t="s">
        <v>5989</v>
      </c>
      <c r="I1285" s="41" t="s">
        <v>7241</v>
      </c>
      <c r="M1285" s="41" t="e">
        <f>VLOOKUP(I1285,错误mRNA总表!D:I,6,FALSE)</f>
        <v>#N/A</v>
      </c>
    </row>
    <row r="1286" spans="1:13" x14ac:dyDescent="0.2">
      <c r="A1286" s="12" t="s">
        <v>4671</v>
      </c>
      <c r="B1286" s="12" t="s">
        <v>3948</v>
      </c>
      <c r="C1286" s="12">
        <v>142552776</v>
      </c>
      <c r="D1286" s="12">
        <v>142560588</v>
      </c>
      <c r="E1286" s="12" t="s">
        <v>3943</v>
      </c>
      <c r="F1286" s="12">
        <v>1</v>
      </c>
      <c r="G1286" s="41" t="s">
        <v>40</v>
      </c>
      <c r="H1286" s="12" t="s">
        <v>3597</v>
      </c>
      <c r="I1286" s="41" t="s">
        <v>6860</v>
      </c>
      <c r="M1286" s="41" t="e">
        <f>VLOOKUP(I1286,错误mRNA总表!D:I,6,FALSE)</f>
        <v>#N/A</v>
      </c>
    </row>
    <row r="1287" spans="1:13" x14ac:dyDescent="0.2">
      <c r="A1287" s="12" t="s">
        <v>4671</v>
      </c>
      <c r="B1287" s="12" t="s">
        <v>3948</v>
      </c>
      <c r="C1287" s="12">
        <v>142552776</v>
      </c>
      <c r="D1287" s="12">
        <v>142562076</v>
      </c>
      <c r="E1287" s="12" t="s">
        <v>3940</v>
      </c>
      <c r="F1287" s="12">
        <v>3</v>
      </c>
      <c r="G1287" s="41" t="s">
        <v>40</v>
      </c>
      <c r="H1287" s="12" t="s">
        <v>3597</v>
      </c>
      <c r="I1287" s="41" t="s">
        <v>6860</v>
      </c>
      <c r="M1287" s="41" t="e">
        <f>VLOOKUP(I1287,错误mRNA总表!D:I,6,FALSE)</f>
        <v>#N/A</v>
      </c>
    </row>
    <row r="1288" spans="1:13" x14ac:dyDescent="0.2">
      <c r="A1288" s="12" t="s">
        <v>4671</v>
      </c>
      <c r="B1288" s="12" t="s">
        <v>3948</v>
      </c>
      <c r="C1288" s="12">
        <v>142552776</v>
      </c>
      <c r="D1288" s="12">
        <v>142568772</v>
      </c>
      <c r="E1288" s="12" t="s">
        <v>3943</v>
      </c>
      <c r="F1288" s="12">
        <v>1</v>
      </c>
      <c r="G1288" s="41" t="s">
        <v>40</v>
      </c>
      <c r="H1288" s="12" t="s">
        <v>3597</v>
      </c>
      <c r="I1288" s="41" t="s">
        <v>6860</v>
      </c>
      <c r="M1288" s="41" t="e">
        <f>VLOOKUP(I1288,错误mRNA总表!D:I,6,FALSE)</f>
        <v>#N/A</v>
      </c>
    </row>
    <row r="1289" spans="1:13" x14ac:dyDescent="0.2">
      <c r="A1289" s="12" t="s">
        <v>4481</v>
      </c>
      <c r="B1289" s="12" t="s">
        <v>3996</v>
      </c>
      <c r="C1289" s="12">
        <v>4711285</v>
      </c>
      <c r="D1289" s="12">
        <v>4712251</v>
      </c>
      <c r="E1289" s="12" t="s">
        <v>3943</v>
      </c>
      <c r="F1289" s="12">
        <v>8</v>
      </c>
      <c r="H1289" s="12" t="s">
        <v>3590</v>
      </c>
      <c r="I1289" s="41" t="s">
        <v>7242</v>
      </c>
      <c r="M1289" s="41" t="e">
        <f>VLOOKUP(I1289,错误mRNA总表!D:I,6,FALSE)</f>
        <v>#N/A</v>
      </c>
    </row>
    <row r="1290" spans="1:13" x14ac:dyDescent="0.2">
      <c r="A1290" s="12" t="s">
        <v>4481</v>
      </c>
      <c r="B1290" s="12" t="s">
        <v>3996</v>
      </c>
      <c r="C1290" s="12">
        <v>4711285</v>
      </c>
      <c r="D1290" s="12">
        <v>4712564</v>
      </c>
      <c r="E1290" s="12" t="s">
        <v>3940</v>
      </c>
      <c r="F1290" s="12">
        <v>1</v>
      </c>
      <c r="H1290" s="12" t="s">
        <v>3590</v>
      </c>
      <c r="I1290" s="41" t="s">
        <v>7242</v>
      </c>
      <c r="M1290" s="41" t="e">
        <f>VLOOKUP(I1290,错误mRNA总表!D:I,6,FALSE)</f>
        <v>#N/A</v>
      </c>
    </row>
    <row r="1291" spans="1:13" x14ac:dyDescent="0.2">
      <c r="A1291" s="12" t="s">
        <v>4307</v>
      </c>
      <c r="B1291" s="12" t="s">
        <v>3989</v>
      </c>
      <c r="C1291" s="12">
        <v>4452675</v>
      </c>
      <c r="D1291" s="12">
        <v>4454701</v>
      </c>
      <c r="E1291" s="12" t="s">
        <v>3940</v>
      </c>
      <c r="F1291" s="12">
        <v>1</v>
      </c>
      <c r="H1291" s="12" t="s">
        <v>3585</v>
      </c>
      <c r="I1291" s="41" t="s">
        <v>7243</v>
      </c>
      <c r="M1291" s="41" t="e">
        <f>VLOOKUP(I1291,错误mRNA总表!D:I,6,FALSE)</f>
        <v>#N/A</v>
      </c>
    </row>
    <row r="1292" spans="1:13" x14ac:dyDescent="0.2">
      <c r="A1292" s="12" t="s">
        <v>4672</v>
      </c>
      <c r="B1292" s="12" t="s">
        <v>4052</v>
      </c>
      <c r="C1292" s="12">
        <v>102505468</v>
      </c>
      <c r="D1292" s="12">
        <v>102587331</v>
      </c>
      <c r="E1292" s="12" t="s">
        <v>3943</v>
      </c>
      <c r="F1292" s="12">
        <v>3</v>
      </c>
      <c r="G1292" s="41" t="s">
        <v>93</v>
      </c>
      <c r="H1292" s="12" t="s">
        <v>890</v>
      </c>
      <c r="I1292" s="41" t="s">
        <v>3304</v>
      </c>
      <c r="J1292" s="41" t="s">
        <v>3304</v>
      </c>
      <c r="K1292" s="41" t="str">
        <f>VLOOKUP(J1292,错误mRNA总表!D:J,7,FALSE)</f>
        <v>纠后正确，少1个氨基酸chr10:102587349-102587376</v>
      </c>
      <c r="L1292" s="41" t="s">
        <v>8342</v>
      </c>
      <c r="M1292" s="41">
        <f>VLOOKUP(I1292,错误mRNA总表!D:I,6,FALSE)</f>
        <v>0</v>
      </c>
    </row>
    <row r="1293" spans="1:13" x14ac:dyDescent="0.2">
      <c r="A1293" s="12" t="s">
        <v>4673</v>
      </c>
      <c r="B1293" s="12" t="s">
        <v>3994</v>
      </c>
      <c r="C1293" s="12">
        <v>1660981</v>
      </c>
      <c r="D1293" s="12">
        <v>1660996</v>
      </c>
      <c r="E1293" s="12" t="s">
        <v>3943</v>
      </c>
      <c r="F1293" s="12">
        <v>2</v>
      </c>
      <c r="H1293" s="12" t="s">
        <v>3541</v>
      </c>
      <c r="I1293" s="41" t="s">
        <v>7244</v>
      </c>
      <c r="M1293" s="41" t="e">
        <f>VLOOKUP(I1293,错误mRNA总表!D:I,6,FALSE)</f>
        <v>#N/A</v>
      </c>
    </row>
    <row r="1294" spans="1:13" x14ac:dyDescent="0.2">
      <c r="A1294" s="12" t="s">
        <v>4674</v>
      </c>
      <c r="B1294" s="12" t="s">
        <v>3973</v>
      </c>
      <c r="C1294" s="12">
        <v>1592939</v>
      </c>
      <c r="D1294" s="12">
        <v>1594199</v>
      </c>
      <c r="E1294" s="12" t="s">
        <v>3940</v>
      </c>
      <c r="F1294" s="12">
        <v>1</v>
      </c>
      <c r="G1294" s="41" t="s">
        <v>139</v>
      </c>
      <c r="H1294" s="12" t="s">
        <v>6410</v>
      </c>
      <c r="I1294" s="41" t="s">
        <v>7245</v>
      </c>
      <c r="M1294" s="41" t="e">
        <f>VLOOKUP(I1294,错误mRNA总表!D:I,6,FALSE)</f>
        <v>#N/A</v>
      </c>
    </row>
    <row r="1295" spans="1:13" x14ac:dyDescent="0.2">
      <c r="A1295" s="12" t="s">
        <v>4674</v>
      </c>
      <c r="B1295" s="12" t="s">
        <v>3973</v>
      </c>
      <c r="C1295" s="12">
        <v>1592939</v>
      </c>
      <c r="D1295" s="12">
        <v>1594840</v>
      </c>
      <c r="E1295" s="12" t="s">
        <v>3940</v>
      </c>
      <c r="F1295" s="12">
        <v>21</v>
      </c>
      <c r="G1295" s="41" t="s">
        <v>139</v>
      </c>
      <c r="H1295" s="12" t="s">
        <v>6410</v>
      </c>
      <c r="I1295" s="41" t="s">
        <v>7245</v>
      </c>
      <c r="M1295" s="41" t="e">
        <f>VLOOKUP(I1295,错误mRNA总表!D:I,6,FALSE)</f>
        <v>#N/A</v>
      </c>
    </row>
    <row r="1296" spans="1:13" x14ac:dyDescent="0.2">
      <c r="A1296" s="12" t="s">
        <v>4675</v>
      </c>
      <c r="B1296" s="12" t="s">
        <v>3986</v>
      </c>
      <c r="C1296" s="12">
        <v>56598732</v>
      </c>
      <c r="D1296" s="12">
        <v>56599437</v>
      </c>
      <c r="E1296" s="12" t="s">
        <v>3943</v>
      </c>
      <c r="F1296" s="12">
        <v>3</v>
      </c>
      <c r="G1296" s="41" t="s">
        <v>50</v>
      </c>
      <c r="H1296" s="12" t="s">
        <v>1288</v>
      </c>
      <c r="I1296" s="41" t="s">
        <v>2289</v>
      </c>
      <c r="J1296" s="41" t="s">
        <v>2289</v>
      </c>
      <c r="K1296" s="41" t="str">
        <f>VLOOKUP(J1296,错误mRNA总表!D:J,7,FALSE)</f>
        <v>纠后正确，少1个氨基酸chr19:56599389-56599751</v>
      </c>
      <c r="L1296" s="41" t="s">
        <v>8346</v>
      </c>
      <c r="M1296" s="41">
        <f>VLOOKUP(I1296,错误mRNA总表!D:I,6,FALSE)</f>
        <v>0</v>
      </c>
    </row>
    <row r="1297" spans="1:13" x14ac:dyDescent="0.2">
      <c r="A1297" s="12" t="s">
        <v>4676</v>
      </c>
      <c r="B1297" s="12" t="s">
        <v>4042</v>
      </c>
      <c r="C1297" s="12">
        <v>101905079</v>
      </c>
      <c r="D1297" s="12">
        <v>102029685</v>
      </c>
      <c r="E1297" s="12" t="s">
        <v>3940</v>
      </c>
      <c r="F1297" s="12">
        <v>2</v>
      </c>
      <c r="G1297" s="41" t="s">
        <v>113</v>
      </c>
      <c r="H1297" s="12" t="s">
        <v>118</v>
      </c>
      <c r="I1297" s="41" t="s">
        <v>2118</v>
      </c>
      <c r="J1297" s="41" t="s">
        <v>2118</v>
      </c>
      <c r="K1297" s="41" t="str">
        <f>VLOOKUP(J1297,错误mRNA总表!D:J,7,FALSE)</f>
        <v>纠后正确</v>
      </c>
      <c r="L1297" s="41" t="s">
        <v>3763</v>
      </c>
      <c r="M1297" s="41">
        <f>VLOOKUP(I1297,错误mRNA总表!D:I,6,FALSE)</f>
        <v>0</v>
      </c>
    </row>
    <row r="1298" spans="1:13" x14ac:dyDescent="0.2">
      <c r="A1298" s="12" t="s">
        <v>4677</v>
      </c>
      <c r="B1298" s="12" t="s">
        <v>4018</v>
      </c>
      <c r="C1298" s="12">
        <v>47721044</v>
      </c>
      <c r="D1298" s="12">
        <v>47742894</v>
      </c>
      <c r="E1298" s="12" t="s">
        <v>3940</v>
      </c>
      <c r="F1298" s="12">
        <v>1</v>
      </c>
      <c r="G1298" s="41" t="s">
        <v>241</v>
      </c>
      <c r="H1298" s="12" t="s">
        <v>5990</v>
      </c>
      <c r="I1298" s="41" t="s">
        <v>7246</v>
      </c>
      <c r="M1298" s="41" t="e">
        <f>VLOOKUP(I1298,错误mRNA总表!D:I,6,FALSE)</f>
        <v>#N/A</v>
      </c>
    </row>
    <row r="1299" spans="1:13" x14ac:dyDescent="0.2">
      <c r="A1299" s="12" t="s">
        <v>4677</v>
      </c>
      <c r="B1299" s="12" t="s">
        <v>4018</v>
      </c>
      <c r="C1299" s="12">
        <v>47721044</v>
      </c>
      <c r="D1299" s="12">
        <v>47721068</v>
      </c>
      <c r="E1299" s="12" t="s">
        <v>3940</v>
      </c>
      <c r="F1299" s="12">
        <v>1</v>
      </c>
      <c r="G1299" s="41" t="s">
        <v>241</v>
      </c>
      <c r="H1299" s="12" t="s">
        <v>5990</v>
      </c>
      <c r="I1299" s="41" t="s">
        <v>7246</v>
      </c>
      <c r="M1299" s="41" t="e">
        <f>VLOOKUP(I1299,错误mRNA总表!D:I,6,FALSE)</f>
        <v>#N/A</v>
      </c>
    </row>
    <row r="1300" spans="1:13" x14ac:dyDescent="0.2">
      <c r="A1300" s="12" t="s">
        <v>4677</v>
      </c>
      <c r="B1300" s="12" t="s">
        <v>4018</v>
      </c>
      <c r="C1300" s="12">
        <v>47721044</v>
      </c>
      <c r="D1300" s="12">
        <v>47721391</v>
      </c>
      <c r="E1300" s="12" t="s">
        <v>3940</v>
      </c>
      <c r="F1300" s="12">
        <v>1</v>
      </c>
      <c r="G1300" s="41" t="s">
        <v>241</v>
      </c>
      <c r="H1300" s="12" t="s">
        <v>5990</v>
      </c>
      <c r="I1300" s="41" t="s">
        <v>7246</v>
      </c>
      <c r="M1300" s="41" t="e">
        <f>VLOOKUP(I1300,错误mRNA总表!D:I,6,FALSE)</f>
        <v>#N/A</v>
      </c>
    </row>
    <row r="1301" spans="1:13" x14ac:dyDescent="0.2">
      <c r="A1301" s="12" t="s">
        <v>4678</v>
      </c>
      <c r="B1301" s="12" t="s">
        <v>4436</v>
      </c>
      <c r="C1301" s="12">
        <v>799</v>
      </c>
      <c r="D1301" s="12">
        <v>1530</v>
      </c>
      <c r="E1301" s="12" t="s">
        <v>3940</v>
      </c>
      <c r="F1301" s="12">
        <v>1592</v>
      </c>
      <c r="H1301" s="12" t="s">
        <v>3610</v>
      </c>
      <c r="I1301" s="41" t="s">
        <v>7247</v>
      </c>
      <c r="M1301" s="41" t="e">
        <f>VLOOKUP(I1301,错误mRNA总表!D:I,6,FALSE)</f>
        <v>#N/A</v>
      </c>
    </row>
    <row r="1302" spans="1:13" x14ac:dyDescent="0.2">
      <c r="A1302" s="12" t="s">
        <v>4678</v>
      </c>
      <c r="B1302" s="12" t="s">
        <v>4436</v>
      </c>
      <c r="C1302" s="12">
        <v>799</v>
      </c>
      <c r="D1302" s="12">
        <v>1455</v>
      </c>
      <c r="E1302" s="12" t="s">
        <v>3940</v>
      </c>
      <c r="F1302" s="12">
        <v>4</v>
      </c>
      <c r="H1302" s="12" t="s">
        <v>3610</v>
      </c>
      <c r="I1302" s="41" t="s">
        <v>7247</v>
      </c>
      <c r="M1302" s="41" t="e">
        <f>VLOOKUP(I1302,错误mRNA总表!D:I,6,FALSE)</f>
        <v>#N/A</v>
      </c>
    </row>
    <row r="1303" spans="1:13" x14ac:dyDescent="0.2">
      <c r="A1303" s="12" t="s">
        <v>4678</v>
      </c>
      <c r="B1303" s="12" t="s">
        <v>4436</v>
      </c>
      <c r="C1303" s="12">
        <v>799</v>
      </c>
      <c r="D1303" s="12">
        <v>1517</v>
      </c>
      <c r="E1303" s="12" t="s">
        <v>3943</v>
      </c>
      <c r="F1303" s="12">
        <v>3</v>
      </c>
      <c r="H1303" s="12" t="s">
        <v>3610</v>
      </c>
      <c r="I1303" s="41" t="s">
        <v>7247</v>
      </c>
      <c r="M1303" s="41" t="e">
        <f>VLOOKUP(I1303,错误mRNA总表!D:I,6,FALSE)</f>
        <v>#N/A</v>
      </c>
    </row>
    <row r="1304" spans="1:13" x14ac:dyDescent="0.2">
      <c r="A1304" s="12" t="s">
        <v>4678</v>
      </c>
      <c r="B1304" s="12" t="s">
        <v>4436</v>
      </c>
      <c r="C1304" s="12">
        <v>799</v>
      </c>
      <c r="D1304" s="12">
        <v>808</v>
      </c>
      <c r="E1304" s="12" t="s">
        <v>3940</v>
      </c>
      <c r="F1304" s="12">
        <v>2</v>
      </c>
      <c r="H1304" s="12" t="s">
        <v>3610</v>
      </c>
      <c r="I1304" s="41" t="s">
        <v>7247</v>
      </c>
      <c r="M1304" s="41" t="e">
        <f>VLOOKUP(I1304,错误mRNA总表!D:I,6,FALSE)</f>
        <v>#N/A</v>
      </c>
    </row>
    <row r="1305" spans="1:13" x14ac:dyDescent="0.2">
      <c r="A1305" s="12" t="s">
        <v>4678</v>
      </c>
      <c r="B1305" s="12" t="s">
        <v>4436</v>
      </c>
      <c r="C1305" s="12">
        <v>799</v>
      </c>
      <c r="D1305" s="12">
        <v>811</v>
      </c>
      <c r="E1305" s="12" t="s">
        <v>3940</v>
      </c>
      <c r="F1305" s="12">
        <v>1</v>
      </c>
      <c r="H1305" s="12" t="s">
        <v>3610</v>
      </c>
      <c r="I1305" s="41" t="s">
        <v>7247</v>
      </c>
      <c r="M1305" s="41" t="e">
        <f>VLOOKUP(I1305,错误mRNA总表!D:I,6,FALSE)</f>
        <v>#N/A</v>
      </c>
    </row>
    <row r="1306" spans="1:13" x14ac:dyDescent="0.2">
      <c r="A1306" s="12" t="s">
        <v>4678</v>
      </c>
      <c r="B1306" s="12" t="s">
        <v>4436</v>
      </c>
      <c r="C1306" s="12">
        <v>799</v>
      </c>
      <c r="D1306" s="12">
        <v>821</v>
      </c>
      <c r="E1306" s="12" t="s">
        <v>3943</v>
      </c>
      <c r="F1306" s="12">
        <v>1</v>
      </c>
      <c r="H1306" s="12" t="s">
        <v>3610</v>
      </c>
      <c r="I1306" s="41" t="s">
        <v>7247</v>
      </c>
      <c r="M1306" s="41" t="e">
        <f>VLOOKUP(I1306,错误mRNA总表!D:I,6,FALSE)</f>
        <v>#N/A</v>
      </c>
    </row>
    <row r="1307" spans="1:13" x14ac:dyDescent="0.2">
      <c r="A1307" s="12" t="s">
        <v>4678</v>
      </c>
      <c r="B1307" s="12" t="s">
        <v>4436</v>
      </c>
      <c r="C1307" s="12">
        <v>799</v>
      </c>
      <c r="D1307" s="12">
        <v>826</v>
      </c>
      <c r="E1307" s="12" t="s">
        <v>3943</v>
      </c>
      <c r="F1307" s="12">
        <v>11</v>
      </c>
      <c r="H1307" s="12" t="s">
        <v>3610</v>
      </c>
      <c r="I1307" s="41" t="s">
        <v>7247</v>
      </c>
      <c r="M1307" s="41" t="e">
        <f>VLOOKUP(I1307,错误mRNA总表!D:I,6,FALSE)</f>
        <v>#N/A</v>
      </c>
    </row>
    <row r="1308" spans="1:13" x14ac:dyDescent="0.2">
      <c r="A1308" s="12" t="s">
        <v>4679</v>
      </c>
      <c r="B1308" s="12" t="s">
        <v>3946</v>
      </c>
      <c r="C1308" s="12">
        <v>8706055</v>
      </c>
      <c r="D1308" s="12">
        <v>8725214</v>
      </c>
      <c r="E1308" s="12" t="s">
        <v>3940</v>
      </c>
      <c r="F1308" s="12">
        <v>1</v>
      </c>
      <c r="G1308" s="41" t="s">
        <v>47</v>
      </c>
      <c r="H1308" s="12" t="s">
        <v>189</v>
      </c>
      <c r="I1308" s="41" t="s">
        <v>2188</v>
      </c>
      <c r="J1308" s="41" t="s">
        <v>2188</v>
      </c>
      <c r="K1308" s="41" t="str">
        <f>VLOOKUP(J1308,错误mRNA总表!D:J,7,FALSE)</f>
        <v>纠后正确</v>
      </c>
      <c r="L1308" s="41" t="s">
        <v>3763</v>
      </c>
      <c r="M1308" s="41">
        <f>VLOOKUP(I1308,错误mRNA总表!D:I,6,FALSE)</f>
        <v>0</v>
      </c>
    </row>
    <row r="1309" spans="1:13" x14ac:dyDescent="0.2">
      <c r="A1309" s="12" t="s">
        <v>4550</v>
      </c>
      <c r="B1309" s="12" t="s">
        <v>4273</v>
      </c>
      <c r="C1309" s="12">
        <v>819632</v>
      </c>
      <c r="D1309" s="12">
        <v>821432</v>
      </c>
      <c r="E1309" s="12" t="s">
        <v>3940</v>
      </c>
      <c r="F1309" s="12">
        <v>22</v>
      </c>
      <c r="H1309" s="12" t="s">
        <v>214</v>
      </c>
      <c r="I1309" s="41" t="s">
        <v>6869</v>
      </c>
      <c r="J1309" s="41" t="s">
        <v>2170</v>
      </c>
      <c r="K1309" s="41" t="str">
        <f>VLOOKUP(J1309,错误mRNA总表!D:J,7,FALSE)</f>
        <v>Browser与原结果匹配，纠后与rs匹配(rs746499983)chr19:55350966-55359398</v>
      </c>
      <c r="M1309" s="41" t="e">
        <f>VLOOKUP(I1309,错误mRNA总表!D:I,6,FALSE)</f>
        <v>#N/A</v>
      </c>
    </row>
    <row r="1310" spans="1:13" x14ac:dyDescent="0.2">
      <c r="A1310" s="12" t="s">
        <v>4680</v>
      </c>
      <c r="B1310" s="12" t="s">
        <v>4023</v>
      </c>
      <c r="C1310" s="12">
        <v>762280</v>
      </c>
      <c r="D1310" s="12">
        <v>895550</v>
      </c>
      <c r="E1310" s="12" t="s">
        <v>3940</v>
      </c>
      <c r="F1310" s="12">
        <v>1</v>
      </c>
      <c r="H1310" s="12" t="s">
        <v>3634</v>
      </c>
      <c r="I1310" s="41" t="s">
        <v>7248</v>
      </c>
      <c r="M1310" s="41" t="e">
        <f>VLOOKUP(I1310,错误mRNA总表!D:I,6,FALSE)</f>
        <v>#N/A</v>
      </c>
    </row>
    <row r="1311" spans="1:13" x14ac:dyDescent="0.2">
      <c r="A1311" s="12" t="s">
        <v>4680</v>
      </c>
      <c r="B1311" s="12" t="s">
        <v>4023</v>
      </c>
      <c r="C1311" s="12">
        <v>762280</v>
      </c>
      <c r="D1311" s="12">
        <v>763397</v>
      </c>
      <c r="E1311" s="12" t="s">
        <v>3940</v>
      </c>
      <c r="F1311" s="12">
        <v>3</v>
      </c>
      <c r="H1311" s="12" t="s">
        <v>3634</v>
      </c>
      <c r="I1311" s="41" t="s">
        <v>7248</v>
      </c>
      <c r="M1311" s="41" t="e">
        <f>VLOOKUP(I1311,错误mRNA总表!D:I,6,FALSE)</f>
        <v>#N/A</v>
      </c>
    </row>
    <row r="1312" spans="1:13" x14ac:dyDescent="0.2">
      <c r="A1312" s="12" t="s">
        <v>4680</v>
      </c>
      <c r="B1312" s="12" t="s">
        <v>4023</v>
      </c>
      <c r="C1312" s="12">
        <v>762280</v>
      </c>
      <c r="D1312" s="12">
        <v>763561</v>
      </c>
      <c r="E1312" s="12" t="s">
        <v>3940</v>
      </c>
      <c r="F1312" s="12">
        <v>3</v>
      </c>
      <c r="H1312" s="12" t="s">
        <v>3634</v>
      </c>
      <c r="I1312" s="41" t="s">
        <v>7248</v>
      </c>
      <c r="M1312" s="41" t="e">
        <f>VLOOKUP(I1312,错误mRNA总表!D:I,6,FALSE)</f>
        <v>#N/A</v>
      </c>
    </row>
    <row r="1313" spans="1:13" x14ac:dyDescent="0.2">
      <c r="A1313" s="12" t="s">
        <v>4680</v>
      </c>
      <c r="B1313" s="12" t="s">
        <v>4023</v>
      </c>
      <c r="C1313" s="12">
        <v>762280</v>
      </c>
      <c r="D1313" s="12">
        <v>763693</v>
      </c>
      <c r="E1313" s="12" t="s">
        <v>3940</v>
      </c>
      <c r="F1313" s="12">
        <v>1</v>
      </c>
      <c r="H1313" s="12" t="s">
        <v>3634</v>
      </c>
      <c r="I1313" s="41" t="s">
        <v>7248</v>
      </c>
      <c r="M1313" s="41" t="e">
        <f>VLOOKUP(I1313,错误mRNA总表!D:I,6,FALSE)</f>
        <v>#N/A</v>
      </c>
    </row>
    <row r="1314" spans="1:13" x14ac:dyDescent="0.2">
      <c r="A1314" s="12" t="s">
        <v>4680</v>
      </c>
      <c r="B1314" s="12" t="s">
        <v>4023</v>
      </c>
      <c r="C1314" s="12">
        <v>762280</v>
      </c>
      <c r="D1314" s="12">
        <v>764045</v>
      </c>
      <c r="E1314" s="12" t="s">
        <v>3943</v>
      </c>
      <c r="F1314" s="12">
        <v>1</v>
      </c>
      <c r="H1314" s="12" t="s">
        <v>3634</v>
      </c>
      <c r="I1314" s="41" t="s">
        <v>7248</v>
      </c>
      <c r="M1314" s="41" t="e">
        <f>VLOOKUP(I1314,错误mRNA总表!D:I,6,FALSE)</f>
        <v>#N/A</v>
      </c>
    </row>
    <row r="1315" spans="1:13" x14ac:dyDescent="0.2">
      <c r="A1315" s="12" t="s">
        <v>4680</v>
      </c>
      <c r="B1315" s="12" t="s">
        <v>4023</v>
      </c>
      <c r="C1315" s="12">
        <v>762280</v>
      </c>
      <c r="D1315" s="12">
        <v>764501</v>
      </c>
      <c r="E1315" s="12" t="s">
        <v>3943</v>
      </c>
      <c r="F1315" s="12">
        <v>1</v>
      </c>
      <c r="H1315" s="12" t="s">
        <v>3634</v>
      </c>
      <c r="I1315" s="41" t="s">
        <v>7248</v>
      </c>
      <c r="M1315" s="41" t="e">
        <f>VLOOKUP(I1315,错误mRNA总表!D:I,6,FALSE)</f>
        <v>#N/A</v>
      </c>
    </row>
    <row r="1316" spans="1:13" x14ac:dyDescent="0.2">
      <c r="A1316" s="12" t="s">
        <v>4680</v>
      </c>
      <c r="B1316" s="12" t="s">
        <v>4023</v>
      </c>
      <c r="C1316" s="12">
        <v>762280</v>
      </c>
      <c r="D1316" s="12">
        <v>765228</v>
      </c>
      <c r="E1316" s="12" t="s">
        <v>3940</v>
      </c>
      <c r="F1316" s="12">
        <v>2</v>
      </c>
      <c r="H1316" s="12" t="s">
        <v>3634</v>
      </c>
      <c r="I1316" s="41" t="s">
        <v>7248</v>
      </c>
      <c r="M1316" s="41" t="e">
        <f>VLOOKUP(I1316,错误mRNA总表!D:I,6,FALSE)</f>
        <v>#N/A</v>
      </c>
    </row>
    <row r="1317" spans="1:13" x14ac:dyDescent="0.2">
      <c r="A1317" s="12" t="s">
        <v>4680</v>
      </c>
      <c r="B1317" s="12" t="s">
        <v>4023</v>
      </c>
      <c r="C1317" s="12">
        <v>762280</v>
      </c>
      <c r="D1317" s="12">
        <v>765290</v>
      </c>
      <c r="E1317" s="12" t="s">
        <v>3943</v>
      </c>
      <c r="F1317" s="12">
        <v>1</v>
      </c>
      <c r="H1317" s="12" t="s">
        <v>3634</v>
      </c>
      <c r="I1317" s="41" t="s">
        <v>7248</v>
      </c>
      <c r="M1317" s="41" t="e">
        <f>VLOOKUP(I1317,错误mRNA总表!D:I,6,FALSE)</f>
        <v>#N/A</v>
      </c>
    </row>
    <row r="1318" spans="1:13" x14ac:dyDescent="0.2">
      <c r="A1318" s="12" t="s">
        <v>4680</v>
      </c>
      <c r="B1318" s="12" t="s">
        <v>4023</v>
      </c>
      <c r="C1318" s="12">
        <v>762280</v>
      </c>
      <c r="D1318" s="12">
        <v>765526</v>
      </c>
      <c r="E1318" s="12" t="s">
        <v>3943</v>
      </c>
      <c r="F1318" s="12">
        <v>2</v>
      </c>
      <c r="H1318" s="12" t="s">
        <v>3634</v>
      </c>
      <c r="I1318" s="41" t="s">
        <v>7248</v>
      </c>
      <c r="M1318" s="41" t="e">
        <f>VLOOKUP(I1318,错误mRNA总表!D:I,6,FALSE)</f>
        <v>#N/A</v>
      </c>
    </row>
    <row r="1319" spans="1:13" x14ac:dyDescent="0.2">
      <c r="A1319" s="12" t="s">
        <v>4680</v>
      </c>
      <c r="B1319" s="12" t="s">
        <v>4023</v>
      </c>
      <c r="C1319" s="12">
        <v>762280</v>
      </c>
      <c r="D1319" s="12">
        <v>766121</v>
      </c>
      <c r="E1319" s="12" t="s">
        <v>3943</v>
      </c>
      <c r="F1319" s="12">
        <v>1</v>
      </c>
      <c r="H1319" s="12" t="s">
        <v>3634</v>
      </c>
      <c r="I1319" s="41" t="s">
        <v>7248</v>
      </c>
      <c r="M1319" s="41" t="e">
        <f>VLOOKUP(I1319,错误mRNA总表!D:I,6,FALSE)</f>
        <v>#N/A</v>
      </c>
    </row>
    <row r="1320" spans="1:13" x14ac:dyDescent="0.2">
      <c r="A1320" s="12" t="s">
        <v>4680</v>
      </c>
      <c r="B1320" s="12" t="s">
        <v>4023</v>
      </c>
      <c r="C1320" s="12">
        <v>762280</v>
      </c>
      <c r="D1320" s="12">
        <v>766198</v>
      </c>
      <c r="E1320" s="12" t="s">
        <v>3943</v>
      </c>
      <c r="F1320" s="12">
        <v>1</v>
      </c>
      <c r="H1320" s="12" t="s">
        <v>3634</v>
      </c>
      <c r="I1320" s="41" t="s">
        <v>7248</v>
      </c>
      <c r="M1320" s="41" t="e">
        <f>VLOOKUP(I1320,错误mRNA总表!D:I,6,FALSE)</f>
        <v>#N/A</v>
      </c>
    </row>
    <row r="1321" spans="1:13" x14ac:dyDescent="0.2">
      <c r="A1321" s="12" t="s">
        <v>4681</v>
      </c>
      <c r="B1321" s="12" t="s">
        <v>3948</v>
      </c>
      <c r="C1321" s="12">
        <v>66205643</v>
      </c>
      <c r="D1321" s="12">
        <v>66274377</v>
      </c>
      <c r="E1321" s="12" t="s">
        <v>3940</v>
      </c>
      <c r="F1321" s="12">
        <v>2</v>
      </c>
      <c r="G1321" s="41" t="s">
        <v>40</v>
      </c>
      <c r="H1321" s="12" t="s">
        <v>6411</v>
      </c>
      <c r="I1321" s="41" t="s">
        <v>7249</v>
      </c>
      <c r="M1321" s="41" t="e">
        <f>VLOOKUP(I1321,错误mRNA总表!D:I,6,FALSE)</f>
        <v>#N/A</v>
      </c>
    </row>
    <row r="1322" spans="1:13" x14ac:dyDescent="0.2">
      <c r="A1322" s="12" t="s">
        <v>4682</v>
      </c>
      <c r="B1322" s="12" t="s">
        <v>4149</v>
      </c>
      <c r="C1322" s="12">
        <v>1845520</v>
      </c>
      <c r="D1322" s="12">
        <v>1845703</v>
      </c>
      <c r="E1322" s="12" t="s">
        <v>3940</v>
      </c>
      <c r="F1322" s="12">
        <v>1</v>
      </c>
      <c r="H1322" s="12" t="s">
        <v>3689</v>
      </c>
      <c r="I1322" s="41" t="s">
        <v>7250</v>
      </c>
      <c r="M1322" s="41" t="e">
        <f>VLOOKUP(I1322,错误mRNA总表!D:I,6,FALSE)</f>
        <v>#N/A</v>
      </c>
    </row>
    <row r="1323" spans="1:13" x14ac:dyDescent="0.2">
      <c r="A1323" s="12" t="s">
        <v>4683</v>
      </c>
      <c r="B1323" s="12" t="s">
        <v>4052</v>
      </c>
      <c r="C1323" s="12">
        <v>97889472</v>
      </c>
      <c r="D1323" s="12">
        <v>97920100</v>
      </c>
      <c r="E1323" s="12" t="s">
        <v>3940</v>
      </c>
      <c r="F1323" s="12">
        <v>1</v>
      </c>
      <c r="G1323" s="41" t="s">
        <v>93</v>
      </c>
      <c r="H1323" s="12" t="s">
        <v>3453</v>
      </c>
      <c r="I1323" s="41" t="s">
        <v>7251</v>
      </c>
      <c r="M1323" s="41" t="e">
        <f>VLOOKUP(I1323,错误mRNA总表!D:I,6,FALSE)</f>
        <v>#N/A</v>
      </c>
    </row>
    <row r="1324" spans="1:13" x14ac:dyDescent="0.2">
      <c r="A1324" s="12" t="s">
        <v>4684</v>
      </c>
      <c r="B1324" s="12" t="s">
        <v>3942</v>
      </c>
      <c r="C1324" s="12">
        <v>102455952</v>
      </c>
      <c r="D1324" s="12">
        <v>102512571</v>
      </c>
      <c r="E1324" s="12" t="s">
        <v>3940</v>
      </c>
      <c r="F1324" s="12">
        <v>1</v>
      </c>
      <c r="G1324" s="41" t="s">
        <v>186</v>
      </c>
      <c r="H1324" s="12" t="s">
        <v>5991</v>
      </c>
      <c r="I1324" s="41" t="s">
        <v>7252</v>
      </c>
      <c r="M1324" s="41" t="e">
        <f>VLOOKUP(I1324,错误mRNA总表!D:I,6,FALSE)</f>
        <v>#N/A</v>
      </c>
    </row>
    <row r="1325" spans="1:13" x14ac:dyDescent="0.2">
      <c r="A1325" s="12" t="s">
        <v>4685</v>
      </c>
      <c r="B1325" s="12" t="s">
        <v>4001</v>
      </c>
      <c r="C1325" s="12">
        <v>2168107</v>
      </c>
      <c r="D1325" s="12">
        <v>2168855</v>
      </c>
      <c r="E1325" s="12" t="s">
        <v>3940</v>
      </c>
      <c r="F1325" s="12">
        <v>1</v>
      </c>
      <c r="H1325" s="12" t="s">
        <v>3422</v>
      </c>
      <c r="I1325" s="41" t="s">
        <v>7253</v>
      </c>
      <c r="M1325" s="41" t="e">
        <f>VLOOKUP(I1325,错误mRNA总表!D:I,6,FALSE)</f>
        <v>#N/A</v>
      </c>
    </row>
    <row r="1326" spans="1:13" x14ac:dyDescent="0.2">
      <c r="A1326" s="12" t="s">
        <v>4685</v>
      </c>
      <c r="B1326" s="12" t="s">
        <v>4001</v>
      </c>
      <c r="C1326" s="12">
        <v>2168107</v>
      </c>
      <c r="D1326" s="12">
        <v>2168864</v>
      </c>
      <c r="E1326" s="12" t="s">
        <v>3943</v>
      </c>
      <c r="F1326" s="12">
        <v>2</v>
      </c>
      <c r="H1326" s="12" t="s">
        <v>3422</v>
      </c>
      <c r="I1326" s="41" t="s">
        <v>7253</v>
      </c>
      <c r="M1326" s="41" t="e">
        <f>VLOOKUP(I1326,错误mRNA总表!D:I,6,FALSE)</f>
        <v>#N/A</v>
      </c>
    </row>
    <row r="1327" spans="1:13" x14ac:dyDescent="0.2">
      <c r="A1327" s="12" t="s">
        <v>4573</v>
      </c>
      <c r="B1327" s="12" t="s">
        <v>3969</v>
      </c>
      <c r="C1327" s="12">
        <v>2318406</v>
      </c>
      <c r="D1327" s="12">
        <v>2320994</v>
      </c>
      <c r="E1327" s="12" t="s">
        <v>3943</v>
      </c>
      <c r="F1327" s="12">
        <v>1</v>
      </c>
      <c r="H1327" s="12" t="s">
        <v>6404</v>
      </c>
      <c r="I1327" s="41" t="s">
        <v>7254</v>
      </c>
      <c r="M1327" s="41" t="e">
        <f>VLOOKUP(I1327,错误mRNA总表!D:I,6,FALSE)</f>
        <v>#N/A</v>
      </c>
    </row>
    <row r="1328" spans="1:13" x14ac:dyDescent="0.2">
      <c r="A1328" s="12" t="s">
        <v>4686</v>
      </c>
      <c r="B1328" s="12" t="s">
        <v>4018</v>
      </c>
      <c r="C1328" s="12">
        <v>46419122</v>
      </c>
      <c r="D1328" s="12">
        <v>46419361</v>
      </c>
      <c r="E1328" s="12" t="s">
        <v>3943</v>
      </c>
      <c r="F1328" s="12">
        <v>1</v>
      </c>
      <c r="G1328" s="41" t="s">
        <v>241</v>
      </c>
      <c r="H1328" s="12" t="s">
        <v>6412</v>
      </c>
      <c r="I1328" s="41" t="s">
        <v>7255</v>
      </c>
      <c r="M1328" s="41" t="e">
        <f>VLOOKUP(I1328,错误mRNA总表!D:I,6,FALSE)</f>
        <v>#N/A</v>
      </c>
    </row>
    <row r="1329" spans="1:13" x14ac:dyDescent="0.2">
      <c r="A1329" s="12" t="s">
        <v>4687</v>
      </c>
      <c r="B1329" s="12" t="s">
        <v>4257</v>
      </c>
      <c r="C1329" s="12">
        <v>28164</v>
      </c>
      <c r="D1329" s="12">
        <v>50734</v>
      </c>
      <c r="E1329" s="12" t="s">
        <v>3940</v>
      </c>
      <c r="F1329" s="12">
        <v>685</v>
      </c>
      <c r="H1329" s="12" t="s">
        <v>5992</v>
      </c>
      <c r="I1329" s="41" t="s">
        <v>7256</v>
      </c>
      <c r="M1329" s="41" t="e">
        <f>VLOOKUP(I1329,错误mRNA总表!D:I,6,FALSE)</f>
        <v>#N/A</v>
      </c>
    </row>
    <row r="1330" spans="1:13" x14ac:dyDescent="0.2">
      <c r="A1330" s="12" t="s">
        <v>4687</v>
      </c>
      <c r="B1330" s="12" t="s">
        <v>4257</v>
      </c>
      <c r="C1330" s="12">
        <v>28164</v>
      </c>
      <c r="D1330" s="12">
        <v>56411</v>
      </c>
      <c r="E1330" s="12" t="s">
        <v>3940</v>
      </c>
      <c r="F1330" s="12">
        <v>238</v>
      </c>
      <c r="H1330" s="12" t="s">
        <v>5992</v>
      </c>
      <c r="I1330" s="41" t="s">
        <v>7256</v>
      </c>
      <c r="M1330" s="41" t="e">
        <f>VLOOKUP(I1330,错误mRNA总表!D:I,6,FALSE)</f>
        <v>#N/A</v>
      </c>
    </row>
    <row r="1331" spans="1:13" x14ac:dyDescent="0.2">
      <c r="A1331" s="12" t="s">
        <v>4687</v>
      </c>
      <c r="B1331" s="12" t="s">
        <v>4257</v>
      </c>
      <c r="C1331" s="12">
        <v>28164</v>
      </c>
      <c r="D1331" s="12">
        <v>56402</v>
      </c>
      <c r="E1331" s="12" t="s">
        <v>3940</v>
      </c>
      <c r="F1331" s="12">
        <v>1</v>
      </c>
      <c r="H1331" s="12" t="s">
        <v>5992</v>
      </c>
      <c r="I1331" s="41" t="s">
        <v>7256</v>
      </c>
      <c r="M1331" s="41" t="e">
        <f>VLOOKUP(I1331,错误mRNA总表!D:I,6,FALSE)</f>
        <v>#N/A</v>
      </c>
    </row>
    <row r="1332" spans="1:13" x14ac:dyDescent="0.2">
      <c r="A1332" s="12" t="s">
        <v>4687</v>
      </c>
      <c r="B1332" s="12" t="s">
        <v>4257</v>
      </c>
      <c r="C1332" s="12">
        <v>28164</v>
      </c>
      <c r="D1332" s="12">
        <v>57883</v>
      </c>
      <c r="E1332" s="12" t="s">
        <v>3940</v>
      </c>
      <c r="F1332" s="12">
        <v>134</v>
      </c>
      <c r="H1332" s="12" t="s">
        <v>5992</v>
      </c>
      <c r="I1332" s="41" t="s">
        <v>7256</v>
      </c>
      <c r="M1332" s="41" t="e">
        <f>VLOOKUP(I1332,错误mRNA总表!D:I,6,FALSE)</f>
        <v>#N/A</v>
      </c>
    </row>
    <row r="1333" spans="1:13" x14ac:dyDescent="0.2">
      <c r="A1333" s="12" t="s">
        <v>4687</v>
      </c>
      <c r="B1333" s="12" t="s">
        <v>4257</v>
      </c>
      <c r="C1333" s="12">
        <v>28164</v>
      </c>
      <c r="D1333" s="12">
        <v>57867</v>
      </c>
      <c r="E1333" s="12" t="s">
        <v>3940</v>
      </c>
      <c r="F1333" s="12">
        <v>1</v>
      </c>
      <c r="H1333" s="12" t="s">
        <v>5992</v>
      </c>
      <c r="I1333" s="41" t="s">
        <v>7256</v>
      </c>
      <c r="M1333" s="41" t="e">
        <f>VLOOKUP(I1333,错误mRNA总表!D:I,6,FALSE)</f>
        <v>#N/A</v>
      </c>
    </row>
    <row r="1334" spans="1:13" x14ac:dyDescent="0.2">
      <c r="A1334" s="12" t="s">
        <v>4297</v>
      </c>
      <c r="B1334" s="12" t="s">
        <v>3964</v>
      </c>
      <c r="C1334" s="12">
        <v>167871</v>
      </c>
      <c r="D1334" s="12">
        <v>167930</v>
      </c>
      <c r="E1334" s="12" t="s">
        <v>3940</v>
      </c>
      <c r="F1334" s="12">
        <v>2</v>
      </c>
      <c r="H1334" s="12" t="s">
        <v>5860</v>
      </c>
      <c r="I1334" s="41" t="s">
        <v>7257</v>
      </c>
      <c r="M1334" s="41" t="e">
        <f>VLOOKUP(I1334,错误mRNA总表!D:I,6,FALSE)</f>
        <v>#N/A</v>
      </c>
    </row>
    <row r="1335" spans="1:13" x14ac:dyDescent="0.2">
      <c r="A1335" s="12" t="s">
        <v>4688</v>
      </c>
      <c r="B1335" s="12" t="s">
        <v>3986</v>
      </c>
      <c r="C1335" s="12">
        <v>51125234</v>
      </c>
      <c r="D1335" s="12">
        <v>51125306</v>
      </c>
      <c r="E1335" s="12" t="s">
        <v>3943</v>
      </c>
      <c r="F1335" s="12">
        <v>1</v>
      </c>
      <c r="G1335" s="41" t="s">
        <v>50</v>
      </c>
      <c r="H1335" s="12" t="s">
        <v>6413</v>
      </c>
      <c r="I1335" s="41" t="s">
        <v>7258</v>
      </c>
      <c r="M1335" s="41" t="e">
        <f>VLOOKUP(I1335,错误mRNA总表!D:I,6,FALSE)</f>
        <v>#N/A</v>
      </c>
    </row>
    <row r="1336" spans="1:13" x14ac:dyDescent="0.2">
      <c r="A1336" s="12" t="s">
        <v>4086</v>
      </c>
      <c r="B1336" s="12" t="s">
        <v>4001</v>
      </c>
      <c r="C1336" s="12">
        <v>1134224</v>
      </c>
      <c r="D1336" s="12">
        <v>1135510</v>
      </c>
      <c r="E1336" s="12" t="s">
        <v>3940</v>
      </c>
      <c r="F1336" s="12">
        <v>38</v>
      </c>
      <c r="H1336" s="12" t="s">
        <v>6374</v>
      </c>
      <c r="I1336" s="41" t="s">
        <v>7259</v>
      </c>
      <c r="M1336" s="41" t="e">
        <f>VLOOKUP(I1336,错误mRNA总表!D:I,6,FALSE)</f>
        <v>#N/A</v>
      </c>
    </row>
    <row r="1337" spans="1:13" x14ac:dyDescent="0.2">
      <c r="A1337" s="12" t="s">
        <v>4086</v>
      </c>
      <c r="B1337" s="12" t="s">
        <v>4001</v>
      </c>
      <c r="C1337" s="12">
        <v>1134224</v>
      </c>
      <c r="D1337" s="12">
        <v>1134302</v>
      </c>
      <c r="E1337" s="12" t="s">
        <v>3940</v>
      </c>
      <c r="F1337" s="12">
        <v>1</v>
      </c>
      <c r="H1337" s="12" t="s">
        <v>6374</v>
      </c>
      <c r="I1337" s="41" t="s">
        <v>7259</v>
      </c>
      <c r="M1337" s="41" t="e">
        <f>VLOOKUP(I1337,错误mRNA总表!D:I,6,FALSE)</f>
        <v>#N/A</v>
      </c>
    </row>
    <row r="1338" spans="1:13" x14ac:dyDescent="0.2">
      <c r="A1338" s="12" t="s">
        <v>4086</v>
      </c>
      <c r="B1338" s="12" t="s">
        <v>4001</v>
      </c>
      <c r="C1338" s="12">
        <v>1134224</v>
      </c>
      <c r="D1338" s="12">
        <v>1134425</v>
      </c>
      <c r="E1338" s="12" t="s">
        <v>3943</v>
      </c>
      <c r="F1338" s="12">
        <v>4</v>
      </c>
      <c r="H1338" s="12" t="s">
        <v>6374</v>
      </c>
      <c r="I1338" s="41" t="s">
        <v>7259</v>
      </c>
      <c r="M1338" s="41" t="e">
        <f>VLOOKUP(I1338,错误mRNA总表!D:I,6,FALSE)</f>
        <v>#N/A</v>
      </c>
    </row>
    <row r="1339" spans="1:13" x14ac:dyDescent="0.2">
      <c r="A1339" s="12" t="s">
        <v>4086</v>
      </c>
      <c r="B1339" s="12" t="s">
        <v>4001</v>
      </c>
      <c r="C1339" s="12">
        <v>1134224</v>
      </c>
      <c r="D1339" s="12">
        <v>1134870</v>
      </c>
      <c r="E1339" s="12" t="s">
        <v>3943</v>
      </c>
      <c r="F1339" s="12">
        <v>1</v>
      </c>
      <c r="H1339" s="12" t="s">
        <v>6374</v>
      </c>
      <c r="I1339" s="41" t="s">
        <v>7259</v>
      </c>
      <c r="M1339" s="41" t="e">
        <f>VLOOKUP(I1339,错误mRNA总表!D:I,6,FALSE)</f>
        <v>#N/A</v>
      </c>
    </row>
    <row r="1340" spans="1:13" x14ac:dyDescent="0.2">
      <c r="A1340" s="12" t="s">
        <v>4086</v>
      </c>
      <c r="B1340" s="12" t="s">
        <v>4001</v>
      </c>
      <c r="C1340" s="12">
        <v>1134224</v>
      </c>
      <c r="D1340" s="12">
        <v>1135341</v>
      </c>
      <c r="E1340" s="12" t="s">
        <v>3940</v>
      </c>
      <c r="F1340" s="12">
        <v>1</v>
      </c>
      <c r="H1340" s="12" t="s">
        <v>6374</v>
      </c>
      <c r="I1340" s="41" t="s">
        <v>7259</v>
      </c>
      <c r="M1340" s="41" t="e">
        <f>VLOOKUP(I1340,错误mRNA总表!D:I,6,FALSE)</f>
        <v>#N/A</v>
      </c>
    </row>
    <row r="1341" spans="1:13" x14ac:dyDescent="0.2">
      <c r="A1341" s="12" t="s">
        <v>4086</v>
      </c>
      <c r="B1341" s="12" t="s">
        <v>4001</v>
      </c>
      <c r="C1341" s="12">
        <v>1134224</v>
      </c>
      <c r="D1341" s="12">
        <v>1135407</v>
      </c>
      <c r="E1341" s="12" t="s">
        <v>3940</v>
      </c>
      <c r="F1341" s="12">
        <v>4</v>
      </c>
      <c r="H1341" s="12" t="s">
        <v>6374</v>
      </c>
      <c r="I1341" s="41" t="s">
        <v>7259</v>
      </c>
      <c r="M1341" s="41" t="e">
        <f>VLOOKUP(I1341,错误mRNA总表!D:I,6,FALSE)</f>
        <v>#N/A</v>
      </c>
    </row>
    <row r="1342" spans="1:13" x14ac:dyDescent="0.2">
      <c r="A1342" s="12" t="s">
        <v>4689</v>
      </c>
      <c r="B1342" s="12" t="s">
        <v>3986</v>
      </c>
      <c r="C1342" s="12">
        <v>14198652</v>
      </c>
      <c r="D1342" s="12">
        <v>14200896</v>
      </c>
      <c r="E1342" s="12" t="s">
        <v>3940</v>
      </c>
      <c r="F1342" s="12">
        <v>318</v>
      </c>
      <c r="G1342" s="41" t="s">
        <v>50</v>
      </c>
      <c r="H1342" s="12" t="s">
        <v>1236</v>
      </c>
      <c r="I1342" s="41" t="s">
        <v>7260</v>
      </c>
      <c r="J1342" s="41" t="s">
        <v>2285</v>
      </c>
      <c r="K1342" s="41" t="str">
        <f>VLOOKUP(J1342,错误mRNA总表!D:J,7,FALSE)</f>
        <v>rs号无基因信息，加106个氨基酸chr19：14199229-14200895</v>
      </c>
      <c r="M1342" s="41" t="e">
        <f>VLOOKUP(I1342,错误mRNA总表!D:I,6,FALSE)</f>
        <v>#N/A</v>
      </c>
    </row>
    <row r="1343" spans="1:13" x14ac:dyDescent="0.2">
      <c r="A1343" s="12" t="s">
        <v>4160</v>
      </c>
      <c r="B1343" s="12" t="s">
        <v>3996</v>
      </c>
      <c r="C1343" s="12">
        <v>2597569</v>
      </c>
      <c r="D1343" s="12">
        <v>2599646</v>
      </c>
      <c r="E1343" s="12" t="s">
        <v>3940</v>
      </c>
      <c r="F1343" s="12">
        <v>3</v>
      </c>
      <c r="H1343" s="12" t="s">
        <v>669</v>
      </c>
      <c r="I1343" s="41" t="s">
        <v>7261</v>
      </c>
      <c r="J1343" s="41" t="s">
        <v>2606</v>
      </c>
      <c r="K1343" s="41" t="str">
        <f>VLOOKUP(J1343,错误mRNA总表!D:J,7,FALSE)</f>
        <v/>
      </c>
      <c r="M1343" s="41" t="e">
        <f>VLOOKUP(I1343,错误mRNA总表!D:I,6,FALSE)</f>
        <v>#N/A</v>
      </c>
    </row>
    <row r="1344" spans="1:13" x14ac:dyDescent="0.2">
      <c r="A1344" s="12" t="s">
        <v>4690</v>
      </c>
      <c r="B1344" s="12" t="s">
        <v>3969</v>
      </c>
      <c r="C1344" s="12">
        <v>2919236</v>
      </c>
      <c r="D1344" s="12">
        <v>2919414</v>
      </c>
      <c r="E1344" s="12" t="s">
        <v>3943</v>
      </c>
      <c r="F1344" s="12">
        <v>1</v>
      </c>
      <c r="H1344" s="12" t="s">
        <v>3570</v>
      </c>
      <c r="I1344" s="41" t="s">
        <v>7262</v>
      </c>
      <c r="M1344" s="41" t="e">
        <f>VLOOKUP(I1344,错误mRNA总表!D:I,6,FALSE)</f>
        <v>#N/A</v>
      </c>
    </row>
    <row r="1345" spans="1:13" x14ac:dyDescent="0.2">
      <c r="A1345" s="12" t="s">
        <v>4691</v>
      </c>
      <c r="B1345" s="12" t="s">
        <v>4001</v>
      </c>
      <c r="C1345" s="12">
        <v>928284</v>
      </c>
      <c r="D1345" s="12">
        <v>943634</v>
      </c>
      <c r="E1345" s="12" t="s">
        <v>3943</v>
      </c>
      <c r="F1345" s="12">
        <v>4</v>
      </c>
      <c r="H1345" s="12" t="s">
        <v>3529</v>
      </c>
      <c r="I1345" s="41" t="s">
        <v>7263</v>
      </c>
      <c r="M1345" s="41" t="e">
        <f>VLOOKUP(I1345,错误mRNA总表!D:I,6,FALSE)</f>
        <v>#N/A</v>
      </c>
    </row>
    <row r="1346" spans="1:13" x14ac:dyDescent="0.2">
      <c r="A1346" s="12" t="s">
        <v>4692</v>
      </c>
      <c r="B1346" s="12" t="s">
        <v>4052</v>
      </c>
      <c r="C1346" s="12">
        <v>97889813</v>
      </c>
      <c r="D1346" s="12">
        <v>97920100</v>
      </c>
      <c r="E1346" s="12" t="s">
        <v>3940</v>
      </c>
      <c r="F1346" s="12">
        <v>1</v>
      </c>
      <c r="G1346" s="41" t="s">
        <v>93</v>
      </c>
      <c r="H1346" s="12" t="s">
        <v>5993</v>
      </c>
      <c r="I1346" s="41" t="s">
        <v>7264</v>
      </c>
      <c r="M1346" s="41" t="e">
        <f>VLOOKUP(I1346,错误mRNA总表!D:I,6,FALSE)</f>
        <v>#N/A</v>
      </c>
    </row>
    <row r="1347" spans="1:13" x14ac:dyDescent="0.2">
      <c r="A1347" s="12" t="s">
        <v>4693</v>
      </c>
      <c r="B1347" s="12" t="s">
        <v>4124</v>
      </c>
      <c r="C1347" s="12">
        <v>31749656</v>
      </c>
      <c r="D1347" s="12">
        <v>31805880</v>
      </c>
      <c r="E1347" s="12" t="s">
        <v>3940</v>
      </c>
      <c r="F1347" s="12">
        <v>1</v>
      </c>
      <c r="G1347" s="41" t="s">
        <v>1</v>
      </c>
      <c r="H1347" s="12" t="s">
        <v>0</v>
      </c>
      <c r="I1347" s="41" t="s">
        <v>2144</v>
      </c>
      <c r="J1347" s="41" t="s">
        <v>2144</v>
      </c>
      <c r="K1347" s="41" t="str">
        <f>VLOOKUP(J1347,错误mRNA总表!D:J,7,FALSE)</f>
        <v>纠后正确</v>
      </c>
      <c r="L1347" s="41" t="s">
        <v>3763</v>
      </c>
      <c r="M1347" s="41">
        <f>VLOOKUP(I1347,错误mRNA总表!D:I,6,FALSE)</f>
        <v>0</v>
      </c>
    </row>
    <row r="1348" spans="1:13" x14ac:dyDescent="0.2">
      <c r="A1348" s="12" t="s">
        <v>4694</v>
      </c>
      <c r="B1348" s="12" t="s">
        <v>3957</v>
      </c>
      <c r="C1348" s="12">
        <v>46638826</v>
      </c>
      <c r="D1348" s="12">
        <v>46694313</v>
      </c>
      <c r="E1348" s="12" t="s">
        <v>3943</v>
      </c>
      <c r="F1348" s="12">
        <v>2</v>
      </c>
      <c r="G1348" s="41" t="s">
        <v>36</v>
      </c>
      <c r="H1348" s="12" t="s">
        <v>5994</v>
      </c>
      <c r="I1348" s="41" t="s">
        <v>7265</v>
      </c>
      <c r="M1348" s="41" t="e">
        <f>VLOOKUP(I1348,错误mRNA总表!D:I,6,FALSE)</f>
        <v>#N/A</v>
      </c>
    </row>
    <row r="1349" spans="1:13" x14ac:dyDescent="0.2">
      <c r="A1349" s="12" t="s">
        <v>4695</v>
      </c>
      <c r="B1349" s="12" t="s">
        <v>4696</v>
      </c>
      <c r="C1349" s="12">
        <v>40474</v>
      </c>
      <c r="D1349" s="12">
        <v>41419</v>
      </c>
      <c r="E1349" s="12" t="s">
        <v>3943</v>
      </c>
      <c r="F1349" s="12">
        <v>15</v>
      </c>
      <c r="H1349" s="12" t="s">
        <v>3628</v>
      </c>
      <c r="I1349" s="41" t="s">
        <v>7266</v>
      </c>
      <c r="M1349" s="41" t="e">
        <f>VLOOKUP(I1349,错误mRNA总表!D:I,6,FALSE)</f>
        <v>#N/A</v>
      </c>
    </row>
    <row r="1350" spans="1:13" x14ac:dyDescent="0.2">
      <c r="A1350" s="12" t="s">
        <v>4134</v>
      </c>
      <c r="B1350" s="12" t="s">
        <v>4001</v>
      </c>
      <c r="C1350" s="12">
        <v>928284</v>
      </c>
      <c r="D1350" s="12">
        <v>943634</v>
      </c>
      <c r="E1350" s="12" t="s">
        <v>3943</v>
      </c>
      <c r="F1350" s="12">
        <v>4</v>
      </c>
      <c r="H1350" s="12" t="s">
        <v>3524</v>
      </c>
      <c r="I1350" s="41" t="s">
        <v>7267</v>
      </c>
      <c r="M1350" s="41" t="e">
        <f>VLOOKUP(I1350,错误mRNA总表!D:I,6,FALSE)</f>
        <v>#N/A</v>
      </c>
    </row>
    <row r="1351" spans="1:13" x14ac:dyDescent="0.2">
      <c r="A1351" s="12" t="s">
        <v>4697</v>
      </c>
      <c r="B1351" s="12" t="s">
        <v>4042</v>
      </c>
      <c r="C1351" s="12">
        <v>101844133</v>
      </c>
      <c r="D1351" s="12">
        <v>102029685</v>
      </c>
      <c r="E1351" s="12" t="s">
        <v>3940</v>
      </c>
      <c r="F1351" s="12">
        <v>2</v>
      </c>
      <c r="G1351" s="41" t="s">
        <v>113</v>
      </c>
      <c r="H1351" s="12" t="s">
        <v>112</v>
      </c>
      <c r="I1351" s="41" t="s">
        <v>2113</v>
      </c>
      <c r="J1351" s="41" t="s">
        <v>2113</v>
      </c>
      <c r="K1351" s="41" t="str">
        <f>VLOOKUP(J1351,错误mRNA总表!D:J,7,FALSE)</f>
        <v>纠后正确</v>
      </c>
      <c r="L1351" s="41" t="s">
        <v>3763</v>
      </c>
      <c r="M1351" s="41">
        <f>VLOOKUP(I1351,错误mRNA总表!D:I,6,FALSE)</f>
        <v>0</v>
      </c>
    </row>
    <row r="1352" spans="1:13" x14ac:dyDescent="0.2">
      <c r="A1352" s="12" t="s">
        <v>4698</v>
      </c>
      <c r="B1352" s="12" t="s">
        <v>4012</v>
      </c>
      <c r="C1352" s="12">
        <v>76311115</v>
      </c>
      <c r="D1352" s="12">
        <v>76311603</v>
      </c>
      <c r="E1352" s="12" t="s">
        <v>3940</v>
      </c>
      <c r="F1352" s="12">
        <v>1</v>
      </c>
      <c r="G1352" s="41" t="s">
        <v>121</v>
      </c>
      <c r="H1352" s="12" t="s">
        <v>232</v>
      </c>
      <c r="I1352" s="41" t="s">
        <v>7268</v>
      </c>
      <c r="J1352" s="41" t="s">
        <v>2161</v>
      </c>
      <c r="K1352" s="41" t="str">
        <f>VLOOKUP(J1352,错误mRNA总表!D:J,7,FALSE)</f>
        <v>纠后正确</v>
      </c>
      <c r="M1352" s="41" t="e">
        <f>VLOOKUP(I1352,错误mRNA总表!D:I,6,FALSE)</f>
        <v>#N/A</v>
      </c>
    </row>
    <row r="1353" spans="1:13" x14ac:dyDescent="0.2">
      <c r="A1353" s="12" t="s">
        <v>4699</v>
      </c>
      <c r="B1353" s="12" t="s">
        <v>3946</v>
      </c>
      <c r="C1353" s="12">
        <v>5185558</v>
      </c>
      <c r="D1353" s="12">
        <v>5286886</v>
      </c>
      <c r="E1353" s="12" t="s">
        <v>3943</v>
      </c>
      <c r="F1353" s="12">
        <v>25</v>
      </c>
      <c r="G1353" s="41" t="s">
        <v>47</v>
      </c>
      <c r="H1353" s="12" t="s">
        <v>6579</v>
      </c>
      <c r="I1353" s="41" t="s">
        <v>7269</v>
      </c>
      <c r="M1353" s="41" t="e">
        <f>VLOOKUP(I1353,错误mRNA总表!D:I,6,FALSE)</f>
        <v>#N/A</v>
      </c>
    </row>
    <row r="1354" spans="1:13" x14ac:dyDescent="0.2">
      <c r="A1354" s="12" t="s">
        <v>4009</v>
      </c>
      <c r="B1354" s="12" t="s">
        <v>3996</v>
      </c>
      <c r="C1354" s="12">
        <v>3693660</v>
      </c>
      <c r="D1354" s="12">
        <v>3693697</v>
      </c>
      <c r="E1354" s="12" t="s">
        <v>3940</v>
      </c>
      <c r="F1354" s="12">
        <v>6</v>
      </c>
      <c r="H1354" s="12" t="s">
        <v>5784</v>
      </c>
      <c r="I1354" s="41" t="s">
        <v>7270</v>
      </c>
      <c r="M1354" s="41" t="e">
        <f>VLOOKUP(I1354,错误mRNA总表!D:I,6,FALSE)</f>
        <v>#N/A</v>
      </c>
    </row>
    <row r="1355" spans="1:13" x14ac:dyDescent="0.2">
      <c r="A1355" s="12" t="s">
        <v>4700</v>
      </c>
      <c r="B1355" s="12" t="s">
        <v>3957</v>
      </c>
      <c r="C1355" s="12">
        <v>46638826</v>
      </c>
      <c r="D1355" s="12">
        <v>46694313</v>
      </c>
      <c r="E1355" s="12" t="s">
        <v>3943</v>
      </c>
      <c r="F1355" s="12">
        <v>2</v>
      </c>
      <c r="G1355" s="41" t="s">
        <v>36</v>
      </c>
      <c r="H1355" s="12" t="s">
        <v>5995</v>
      </c>
      <c r="I1355" s="41" t="s">
        <v>7271</v>
      </c>
      <c r="M1355" s="41" t="e">
        <f>VLOOKUP(I1355,错误mRNA总表!D:I,6,FALSE)</f>
        <v>#N/A</v>
      </c>
    </row>
    <row r="1356" spans="1:13" x14ac:dyDescent="0.2">
      <c r="A1356" s="12" t="s">
        <v>4701</v>
      </c>
      <c r="B1356" s="12" t="s">
        <v>3948</v>
      </c>
      <c r="C1356" s="12">
        <v>153584182</v>
      </c>
      <c r="D1356" s="12">
        <v>154264004</v>
      </c>
      <c r="E1356" s="12" t="s">
        <v>3943</v>
      </c>
      <c r="F1356" s="12">
        <v>2</v>
      </c>
      <c r="G1356" s="41" t="s">
        <v>40</v>
      </c>
      <c r="H1356" s="12" t="s">
        <v>245</v>
      </c>
      <c r="I1356" s="41" t="s">
        <v>7272</v>
      </c>
      <c r="J1356" s="41" t="s">
        <v>2255</v>
      </c>
      <c r="K1356" s="41" t="str">
        <f>VLOOKUP(J1356,错误mRNA总表!D:J,7,FALSE)</f>
        <v>错误</v>
      </c>
      <c r="M1356" s="41" t="e">
        <f>VLOOKUP(I1356,错误mRNA总表!D:I,6,FALSE)</f>
        <v>#N/A</v>
      </c>
    </row>
    <row r="1357" spans="1:13" x14ac:dyDescent="0.2">
      <c r="A1357" s="12" t="s">
        <v>4701</v>
      </c>
      <c r="B1357" s="12" t="s">
        <v>3948</v>
      </c>
      <c r="C1357" s="12">
        <v>153584182</v>
      </c>
      <c r="D1357" s="12">
        <v>154264011</v>
      </c>
      <c r="E1357" s="12" t="s">
        <v>3940</v>
      </c>
      <c r="F1357" s="12">
        <v>4</v>
      </c>
      <c r="G1357" s="41" t="s">
        <v>40</v>
      </c>
      <c r="H1357" s="12" t="s">
        <v>245</v>
      </c>
      <c r="I1357" s="41" t="s">
        <v>7272</v>
      </c>
      <c r="J1357" s="41" t="s">
        <v>2255</v>
      </c>
      <c r="K1357" s="41" t="str">
        <f>VLOOKUP(J1357,错误mRNA总表!D:J,7,FALSE)</f>
        <v>错误</v>
      </c>
      <c r="M1357" s="41" t="e">
        <f>VLOOKUP(I1357,错误mRNA总表!D:I,6,FALSE)</f>
        <v>#N/A</v>
      </c>
    </row>
    <row r="1358" spans="1:13" x14ac:dyDescent="0.2">
      <c r="A1358" s="12" t="s">
        <v>4702</v>
      </c>
      <c r="B1358" s="12" t="s">
        <v>3954</v>
      </c>
      <c r="C1358" s="12">
        <v>53227</v>
      </c>
      <c r="D1358" s="12">
        <v>85997</v>
      </c>
      <c r="E1358" s="12" t="s">
        <v>3940</v>
      </c>
      <c r="F1358" s="12">
        <v>1</v>
      </c>
      <c r="G1358" s="41" t="s">
        <v>569</v>
      </c>
      <c r="H1358" s="12" t="s">
        <v>568</v>
      </c>
      <c r="I1358" s="41" t="s">
        <v>3322</v>
      </c>
      <c r="J1358" s="41" t="s">
        <v>3322</v>
      </c>
      <c r="K1358" s="41" t="str">
        <f>VLOOKUP(J1358,错误mRNA总表!D:J,7,FALSE)</f>
        <v>纠后正确</v>
      </c>
      <c r="L1358" s="41" t="s">
        <v>3763</v>
      </c>
      <c r="M1358" s="41">
        <f>VLOOKUP(I1358,错误mRNA总表!D:I,6,FALSE)</f>
        <v>0</v>
      </c>
    </row>
    <row r="1359" spans="1:13" x14ac:dyDescent="0.2">
      <c r="A1359" s="12" t="s">
        <v>4702</v>
      </c>
      <c r="B1359" s="12" t="s">
        <v>3954</v>
      </c>
      <c r="C1359" s="12">
        <v>53227</v>
      </c>
      <c r="D1359" s="12">
        <v>86017</v>
      </c>
      <c r="E1359" s="12" t="s">
        <v>3940</v>
      </c>
      <c r="F1359" s="12">
        <v>1</v>
      </c>
      <c r="G1359" s="41" t="s">
        <v>569</v>
      </c>
      <c r="H1359" s="12" t="s">
        <v>568</v>
      </c>
      <c r="I1359" s="41" t="s">
        <v>3322</v>
      </c>
      <c r="J1359" s="41" t="s">
        <v>3322</v>
      </c>
      <c r="K1359" s="41" t="str">
        <f>VLOOKUP(J1359,错误mRNA总表!D:J,7,FALSE)</f>
        <v>纠后正确</v>
      </c>
      <c r="L1359" s="41" t="s">
        <v>3763</v>
      </c>
      <c r="M1359" s="41">
        <f>VLOOKUP(I1359,错误mRNA总表!D:I,6,FALSE)</f>
        <v>0</v>
      </c>
    </row>
    <row r="1360" spans="1:13" x14ac:dyDescent="0.2">
      <c r="A1360" s="12" t="s">
        <v>4702</v>
      </c>
      <c r="B1360" s="12" t="s">
        <v>3954</v>
      </c>
      <c r="C1360" s="12">
        <v>53227</v>
      </c>
      <c r="D1360" s="12">
        <v>86033</v>
      </c>
      <c r="E1360" s="12" t="s">
        <v>3943</v>
      </c>
      <c r="F1360" s="12">
        <v>2</v>
      </c>
      <c r="G1360" s="41" t="s">
        <v>569</v>
      </c>
      <c r="H1360" s="12" t="s">
        <v>568</v>
      </c>
      <c r="I1360" s="41" t="s">
        <v>3322</v>
      </c>
      <c r="J1360" s="41" t="s">
        <v>3322</v>
      </c>
      <c r="K1360" s="41" t="str">
        <f>VLOOKUP(J1360,错误mRNA总表!D:J,7,FALSE)</f>
        <v>纠后正确</v>
      </c>
      <c r="L1360" s="41" t="s">
        <v>3763</v>
      </c>
      <c r="M1360" s="41">
        <f>VLOOKUP(I1360,错误mRNA总表!D:I,6,FALSE)</f>
        <v>0</v>
      </c>
    </row>
    <row r="1361" spans="1:13" x14ac:dyDescent="0.2">
      <c r="A1361" s="12" t="s">
        <v>4702</v>
      </c>
      <c r="B1361" s="12" t="s">
        <v>3954</v>
      </c>
      <c r="C1361" s="12">
        <v>53227</v>
      </c>
      <c r="D1361" s="12">
        <v>86102</v>
      </c>
      <c r="E1361" s="12" t="s">
        <v>3940</v>
      </c>
      <c r="F1361" s="12">
        <v>1</v>
      </c>
      <c r="G1361" s="41" t="s">
        <v>569</v>
      </c>
      <c r="H1361" s="12" t="s">
        <v>568</v>
      </c>
      <c r="I1361" s="41" t="s">
        <v>3322</v>
      </c>
      <c r="J1361" s="41" t="s">
        <v>3322</v>
      </c>
      <c r="K1361" s="41" t="str">
        <f>VLOOKUP(J1361,错误mRNA总表!D:J,7,FALSE)</f>
        <v>纠后正确</v>
      </c>
      <c r="L1361" s="41" t="s">
        <v>3763</v>
      </c>
      <c r="M1361" s="41">
        <f>VLOOKUP(I1361,错误mRNA总表!D:I,6,FALSE)</f>
        <v>0</v>
      </c>
    </row>
    <row r="1362" spans="1:13" x14ac:dyDescent="0.2">
      <c r="A1362" s="12" t="s">
        <v>4702</v>
      </c>
      <c r="B1362" s="12" t="s">
        <v>3954</v>
      </c>
      <c r="C1362" s="12">
        <v>53227</v>
      </c>
      <c r="D1362" s="12">
        <v>87314</v>
      </c>
      <c r="E1362" s="12" t="s">
        <v>3940</v>
      </c>
      <c r="F1362" s="12">
        <v>1</v>
      </c>
      <c r="G1362" s="41" t="s">
        <v>569</v>
      </c>
      <c r="H1362" s="12" t="s">
        <v>568</v>
      </c>
      <c r="I1362" s="41" t="s">
        <v>3322</v>
      </c>
      <c r="J1362" s="41" t="s">
        <v>3322</v>
      </c>
      <c r="K1362" s="41" t="str">
        <f>VLOOKUP(J1362,错误mRNA总表!D:J,7,FALSE)</f>
        <v>纠后正确</v>
      </c>
      <c r="L1362" s="41" t="s">
        <v>3763</v>
      </c>
      <c r="M1362" s="41">
        <f>VLOOKUP(I1362,错误mRNA总表!D:I,6,FALSE)</f>
        <v>0</v>
      </c>
    </row>
    <row r="1363" spans="1:13" x14ac:dyDescent="0.2">
      <c r="A1363" s="12" t="s">
        <v>4702</v>
      </c>
      <c r="B1363" s="12" t="s">
        <v>3954</v>
      </c>
      <c r="C1363" s="12">
        <v>53227</v>
      </c>
      <c r="D1363" s="12">
        <v>87626</v>
      </c>
      <c r="E1363" s="12" t="s">
        <v>3940</v>
      </c>
      <c r="F1363" s="12">
        <v>2</v>
      </c>
      <c r="G1363" s="41" t="s">
        <v>569</v>
      </c>
      <c r="H1363" s="12" t="s">
        <v>568</v>
      </c>
      <c r="I1363" s="41" t="s">
        <v>3322</v>
      </c>
      <c r="J1363" s="41" t="s">
        <v>3322</v>
      </c>
      <c r="K1363" s="41" t="str">
        <f>VLOOKUP(J1363,错误mRNA总表!D:J,7,FALSE)</f>
        <v>纠后正确</v>
      </c>
      <c r="L1363" s="41" t="s">
        <v>3763</v>
      </c>
      <c r="M1363" s="41">
        <f>VLOOKUP(I1363,错误mRNA总表!D:I,6,FALSE)</f>
        <v>0</v>
      </c>
    </row>
    <row r="1364" spans="1:13" x14ac:dyDescent="0.2">
      <c r="A1364" s="12" t="s">
        <v>4703</v>
      </c>
      <c r="B1364" s="12" t="s">
        <v>3957</v>
      </c>
      <c r="C1364" s="12">
        <v>46638826</v>
      </c>
      <c r="D1364" s="12">
        <v>46694313</v>
      </c>
      <c r="E1364" s="12" t="s">
        <v>3943</v>
      </c>
      <c r="F1364" s="12">
        <v>2</v>
      </c>
      <c r="G1364" s="41" t="s">
        <v>36</v>
      </c>
      <c r="H1364" s="12" t="s">
        <v>5996</v>
      </c>
      <c r="I1364" s="41" t="s">
        <v>7273</v>
      </c>
      <c r="M1364" s="41" t="e">
        <f>VLOOKUP(I1364,错误mRNA总表!D:I,6,FALSE)</f>
        <v>#N/A</v>
      </c>
    </row>
    <row r="1365" spans="1:13" x14ac:dyDescent="0.2">
      <c r="A1365" s="12" t="s">
        <v>4704</v>
      </c>
      <c r="B1365" s="12" t="s">
        <v>4042</v>
      </c>
      <c r="C1365" s="12">
        <v>101844133</v>
      </c>
      <c r="D1365" s="12">
        <v>102029685</v>
      </c>
      <c r="E1365" s="12" t="s">
        <v>3940</v>
      </c>
      <c r="F1365" s="12">
        <v>2</v>
      </c>
      <c r="G1365" s="41" t="s">
        <v>113</v>
      </c>
      <c r="H1365" s="12" t="s">
        <v>114</v>
      </c>
      <c r="I1365" s="41" t="s">
        <v>2114</v>
      </c>
      <c r="J1365" s="41" t="s">
        <v>2114</v>
      </c>
      <c r="K1365" s="41" t="str">
        <f>VLOOKUP(J1365,错误mRNA总表!D:J,7,FALSE)</f>
        <v>纠后正确</v>
      </c>
      <c r="L1365" s="41" t="s">
        <v>3763</v>
      </c>
      <c r="M1365" s="41">
        <f>VLOOKUP(I1365,错误mRNA总表!D:I,6,FALSE)</f>
        <v>0</v>
      </c>
    </row>
    <row r="1366" spans="1:13" x14ac:dyDescent="0.2">
      <c r="A1366" s="12" t="s">
        <v>4705</v>
      </c>
      <c r="B1366" s="12" t="s">
        <v>3957</v>
      </c>
      <c r="C1366" s="12">
        <v>20409076</v>
      </c>
      <c r="D1366" s="12">
        <v>20530816</v>
      </c>
      <c r="E1366" s="12" t="s">
        <v>3943</v>
      </c>
      <c r="F1366" s="12">
        <v>2</v>
      </c>
      <c r="G1366" s="41" t="s">
        <v>36</v>
      </c>
      <c r="H1366" s="12" t="s">
        <v>923</v>
      </c>
      <c r="I1366" s="41" t="s">
        <v>2823</v>
      </c>
      <c r="J1366" s="41" t="s">
        <v>2823</v>
      </c>
      <c r="K1366" s="41" t="str">
        <f>VLOOKUP(J1366,错误mRNA总表!D:J,7,FALSE)</f>
        <v/>
      </c>
      <c r="L1366" s="41" t="s">
        <v>3762</v>
      </c>
      <c r="M1366" s="41">
        <f>VLOOKUP(I1366,错误mRNA总表!D:I,6,FALSE)</f>
        <v>0</v>
      </c>
    </row>
    <row r="1367" spans="1:13" x14ac:dyDescent="0.2">
      <c r="A1367" s="12" t="s">
        <v>4706</v>
      </c>
      <c r="B1367" s="12" t="s">
        <v>4001</v>
      </c>
      <c r="C1367" s="12">
        <v>3604982</v>
      </c>
      <c r="D1367" s="12">
        <v>3604983</v>
      </c>
      <c r="E1367" s="12" t="s">
        <v>3940</v>
      </c>
      <c r="F1367" s="12">
        <v>2</v>
      </c>
      <c r="H1367" s="12" t="s">
        <v>3432</v>
      </c>
      <c r="I1367" s="41" t="s">
        <v>6891</v>
      </c>
      <c r="M1367" s="41" t="e">
        <f>VLOOKUP(I1367,错误mRNA总表!D:I,6,FALSE)</f>
        <v>#N/A</v>
      </c>
    </row>
    <row r="1368" spans="1:13" x14ac:dyDescent="0.2">
      <c r="A1368" s="12" t="s">
        <v>4707</v>
      </c>
      <c r="B1368" s="12" t="s">
        <v>3946</v>
      </c>
      <c r="C1368" s="12">
        <v>26721661</v>
      </c>
      <c r="D1368" s="12">
        <v>26727721</v>
      </c>
      <c r="E1368" s="12" t="s">
        <v>3943</v>
      </c>
      <c r="F1368" s="12">
        <v>1</v>
      </c>
      <c r="G1368" s="41" t="s">
        <v>47</v>
      </c>
      <c r="H1368" s="12" t="s">
        <v>1164</v>
      </c>
      <c r="I1368" s="41" t="s">
        <v>3386</v>
      </c>
      <c r="J1368" s="41" t="s">
        <v>3386</v>
      </c>
      <c r="K1368" s="41" t="str">
        <f>VLOOKUP(J1368,错误mRNA总表!D:J,7,FALSE)</f>
        <v>纠后正确</v>
      </c>
      <c r="L1368" s="41" t="s">
        <v>3763</v>
      </c>
      <c r="M1368" s="41">
        <f>VLOOKUP(I1368,错误mRNA总表!D:I,6,FALSE)</f>
        <v>0</v>
      </c>
    </row>
    <row r="1369" spans="1:13" x14ac:dyDescent="0.2">
      <c r="A1369" s="12" t="s">
        <v>4708</v>
      </c>
      <c r="B1369" s="12" t="s">
        <v>4018</v>
      </c>
      <c r="C1369" s="12">
        <v>17553718</v>
      </c>
      <c r="D1369" s="12">
        <v>17981988</v>
      </c>
      <c r="E1369" s="12" t="s">
        <v>3940</v>
      </c>
      <c r="F1369" s="12">
        <v>1</v>
      </c>
      <c r="G1369" s="41" t="s">
        <v>241</v>
      </c>
      <c r="H1369" s="12" t="s">
        <v>5997</v>
      </c>
      <c r="I1369" s="41" t="s">
        <v>7274</v>
      </c>
      <c r="M1369" s="41" t="e">
        <f>VLOOKUP(I1369,错误mRNA总表!D:I,6,FALSE)</f>
        <v>#N/A</v>
      </c>
    </row>
    <row r="1370" spans="1:13" x14ac:dyDescent="0.2">
      <c r="A1370" s="12" t="s">
        <v>4709</v>
      </c>
      <c r="B1370" s="12" t="s">
        <v>3948</v>
      </c>
      <c r="C1370" s="12">
        <v>149412102</v>
      </c>
      <c r="D1370" s="12">
        <v>149426307</v>
      </c>
      <c r="E1370" s="12" t="s">
        <v>3940</v>
      </c>
      <c r="F1370" s="12">
        <v>1</v>
      </c>
      <c r="G1370" s="41" t="s">
        <v>40</v>
      </c>
      <c r="H1370" s="12" t="s">
        <v>5998</v>
      </c>
      <c r="I1370" s="41" t="s">
        <v>7275</v>
      </c>
      <c r="M1370" s="41" t="e">
        <f>VLOOKUP(I1370,错误mRNA总表!D:I,6,FALSE)</f>
        <v>#N/A</v>
      </c>
    </row>
    <row r="1371" spans="1:13" x14ac:dyDescent="0.2">
      <c r="A1371" s="12" t="s">
        <v>4710</v>
      </c>
      <c r="B1371" s="12" t="s">
        <v>4004</v>
      </c>
      <c r="C1371" s="12">
        <v>48685669</v>
      </c>
      <c r="D1371" s="12">
        <v>48805816</v>
      </c>
      <c r="E1371" s="12" t="s">
        <v>3940</v>
      </c>
      <c r="F1371" s="12">
        <v>1</v>
      </c>
      <c r="G1371" s="41" t="s">
        <v>103</v>
      </c>
      <c r="H1371" s="12" t="s">
        <v>134</v>
      </c>
      <c r="I1371" s="41" t="s">
        <v>2127</v>
      </c>
      <c r="J1371" s="41" t="s">
        <v>2127</v>
      </c>
      <c r="K1371" s="41" t="str">
        <f>VLOOKUP(J1371,错误mRNA总表!D:J,7,FALSE)</f>
        <v>纠后正确</v>
      </c>
      <c r="L1371" s="41" t="s">
        <v>3763</v>
      </c>
      <c r="M1371" s="41">
        <f>VLOOKUP(I1371,错误mRNA总表!D:I,6,FALSE)</f>
        <v>0</v>
      </c>
    </row>
    <row r="1372" spans="1:13" x14ac:dyDescent="0.2">
      <c r="A1372" s="12" t="s">
        <v>4711</v>
      </c>
      <c r="B1372" s="12" t="s">
        <v>4042</v>
      </c>
      <c r="C1372" s="12">
        <v>101923953</v>
      </c>
      <c r="D1372" s="12">
        <v>102029685</v>
      </c>
      <c r="E1372" s="12" t="s">
        <v>3940</v>
      </c>
      <c r="F1372" s="12">
        <v>2</v>
      </c>
      <c r="G1372" s="41" t="s">
        <v>113</v>
      </c>
      <c r="H1372" s="12" t="s">
        <v>115</v>
      </c>
      <c r="I1372" s="41" t="s">
        <v>2115</v>
      </c>
      <c r="J1372" s="41" t="s">
        <v>2115</v>
      </c>
      <c r="K1372" s="41" t="str">
        <f>VLOOKUP(J1372,错误mRNA总表!D:J,7,FALSE)</f>
        <v>纠后正确</v>
      </c>
      <c r="L1372" s="41" t="s">
        <v>3763</v>
      </c>
      <c r="M1372" s="41">
        <f>VLOOKUP(I1372,错误mRNA总表!D:I,6,FALSE)</f>
        <v>0</v>
      </c>
    </row>
    <row r="1373" spans="1:13" x14ac:dyDescent="0.2">
      <c r="A1373" s="12" t="s">
        <v>4712</v>
      </c>
      <c r="B1373" s="12" t="s">
        <v>4124</v>
      </c>
      <c r="C1373" s="12">
        <v>95831162</v>
      </c>
      <c r="D1373" s="12">
        <v>95847046</v>
      </c>
      <c r="E1373" s="12" t="s">
        <v>3943</v>
      </c>
      <c r="F1373" s="12">
        <v>3</v>
      </c>
      <c r="G1373" s="41" t="s">
        <v>1</v>
      </c>
      <c r="H1373" s="12" t="s">
        <v>5999</v>
      </c>
      <c r="I1373" s="41" t="s">
        <v>7276</v>
      </c>
      <c r="M1373" s="41" t="e">
        <f>VLOOKUP(I1373,错误mRNA总表!D:I,6,FALSE)</f>
        <v>#N/A</v>
      </c>
    </row>
    <row r="1374" spans="1:13" x14ac:dyDescent="0.2">
      <c r="A1374" s="12" t="s">
        <v>4713</v>
      </c>
      <c r="B1374" s="12" t="s">
        <v>3948</v>
      </c>
      <c r="C1374" s="12">
        <v>150712239</v>
      </c>
      <c r="D1374" s="12">
        <v>150713902</v>
      </c>
      <c r="E1374" s="12" t="s">
        <v>3940</v>
      </c>
      <c r="F1374" s="12">
        <v>1</v>
      </c>
      <c r="G1374" s="41" t="s">
        <v>40</v>
      </c>
      <c r="H1374" s="12" t="s">
        <v>6000</v>
      </c>
      <c r="I1374" s="41" t="s">
        <v>7277</v>
      </c>
      <c r="M1374" s="41" t="e">
        <f>VLOOKUP(I1374,错误mRNA总表!D:I,6,FALSE)</f>
        <v>#N/A</v>
      </c>
    </row>
    <row r="1375" spans="1:13" x14ac:dyDescent="0.2">
      <c r="A1375" s="12" t="s">
        <v>4714</v>
      </c>
      <c r="B1375" s="12" t="s">
        <v>3966</v>
      </c>
      <c r="C1375" s="12">
        <v>22838767</v>
      </c>
      <c r="D1375" s="12">
        <v>22840122</v>
      </c>
      <c r="E1375" s="12" t="s">
        <v>3940</v>
      </c>
      <c r="F1375" s="12">
        <v>4</v>
      </c>
      <c r="G1375" s="41" t="s">
        <v>43</v>
      </c>
      <c r="H1375" s="12" t="s">
        <v>6001</v>
      </c>
      <c r="I1375" s="41" t="s">
        <v>7278</v>
      </c>
      <c r="M1375" s="41" t="e">
        <f>VLOOKUP(I1375,错误mRNA总表!D:I,6,FALSE)</f>
        <v>#N/A</v>
      </c>
    </row>
    <row r="1376" spans="1:13" x14ac:dyDescent="0.2">
      <c r="A1376" s="12" t="s">
        <v>4715</v>
      </c>
      <c r="B1376" s="12" t="s">
        <v>3948</v>
      </c>
      <c r="C1376" s="12">
        <v>101928353</v>
      </c>
      <c r="D1376" s="12">
        <v>101952188</v>
      </c>
      <c r="E1376" s="12" t="s">
        <v>3940</v>
      </c>
      <c r="F1376" s="12">
        <v>246</v>
      </c>
      <c r="G1376" s="41" t="s">
        <v>40</v>
      </c>
      <c r="H1376" s="12" t="s">
        <v>749</v>
      </c>
      <c r="I1376" s="41" t="s">
        <v>7279</v>
      </c>
      <c r="J1376" s="41" t="s">
        <v>2246</v>
      </c>
      <c r="K1376" s="41" t="str">
        <f>VLOOKUP(J1376,错误mRNA总表!D:J,7,FALSE)</f>
        <v>多82个氨基酸，但无法验证哪个正确，NCBIrs无氨基酸注释信息chr7:101957639-101962097</v>
      </c>
      <c r="M1376" s="41" t="e">
        <f>VLOOKUP(I1376,错误mRNA总表!D:I,6,FALSE)</f>
        <v>#N/A</v>
      </c>
    </row>
    <row r="1377" spans="1:13" x14ac:dyDescent="0.2">
      <c r="A1377" s="12" t="s">
        <v>4043</v>
      </c>
      <c r="B1377" s="12" t="s">
        <v>3994</v>
      </c>
      <c r="C1377" s="12">
        <v>1186623</v>
      </c>
      <c r="D1377" s="12">
        <v>1187191</v>
      </c>
      <c r="E1377" s="12" t="s">
        <v>3940</v>
      </c>
      <c r="F1377" s="12">
        <v>8</v>
      </c>
      <c r="H1377" s="12" t="s">
        <v>6374</v>
      </c>
      <c r="I1377" s="41" t="s">
        <v>7280</v>
      </c>
      <c r="M1377" s="41" t="e">
        <f>VLOOKUP(I1377,错误mRNA总表!D:I,6,FALSE)</f>
        <v>#N/A</v>
      </c>
    </row>
    <row r="1378" spans="1:13" x14ac:dyDescent="0.2">
      <c r="A1378" s="12" t="s">
        <v>4716</v>
      </c>
      <c r="B1378" s="12" t="s">
        <v>3973</v>
      </c>
      <c r="C1378" s="12">
        <v>16860337</v>
      </c>
      <c r="D1378" s="12">
        <v>16863136</v>
      </c>
      <c r="E1378" s="12" t="s">
        <v>3943</v>
      </c>
      <c r="F1378" s="12">
        <v>1</v>
      </c>
      <c r="G1378" s="41" t="s">
        <v>139</v>
      </c>
      <c r="H1378" s="12" t="s">
        <v>6002</v>
      </c>
      <c r="I1378" s="41" t="s">
        <v>7281</v>
      </c>
      <c r="M1378" s="41" t="e">
        <f>VLOOKUP(I1378,错误mRNA总表!D:I,6,FALSE)</f>
        <v>#N/A</v>
      </c>
    </row>
    <row r="1379" spans="1:13" x14ac:dyDescent="0.2">
      <c r="A1379" s="12" t="s">
        <v>4716</v>
      </c>
      <c r="B1379" s="12" t="s">
        <v>3973</v>
      </c>
      <c r="C1379" s="12">
        <v>16860337</v>
      </c>
      <c r="D1379" s="12">
        <v>16860422</v>
      </c>
      <c r="E1379" s="12" t="s">
        <v>3940</v>
      </c>
      <c r="F1379" s="12">
        <v>4</v>
      </c>
      <c r="G1379" s="41" t="s">
        <v>139</v>
      </c>
      <c r="H1379" s="12" t="s">
        <v>6002</v>
      </c>
      <c r="I1379" s="41" t="s">
        <v>7281</v>
      </c>
      <c r="M1379" s="41" t="e">
        <f>VLOOKUP(I1379,错误mRNA总表!D:I,6,FALSE)</f>
        <v>#N/A</v>
      </c>
    </row>
    <row r="1380" spans="1:13" x14ac:dyDescent="0.2">
      <c r="A1380" s="12" t="s">
        <v>4716</v>
      </c>
      <c r="B1380" s="12" t="s">
        <v>3973</v>
      </c>
      <c r="C1380" s="12">
        <v>16860337</v>
      </c>
      <c r="D1380" s="12">
        <v>16860448</v>
      </c>
      <c r="E1380" s="12" t="s">
        <v>3943</v>
      </c>
      <c r="F1380" s="12">
        <v>1</v>
      </c>
      <c r="G1380" s="41" t="s">
        <v>139</v>
      </c>
      <c r="H1380" s="12" t="s">
        <v>6002</v>
      </c>
      <c r="I1380" s="41" t="s">
        <v>7281</v>
      </c>
      <c r="M1380" s="41" t="e">
        <f>VLOOKUP(I1380,错误mRNA总表!D:I,6,FALSE)</f>
        <v>#N/A</v>
      </c>
    </row>
    <row r="1381" spans="1:13" x14ac:dyDescent="0.2">
      <c r="A1381" s="12" t="s">
        <v>4716</v>
      </c>
      <c r="B1381" s="12" t="s">
        <v>3973</v>
      </c>
      <c r="C1381" s="12">
        <v>16860337</v>
      </c>
      <c r="D1381" s="12">
        <v>16860490</v>
      </c>
      <c r="E1381" s="12" t="s">
        <v>3943</v>
      </c>
      <c r="F1381" s="12">
        <v>2</v>
      </c>
      <c r="G1381" s="41" t="s">
        <v>139</v>
      </c>
      <c r="H1381" s="12" t="s">
        <v>6002</v>
      </c>
      <c r="I1381" s="41" t="s">
        <v>7281</v>
      </c>
      <c r="M1381" s="41" t="e">
        <f>VLOOKUP(I1381,错误mRNA总表!D:I,6,FALSE)</f>
        <v>#N/A</v>
      </c>
    </row>
    <row r="1382" spans="1:13" x14ac:dyDescent="0.2">
      <c r="A1382" s="12" t="s">
        <v>4716</v>
      </c>
      <c r="B1382" s="12" t="s">
        <v>3973</v>
      </c>
      <c r="C1382" s="12">
        <v>16860337</v>
      </c>
      <c r="D1382" s="12">
        <v>16860506</v>
      </c>
      <c r="E1382" s="12" t="s">
        <v>3943</v>
      </c>
      <c r="F1382" s="12">
        <v>4</v>
      </c>
      <c r="G1382" s="41" t="s">
        <v>139</v>
      </c>
      <c r="H1382" s="12" t="s">
        <v>6002</v>
      </c>
      <c r="I1382" s="41" t="s">
        <v>7281</v>
      </c>
      <c r="M1382" s="41" t="e">
        <f>VLOOKUP(I1382,错误mRNA总表!D:I,6,FALSE)</f>
        <v>#N/A</v>
      </c>
    </row>
    <row r="1383" spans="1:13" x14ac:dyDescent="0.2">
      <c r="A1383" s="12" t="s">
        <v>4717</v>
      </c>
      <c r="B1383" s="12" t="s">
        <v>4018</v>
      </c>
      <c r="C1383" s="12">
        <v>17443434</v>
      </c>
      <c r="D1383" s="12">
        <v>17981988</v>
      </c>
      <c r="E1383" s="12" t="s">
        <v>3940</v>
      </c>
      <c r="F1383" s="12">
        <v>1</v>
      </c>
      <c r="G1383" s="41" t="s">
        <v>241</v>
      </c>
      <c r="H1383" s="12" t="s">
        <v>5896</v>
      </c>
      <c r="I1383" s="41" t="s">
        <v>7004</v>
      </c>
      <c r="M1383" s="41" t="e">
        <f>VLOOKUP(I1383,错误mRNA总表!D:I,6,FALSE)</f>
        <v>#N/A</v>
      </c>
    </row>
    <row r="1384" spans="1:13" x14ac:dyDescent="0.2">
      <c r="A1384" s="12" t="s">
        <v>4718</v>
      </c>
      <c r="B1384" s="12" t="s">
        <v>4018</v>
      </c>
      <c r="C1384" s="12">
        <v>32201357</v>
      </c>
      <c r="D1384" s="12">
        <v>32201970</v>
      </c>
      <c r="E1384" s="12" t="s">
        <v>3943</v>
      </c>
      <c r="F1384" s="12">
        <v>1</v>
      </c>
      <c r="G1384" s="41" t="s">
        <v>241</v>
      </c>
      <c r="H1384" s="12" t="s">
        <v>240</v>
      </c>
      <c r="I1384" s="41" t="s">
        <v>2172</v>
      </c>
      <c r="J1384" s="41" t="s">
        <v>2172</v>
      </c>
      <c r="K1384" s="41" t="str">
        <f>VLOOKUP(J1384,错误mRNA总表!D:J,7,FALSE)</f>
        <v>纠后正确</v>
      </c>
      <c r="L1384" s="41" t="s">
        <v>3763</v>
      </c>
      <c r="M1384" s="41">
        <f>VLOOKUP(I1384,错误mRNA总表!D:I,6,FALSE)</f>
        <v>0</v>
      </c>
    </row>
    <row r="1385" spans="1:13" x14ac:dyDescent="0.2">
      <c r="A1385" s="12" t="s">
        <v>4719</v>
      </c>
      <c r="B1385" s="12" t="s">
        <v>3957</v>
      </c>
      <c r="C1385" s="12">
        <v>46638826</v>
      </c>
      <c r="D1385" s="12">
        <v>46694313</v>
      </c>
      <c r="E1385" s="12" t="s">
        <v>3943</v>
      </c>
      <c r="F1385" s="12">
        <v>2</v>
      </c>
      <c r="G1385" s="41" t="s">
        <v>36</v>
      </c>
      <c r="H1385" s="12" t="s">
        <v>6003</v>
      </c>
      <c r="I1385" s="41" t="s">
        <v>7282</v>
      </c>
      <c r="M1385" s="41" t="e">
        <f>VLOOKUP(I1385,错误mRNA总表!D:I,6,FALSE)</f>
        <v>#N/A</v>
      </c>
    </row>
    <row r="1386" spans="1:13" x14ac:dyDescent="0.2">
      <c r="A1386" s="12" t="s">
        <v>4579</v>
      </c>
      <c r="B1386" s="12" t="s">
        <v>4561</v>
      </c>
      <c r="C1386" s="12">
        <v>36938</v>
      </c>
      <c r="D1386" s="12">
        <v>48655</v>
      </c>
      <c r="E1386" s="12" t="s">
        <v>3940</v>
      </c>
      <c r="F1386" s="12">
        <v>2</v>
      </c>
      <c r="H1386" s="12" t="s">
        <v>406</v>
      </c>
      <c r="I1386" s="41" t="s">
        <v>7283</v>
      </c>
      <c r="J1386" s="41" t="s">
        <v>3312</v>
      </c>
      <c r="K1386" s="41" t="str">
        <f>VLOOKUP(J1386,错误mRNA总表!D:J,7,FALSE)</f>
        <v/>
      </c>
      <c r="M1386" s="41" t="e">
        <f>VLOOKUP(I1386,错误mRNA总表!D:I,6,FALSE)</f>
        <v>#N/A</v>
      </c>
    </row>
    <row r="1387" spans="1:13" x14ac:dyDescent="0.2">
      <c r="A1387" s="12" t="s">
        <v>4579</v>
      </c>
      <c r="B1387" s="12" t="s">
        <v>4561</v>
      </c>
      <c r="C1387" s="12">
        <v>36938</v>
      </c>
      <c r="D1387" s="12">
        <v>48662</v>
      </c>
      <c r="E1387" s="12" t="s">
        <v>3943</v>
      </c>
      <c r="F1387" s="12">
        <v>3</v>
      </c>
      <c r="H1387" s="12" t="s">
        <v>406</v>
      </c>
      <c r="I1387" s="41" t="s">
        <v>7283</v>
      </c>
      <c r="J1387" s="41" t="s">
        <v>3312</v>
      </c>
      <c r="K1387" s="41" t="str">
        <f>VLOOKUP(J1387,错误mRNA总表!D:J,7,FALSE)</f>
        <v/>
      </c>
      <c r="M1387" s="41" t="e">
        <f>VLOOKUP(I1387,错误mRNA总表!D:I,6,FALSE)</f>
        <v>#N/A</v>
      </c>
    </row>
    <row r="1388" spans="1:13" x14ac:dyDescent="0.2">
      <c r="A1388" s="12" t="s">
        <v>4720</v>
      </c>
      <c r="B1388" s="12" t="s">
        <v>4066</v>
      </c>
      <c r="C1388" s="12">
        <v>7033830</v>
      </c>
      <c r="D1388" s="12">
        <v>7035675</v>
      </c>
      <c r="E1388" s="12" t="s">
        <v>3943</v>
      </c>
      <c r="F1388" s="12">
        <v>1</v>
      </c>
      <c r="H1388" s="12" t="s">
        <v>3500</v>
      </c>
      <c r="I1388" s="41" t="s">
        <v>7284</v>
      </c>
      <c r="M1388" s="41" t="e">
        <f>VLOOKUP(I1388,错误mRNA总表!D:I,6,FALSE)</f>
        <v>#N/A</v>
      </c>
    </row>
    <row r="1389" spans="1:13" x14ac:dyDescent="0.2">
      <c r="A1389" s="12" t="s">
        <v>4062</v>
      </c>
      <c r="B1389" s="12" t="s">
        <v>3989</v>
      </c>
      <c r="C1389" s="12">
        <v>2796671</v>
      </c>
      <c r="D1389" s="12">
        <v>2808573</v>
      </c>
      <c r="E1389" s="12" t="s">
        <v>3940</v>
      </c>
      <c r="F1389" s="12">
        <v>2</v>
      </c>
      <c r="H1389" s="12" t="s">
        <v>3426</v>
      </c>
      <c r="I1389" s="41" t="s">
        <v>7285</v>
      </c>
      <c r="M1389" s="41" t="e">
        <f>VLOOKUP(I1389,错误mRNA总表!D:I,6,FALSE)</f>
        <v>#N/A</v>
      </c>
    </row>
    <row r="1390" spans="1:13" x14ac:dyDescent="0.2">
      <c r="A1390" s="12" t="s">
        <v>4062</v>
      </c>
      <c r="B1390" s="12" t="s">
        <v>3989</v>
      </c>
      <c r="C1390" s="12">
        <v>2796671</v>
      </c>
      <c r="D1390" s="12">
        <v>2809142</v>
      </c>
      <c r="E1390" s="12" t="s">
        <v>3943</v>
      </c>
      <c r="F1390" s="12">
        <v>6</v>
      </c>
      <c r="H1390" s="12" t="s">
        <v>3426</v>
      </c>
      <c r="I1390" s="41" t="s">
        <v>7285</v>
      </c>
      <c r="M1390" s="41" t="e">
        <f>VLOOKUP(I1390,错误mRNA总表!D:I,6,FALSE)</f>
        <v>#N/A</v>
      </c>
    </row>
    <row r="1391" spans="1:13" x14ac:dyDescent="0.2">
      <c r="A1391" s="12" t="s">
        <v>4721</v>
      </c>
      <c r="B1391" s="12" t="s">
        <v>3996</v>
      </c>
      <c r="C1391" s="12">
        <v>4730149</v>
      </c>
      <c r="D1391" s="12">
        <v>4730202</v>
      </c>
      <c r="E1391" s="12" t="s">
        <v>3943</v>
      </c>
      <c r="F1391" s="12">
        <v>2</v>
      </c>
      <c r="H1391" s="12" t="s">
        <v>3594</v>
      </c>
      <c r="I1391" s="41" t="s">
        <v>7286</v>
      </c>
      <c r="M1391" s="41" t="e">
        <f>VLOOKUP(I1391,错误mRNA总表!D:I,6,FALSE)</f>
        <v>#N/A</v>
      </c>
    </row>
    <row r="1392" spans="1:13" x14ac:dyDescent="0.2">
      <c r="A1392" s="12" t="s">
        <v>4722</v>
      </c>
      <c r="B1392" s="12" t="s">
        <v>3954</v>
      </c>
      <c r="C1392" s="12">
        <v>124358</v>
      </c>
      <c r="D1392" s="12">
        <v>124555</v>
      </c>
      <c r="E1392" s="12" t="s">
        <v>3940</v>
      </c>
      <c r="F1392" s="12">
        <v>29</v>
      </c>
      <c r="G1392" s="41" t="s">
        <v>569</v>
      </c>
      <c r="H1392" s="12" t="s">
        <v>6004</v>
      </c>
      <c r="I1392" s="41" t="s">
        <v>7287</v>
      </c>
      <c r="M1392" s="41" t="e">
        <f>VLOOKUP(I1392,错误mRNA总表!D:I,6,FALSE)</f>
        <v>#N/A</v>
      </c>
    </row>
    <row r="1393" spans="1:13" x14ac:dyDescent="0.2">
      <c r="A1393" s="12" t="s">
        <v>4722</v>
      </c>
      <c r="B1393" s="12" t="s">
        <v>3954</v>
      </c>
      <c r="C1393" s="12">
        <v>124358</v>
      </c>
      <c r="D1393" s="12">
        <v>159612</v>
      </c>
      <c r="E1393" s="12" t="s">
        <v>3940</v>
      </c>
      <c r="F1393" s="12">
        <v>24</v>
      </c>
      <c r="G1393" s="41" t="s">
        <v>569</v>
      </c>
      <c r="H1393" s="12" t="s">
        <v>6004</v>
      </c>
      <c r="I1393" s="41" t="s">
        <v>7287</v>
      </c>
      <c r="M1393" s="41" t="e">
        <f>VLOOKUP(I1393,错误mRNA总表!D:I,6,FALSE)</f>
        <v>#N/A</v>
      </c>
    </row>
    <row r="1394" spans="1:13" x14ac:dyDescent="0.2">
      <c r="A1394" s="12" t="s">
        <v>4722</v>
      </c>
      <c r="B1394" s="12" t="s">
        <v>3954</v>
      </c>
      <c r="C1394" s="12">
        <v>124358</v>
      </c>
      <c r="D1394" s="12">
        <v>159595</v>
      </c>
      <c r="E1394" s="12" t="s">
        <v>3940</v>
      </c>
      <c r="F1394" s="12">
        <v>1</v>
      </c>
      <c r="G1394" s="41" t="s">
        <v>569</v>
      </c>
      <c r="H1394" s="12" t="s">
        <v>6004</v>
      </c>
      <c r="I1394" s="41" t="s">
        <v>7287</v>
      </c>
      <c r="M1394" s="41" t="e">
        <f>VLOOKUP(I1394,错误mRNA总表!D:I,6,FALSE)</f>
        <v>#N/A</v>
      </c>
    </row>
    <row r="1395" spans="1:13" x14ac:dyDescent="0.2">
      <c r="A1395" s="12" t="s">
        <v>4722</v>
      </c>
      <c r="B1395" s="12" t="s">
        <v>3954</v>
      </c>
      <c r="C1395" s="12">
        <v>124358</v>
      </c>
      <c r="D1395" s="12">
        <v>159604</v>
      </c>
      <c r="E1395" s="12" t="s">
        <v>3943</v>
      </c>
      <c r="F1395" s="12">
        <v>1</v>
      </c>
      <c r="G1395" s="41" t="s">
        <v>569</v>
      </c>
      <c r="H1395" s="12" t="s">
        <v>6004</v>
      </c>
      <c r="I1395" s="41" t="s">
        <v>7287</v>
      </c>
      <c r="M1395" s="41" t="e">
        <f>VLOOKUP(I1395,错误mRNA总表!D:I,6,FALSE)</f>
        <v>#N/A</v>
      </c>
    </row>
    <row r="1396" spans="1:13" x14ac:dyDescent="0.2">
      <c r="A1396" s="12" t="s">
        <v>4722</v>
      </c>
      <c r="B1396" s="12" t="s">
        <v>3954</v>
      </c>
      <c r="C1396" s="12">
        <v>124358</v>
      </c>
      <c r="D1396" s="12">
        <v>164803</v>
      </c>
      <c r="E1396" s="12" t="s">
        <v>3940</v>
      </c>
      <c r="F1396" s="12">
        <v>42</v>
      </c>
      <c r="G1396" s="41" t="s">
        <v>569</v>
      </c>
      <c r="H1396" s="12" t="s">
        <v>6004</v>
      </c>
      <c r="I1396" s="41" t="s">
        <v>7287</v>
      </c>
      <c r="M1396" s="41" t="e">
        <f>VLOOKUP(I1396,错误mRNA总表!D:I,6,FALSE)</f>
        <v>#N/A</v>
      </c>
    </row>
    <row r="1397" spans="1:13" x14ac:dyDescent="0.2">
      <c r="A1397" s="12" t="s">
        <v>4722</v>
      </c>
      <c r="B1397" s="12" t="s">
        <v>3954</v>
      </c>
      <c r="C1397" s="12">
        <v>124358</v>
      </c>
      <c r="D1397" s="12">
        <v>174850</v>
      </c>
      <c r="E1397" s="12" t="s">
        <v>3943</v>
      </c>
      <c r="F1397" s="12">
        <v>1</v>
      </c>
      <c r="G1397" s="41" t="s">
        <v>569</v>
      </c>
      <c r="H1397" s="12" t="s">
        <v>6004</v>
      </c>
      <c r="I1397" s="41" t="s">
        <v>7287</v>
      </c>
      <c r="M1397" s="41" t="e">
        <f>VLOOKUP(I1397,错误mRNA总表!D:I,6,FALSE)</f>
        <v>#N/A</v>
      </c>
    </row>
    <row r="1398" spans="1:13" x14ac:dyDescent="0.2">
      <c r="A1398" s="12" t="s">
        <v>4722</v>
      </c>
      <c r="B1398" s="12" t="s">
        <v>3954</v>
      </c>
      <c r="C1398" s="12">
        <v>124358</v>
      </c>
      <c r="D1398" s="12">
        <v>174861</v>
      </c>
      <c r="E1398" s="12" t="s">
        <v>3943</v>
      </c>
      <c r="F1398" s="12">
        <v>2</v>
      </c>
      <c r="G1398" s="41" t="s">
        <v>569</v>
      </c>
      <c r="H1398" s="12" t="s">
        <v>6004</v>
      </c>
      <c r="I1398" s="41" t="s">
        <v>7287</v>
      </c>
      <c r="M1398" s="41" t="e">
        <f>VLOOKUP(I1398,错误mRNA总表!D:I,6,FALSE)</f>
        <v>#N/A</v>
      </c>
    </row>
    <row r="1399" spans="1:13" x14ac:dyDescent="0.2">
      <c r="A1399" s="12" t="s">
        <v>4722</v>
      </c>
      <c r="B1399" s="12" t="s">
        <v>3954</v>
      </c>
      <c r="C1399" s="12">
        <v>124358</v>
      </c>
      <c r="D1399" s="12">
        <v>190329</v>
      </c>
      <c r="E1399" s="12" t="s">
        <v>3940</v>
      </c>
      <c r="F1399" s="12">
        <v>19</v>
      </c>
      <c r="G1399" s="41" t="s">
        <v>569</v>
      </c>
      <c r="H1399" s="12" t="s">
        <v>6004</v>
      </c>
      <c r="I1399" s="41" t="s">
        <v>7287</v>
      </c>
      <c r="M1399" s="41" t="e">
        <f>VLOOKUP(I1399,错误mRNA总表!D:I,6,FALSE)</f>
        <v>#N/A</v>
      </c>
    </row>
    <row r="1400" spans="1:13" x14ac:dyDescent="0.2">
      <c r="A1400" s="12" t="s">
        <v>4723</v>
      </c>
      <c r="B1400" s="12" t="s">
        <v>4124</v>
      </c>
      <c r="C1400" s="12">
        <v>232063294</v>
      </c>
      <c r="D1400" s="12">
        <v>232225538</v>
      </c>
      <c r="E1400" s="12" t="s">
        <v>3940</v>
      </c>
      <c r="F1400" s="12">
        <v>1</v>
      </c>
      <c r="G1400" s="41" t="s">
        <v>1</v>
      </c>
      <c r="H1400" s="12" t="s">
        <v>200</v>
      </c>
      <c r="I1400" s="41" t="s">
        <v>2158</v>
      </c>
      <c r="J1400" s="41" t="s">
        <v>2158</v>
      </c>
      <c r="K1400" s="41" t="str">
        <f>VLOOKUP(J1400,错误mRNA总表!D:J,7,FALSE)</f>
        <v>纠后正确</v>
      </c>
      <c r="L1400" s="41" t="s">
        <v>3763</v>
      </c>
      <c r="M1400" s="41">
        <f>VLOOKUP(I1400,错误mRNA总表!D:I,6,FALSE)</f>
        <v>0</v>
      </c>
    </row>
    <row r="1401" spans="1:13" x14ac:dyDescent="0.2">
      <c r="A1401" s="12" t="s">
        <v>4724</v>
      </c>
      <c r="B1401" s="12" t="s">
        <v>3996</v>
      </c>
      <c r="C1401" s="12">
        <v>4487883</v>
      </c>
      <c r="D1401" s="12">
        <v>4499311</v>
      </c>
      <c r="E1401" s="12" t="s">
        <v>3940</v>
      </c>
      <c r="F1401" s="12">
        <v>1</v>
      </c>
      <c r="H1401" s="12" t="s">
        <v>3586</v>
      </c>
      <c r="I1401" s="41" t="s">
        <v>7288</v>
      </c>
      <c r="M1401" s="41" t="e">
        <f>VLOOKUP(I1401,错误mRNA总表!D:I,6,FALSE)</f>
        <v>#N/A</v>
      </c>
    </row>
    <row r="1402" spans="1:13" x14ac:dyDescent="0.2">
      <c r="A1402" s="12" t="s">
        <v>4724</v>
      </c>
      <c r="B1402" s="12" t="s">
        <v>3996</v>
      </c>
      <c r="C1402" s="12">
        <v>4487883</v>
      </c>
      <c r="D1402" s="12">
        <v>4499399</v>
      </c>
      <c r="E1402" s="12" t="s">
        <v>3940</v>
      </c>
      <c r="F1402" s="12">
        <v>3</v>
      </c>
      <c r="H1402" s="12" t="s">
        <v>3586</v>
      </c>
      <c r="I1402" s="41" t="s">
        <v>7288</v>
      </c>
      <c r="M1402" s="41" t="e">
        <f>VLOOKUP(I1402,错误mRNA总表!D:I,6,FALSE)</f>
        <v>#N/A</v>
      </c>
    </row>
    <row r="1403" spans="1:13" x14ac:dyDescent="0.2">
      <c r="A1403" s="12" t="s">
        <v>4724</v>
      </c>
      <c r="B1403" s="12" t="s">
        <v>3996</v>
      </c>
      <c r="C1403" s="12">
        <v>4487883</v>
      </c>
      <c r="D1403" s="12">
        <v>4499779</v>
      </c>
      <c r="E1403" s="12" t="s">
        <v>3940</v>
      </c>
      <c r="F1403" s="12">
        <v>3</v>
      </c>
      <c r="H1403" s="12" t="s">
        <v>3586</v>
      </c>
      <c r="I1403" s="41" t="s">
        <v>7288</v>
      </c>
      <c r="M1403" s="41" t="e">
        <f>VLOOKUP(I1403,错误mRNA总表!D:I,6,FALSE)</f>
        <v>#N/A</v>
      </c>
    </row>
    <row r="1404" spans="1:13" x14ac:dyDescent="0.2">
      <c r="A1404" s="12" t="s">
        <v>4724</v>
      </c>
      <c r="B1404" s="12" t="s">
        <v>3996</v>
      </c>
      <c r="C1404" s="12">
        <v>4487883</v>
      </c>
      <c r="D1404" s="12">
        <v>4499952</v>
      </c>
      <c r="E1404" s="12" t="s">
        <v>3940</v>
      </c>
      <c r="F1404" s="12">
        <v>4</v>
      </c>
      <c r="H1404" s="12" t="s">
        <v>3586</v>
      </c>
      <c r="I1404" s="41" t="s">
        <v>7288</v>
      </c>
      <c r="M1404" s="41" t="e">
        <f>VLOOKUP(I1404,错误mRNA总表!D:I,6,FALSE)</f>
        <v>#N/A</v>
      </c>
    </row>
    <row r="1405" spans="1:13" x14ac:dyDescent="0.2">
      <c r="A1405" s="12" t="s">
        <v>4724</v>
      </c>
      <c r="B1405" s="12" t="s">
        <v>3996</v>
      </c>
      <c r="C1405" s="12">
        <v>4487883</v>
      </c>
      <c r="D1405" s="12">
        <v>4500263</v>
      </c>
      <c r="E1405" s="12" t="s">
        <v>3940</v>
      </c>
      <c r="F1405" s="12">
        <v>2</v>
      </c>
      <c r="H1405" s="12" t="s">
        <v>3586</v>
      </c>
      <c r="I1405" s="41" t="s">
        <v>7288</v>
      </c>
      <c r="M1405" s="41" t="e">
        <f>VLOOKUP(I1405,错误mRNA总表!D:I,6,FALSE)</f>
        <v>#N/A</v>
      </c>
    </row>
    <row r="1406" spans="1:13" x14ac:dyDescent="0.2">
      <c r="A1406" s="12" t="s">
        <v>4724</v>
      </c>
      <c r="B1406" s="12" t="s">
        <v>3996</v>
      </c>
      <c r="C1406" s="12">
        <v>4487883</v>
      </c>
      <c r="D1406" s="12">
        <v>4500501</v>
      </c>
      <c r="E1406" s="12" t="s">
        <v>3943</v>
      </c>
      <c r="F1406" s="12">
        <v>1</v>
      </c>
      <c r="H1406" s="12" t="s">
        <v>3586</v>
      </c>
      <c r="I1406" s="41" t="s">
        <v>7288</v>
      </c>
      <c r="M1406" s="41" t="e">
        <f>VLOOKUP(I1406,错误mRNA总表!D:I,6,FALSE)</f>
        <v>#N/A</v>
      </c>
    </row>
    <row r="1407" spans="1:13" x14ac:dyDescent="0.2">
      <c r="A1407" s="12" t="s">
        <v>3968</v>
      </c>
      <c r="B1407" s="12" t="s">
        <v>3996</v>
      </c>
      <c r="C1407" s="12">
        <v>3116416</v>
      </c>
      <c r="D1407" s="12">
        <v>3116512</v>
      </c>
      <c r="E1407" s="12" t="s">
        <v>3943</v>
      </c>
      <c r="F1407" s="12">
        <v>4</v>
      </c>
      <c r="H1407" s="12" t="s">
        <v>3563</v>
      </c>
      <c r="I1407" s="41" t="s">
        <v>7289</v>
      </c>
      <c r="M1407" s="41" t="e">
        <f>VLOOKUP(I1407,错误mRNA总表!D:I,6,FALSE)</f>
        <v>#N/A</v>
      </c>
    </row>
    <row r="1408" spans="1:13" x14ac:dyDescent="0.2">
      <c r="A1408" s="12" t="s">
        <v>4725</v>
      </c>
      <c r="B1408" s="12" t="s">
        <v>4052</v>
      </c>
      <c r="C1408" s="12">
        <v>102505468</v>
      </c>
      <c r="D1408" s="12">
        <v>102587331</v>
      </c>
      <c r="E1408" s="12" t="s">
        <v>3943</v>
      </c>
      <c r="F1408" s="12">
        <v>3</v>
      </c>
      <c r="G1408" s="41" t="s">
        <v>93</v>
      </c>
      <c r="H1408" s="12" t="s">
        <v>6517</v>
      </c>
      <c r="I1408" s="41" t="s">
        <v>7290</v>
      </c>
      <c r="M1408" s="41" t="e">
        <f>VLOOKUP(I1408,错误mRNA总表!D:I,6,FALSE)</f>
        <v>#N/A</v>
      </c>
    </row>
    <row r="1409" spans="1:13" x14ac:dyDescent="0.2">
      <c r="A1409" s="12" t="s">
        <v>4726</v>
      </c>
      <c r="B1409" s="12" t="s">
        <v>4098</v>
      </c>
      <c r="C1409" s="12">
        <v>340900</v>
      </c>
      <c r="D1409" s="12">
        <v>340916</v>
      </c>
      <c r="E1409" s="12" t="s">
        <v>3940</v>
      </c>
      <c r="F1409" s="12">
        <v>245</v>
      </c>
      <c r="H1409" s="12" t="s">
        <v>3660</v>
      </c>
      <c r="I1409" s="41" t="s">
        <v>7291</v>
      </c>
      <c r="M1409" s="41" t="e">
        <f>VLOOKUP(I1409,错误mRNA总表!D:I,6,FALSE)</f>
        <v>#N/A</v>
      </c>
    </row>
    <row r="1410" spans="1:13" x14ac:dyDescent="0.2">
      <c r="A1410" s="12" t="s">
        <v>4726</v>
      </c>
      <c r="B1410" s="12" t="s">
        <v>4098</v>
      </c>
      <c r="C1410" s="12">
        <v>340900</v>
      </c>
      <c r="D1410" s="12">
        <v>344479</v>
      </c>
      <c r="E1410" s="12" t="s">
        <v>3940</v>
      </c>
      <c r="F1410" s="12">
        <v>1005</v>
      </c>
      <c r="H1410" s="12" t="s">
        <v>3660</v>
      </c>
      <c r="I1410" s="41" t="s">
        <v>7291</v>
      </c>
      <c r="M1410" s="41" t="e">
        <f>VLOOKUP(I1410,错误mRNA总表!D:I,6,FALSE)</f>
        <v>#N/A</v>
      </c>
    </row>
    <row r="1411" spans="1:13" x14ac:dyDescent="0.2">
      <c r="A1411" s="12" t="s">
        <v>4727</v>
      </c>
      <c r="B1411" s="12" t="s">
        <v>3946</v>
      </c>
      <c r="C1411" s="12">
        <v>18441114</v>
      </c>
      <c r="D1411" s="12">
        <v>18498059</v>
      </c>
      <c r="E1411" s="12" t="s">
        <v>3940</v>
      </c>
      <c r="F1411" s="12">
        <v>1</v>
      </c>
      <c r="G1411" s="41" t="s">
        <v>47</v>
      </c>
      <c r="H1411" s="12" t="s">
        <v>6005</v>
      </c>
      <c r="I1411" s="41" t="s">
        <v>7292</v>
      </c>
      <c r="M1411" s="41" t="e">
        <f>VLOOKUP(I1411,错误mRNA总表!D:I,6,FALSE)</f>
        <v>#N/A</v>
      </c>
    </row>
    <row r="1412" spans="1:13" x14ac:dyDescent="0.2">
      <c r="A1412" s="12" t="s">
        <v>4728</v>
      </c>
      <c r="B1412" s="12" t="s">
        <v>3984</v>
      </c>
      <c r="C1412" s="12">
        <v>1982257</v>
      </c>
      <c r="D1412" s="12">
        <v>1985232</v>
      </c>
      <c r="E1412" s="12" t="s">
        <v>3943</v>
      </c>
      <c r="F1412" s="12">
        <v>1</v>
      </c>
      <c r="H1412" s="12" t="s">
        <v>6006</v>
      </c>
      <c r="I1412" s="41" t="s">
        <v>7293</v>
      </c>
      <c r="M1412" s="41" t="e">
        <f>VLOOKUP(I1412,错误mRNA总表!D:I,6,FALSE)</f>
        <v>#N/A</v>
      </c>
    </row>
    <row r="1413" spans="1:13" x14ac:dyDescent="0.2">
      <c r="A1413" s="12" t="s">
        <v>3975</v>
      </c>
      <c r="B1413" s="12" t="s">
        <v>4729</v>
      </c>
      <c r="C1413" s="12">
        <v>808951</v>
      </c>
      <c r="D1413" s="12">
        <v>822087</v>
      </c>
      <c r="E1413" s="12" t="s">
        <v>3940</v>
      </c>
      <c r="F1413" s="12">
        <v>9</v>
      </c>
      <c r="H1413" s="12" t="s">
        <v>5774</v>
      </c>
      <c r="I1413" s="41" t="s">
        <v>7294</v>
      </c>
      <c r="M1413" s="41" t="e">
        <f>VLOOKUP(I1413,错误mRNA总表!D:I,6,FALSE)</f>
        <v>#N/A</v>
      </c>
    </row>
    <row r="1414" spans="1:13" x14ac:dyDescent="0.2">
      <c r="A1414" s="12" t="s">
        <v>4730</v>
      </c>
      <c r="B1414" s="12" t="s">
        <v>3978</v>
      </c>
      <c r="C1414" s="12">
        <v>194304997</v>
      </c>
      <c r="D1414" s="12">
        <v>194310322</v>
      </c>
      <c r="E1414" s="12" t="s">
        <v>3943</v>
      </c>
      <c r="F1414" s="12">
        <v>1</v>
      </c>
      <c r="G1414" s="41" t="s">
        <v>86</v>
      </c>
      <c r="H1414" s="12" t="s">
        <v>6007</v>
      </c>
      <c r="I1414" s="41" t="s">
        <v>7295</v>
      </c>
      <c r="M1414" s="41" t="e">
        <f>VLOOKUP(I1414,错误mRNA总表!D:I,6,FALSE)</f>
        <v>#N/A</v>
      </c>
    </row>
    <row r="1415" spans="1:13" x14ac:dyDescent="0.2">
      <c r="A1415" s="12" t="s">
        <v>4731</v>
      </c>
      <c r="B1415" s="12" t="s">
        <v>3973</v>
      </c>
      <c r="C1415" s="12">
        <v>1570603</v>
      </c>
      <c r="D1415" s="12">
        <v>1580625</v>
      </c>
      <c r="E1415" s="12" t="s">
        <v>3940</v>
      </c>
      <c r="F1415" s="12">
        <v>235</v>
      </c>
      <c r="G1415" s="41" t="s">
        <v>139</v>
      </c>
      <c r="H1415" s="12" t="s">
        <v>6008</v>
      </c>
      <c r="I1415" s="41" t="s">
        <v>7296</v>
      </c>
      <c r="M1415" s="41" t="e">
        <f>VLOOKUP(I1415,错误mRNA总表!D:I,6,FALSE)</f>
        <v>#N/A</v>
      </c>
    </row>
    <row r="1416" spans="1:13" x14ac:dyDescent="0.2">
      <c r="A1416" s="12" t="s">
        <v>4731</v>
      </c>
      <c r="B1416" s="12" t="s">
        <v>3973</v>
      </c>
      <c r="C1416" s="12">
        <v>1570603</v>
      </c>
      <c r="D1416" s="12">
        <v>1570917</v>
      </c>
      <c r="E1416" s="12" t="s">
        <v>3940</v>
      </c>
      <c r="F1416" s="12">
        <v>13</v>
      </c>
      <c r="G1416" s="41" t="s">
        <v>139</v>
      </c>
      <c r="H1416" s="12" t="s">
        <v>6008</v>
      </c>
      <c r="I1416" s="41" t="s">
        <v>7296</v>
      </c>
      <c r="M1416" s="41" t="e">
        <f>VLOOKUP(I1416,错误mRNA总表!D:I,6,FALSE)</f>
        <v>#N/A</v>
      </c>
    </row>
    <row r="1417" spans="1:13" x14ac:dyDescent="0.2">
      <c r="A1417" s="12" t="s">
        <v>4731</v>
      </c>
      <c r="B1417" s="12" t="s">
        <v>3973</v>
      </c>
      <c r="C1417" s="12">
        <v>1570603</v>
      </c>
      <c r="D1417" s="12">
        <v>1570922</v>
      </c>
      <c r="E1417" s="12" t="s">
        <v>3940</v>
      </c>
      <c r="F1417" s="12">
        <v>1</v>
      </c>
      <c r="G1417" s="41" t="s">
        <v>139</v>
      </c>
      <c r="H1417" s="12" t="s">
        <v>6008</v>
      </c>
      <c r="I1417" s="41" t="s">
        <v>7296</v>
      </c>
      <c r="M1417" s="41" t="e">
        <f>VLOOKUP(I1417,错误mRNA总表!D:I,6,FALSE)</f>
        <v>#N/A</v>
      </c>
    </row>
    <row r="1418" spans="1:13" x14ac:dyDescent="0.2">
      <c r="A1418" s="12" t="s">
        <v>4044</v>
      </c>
      <c r="B1418" s="12" t="s">
        <v>4098</v>
      </c>
      <c r="C1418" s="12">
        <v>134946</v>
      </c>
      <c r="D1418" s="12">
        <v>135009</v>
      </c>
      <c r="E1418" s="12" t="s">
        <v>3940</v>
      </c>
      <c r="F1418" s="12">
        <v>1</v>
      </c>
      <c r="H1418" s="12" t="s">
        <v>3648</v>
      </c>
      <c r="I1418" s="41" t="s">
        <v>6693</v>
      </c>
      <c r="M1418" s="41" t="e">
        <f>VLOOKUP(I1418,错误mRNA总表!D:I,6,FALSE)</f>
        <v>#N/A</v>
      </c>
    </row>
    <row r="1419" spans="1:13" x14ac:dyDescent="0.2">
      <c r="A1419" s="12" t="s">
        <v>4732</v>
      </c>
      <c r="B1419" s="12" t="s">
        <v>3962</v>
      </c>
      <c r="C1419" s="12">
        <v>21106624</v>
      </c>
      <c r="D1419" s="12">
        <v>21186163</v>
      </c>
      <c r="E1419" s="12" t="s">
        <v>3940</v>
      </c>
      <c r="F1419" s="12">
        <v>1</v>
      </c>
      <c r="G1419" s="41" t="s">
        <v>53</v>
      </c>
      <c r="H1419" s="12" t="s">
        <v>3480</v>
      </c>
      <c r="I1419" s="41" t="s">
        <v>7297</v>
      </c>
      <c r="M1419" s="41" t="e">
        <f>VLOOKUP(I1419,错误mRNA总表!D:I,6,FALSE)</f>
        <v>#N/A</v>
      </c>
    </row>
    <row r="1420" spans="1:13" x14ac:dyDescent="0.2">
      <c r="A1420" s="12" t="s">
        <v>4733</v>
      </c>
      <c r="B1420" s="12" t="s">
        <v>3999</v>
      </c>
      <c r="C1420" s="12">
        <v>489200</v>
      </c>
      <c r="D1420" s="12">
        <v>498976</v>
      </c>
      <c r="E1420" s="12" t="s">
        <v>3940</v>
      </c>
      <c r="F1420" s="12">
        <v>22</v>
      </c>
      <c r="H1420" s="12" t="s">
        <v>3413</v>
      </c>
      <c r="I1420" s="41" t="s">
        <v>7100</v>
      </c>
      <c r="M1420" s="41" t="e">
        <f>VLOOKUP(I1420,错误mRNA总表!D:I,6,FALSE)</f>
        <v>#N/A</v>
      </c>
    </row>
    <row r="1421" spans="1:13" x14ac:dyDescent="0.2">
      <c r="A1421" s="12" t="s">
        <v>4733</v>
      </c>
      <c r="B1421" s="12" t="s">
        <v>3999</v>
      </c>
      <c r="C1421" s="12">
        <v>489200</v>
      </c>
      <c r="D1421" s="12">
        <v>498988</v>
      </c>
      <c r="E1421" s="12" t="s">
        <v>3940</v>
      </c>
      <c r="F1421" s="12">
        <v>17</v>
      </c>
      <c r="H1421" s="12" t="s">
        <v>3413</v>
      </c>
      <c r="I1421" s="41" t="s">
        <v>7100</v>
      </c>
      <c r="M1421" s="41" t="e">
        <f>VLOOKUP(I1421,错误mRNA总表!D:I,6,FALSE)</f>
        <v>#N/A</v>
      </c>
    </row>
    <row r="1422" spans="1:13" x14ac:dyDescent="0.2">
      <c r="A1422" s="12" t="s">
        <v>4733</v>
      </c>
      <c r="B1422" s="12" t="s">
        <v>3999</v>
      </c>
      <c r="C1422" s="12">
        <v>489200</v>
      </c>
      <c r="D1422" s="12">
        <v>499165</v>
      </c>
      <c r="E1422" s="12" t="s">
        <v>3940</v>
      </c>
      <c r="F1422" s="12">
        <v>148</v>
      </c>
      <c r="H1422" s="12" t="s">
        <v>3413</v>
      </c>
      <c r="I1422" s="41" t="s">
        <v>7100</v>
      </c>
      <c r="M1422" s="41" t="e">
        <f>VLOOKUP(I1422,错误mRNA总表!D:I,6,FALSE)</f>
        <v>#N/A</v>
      </c>
    </row>
    <row r="1423" spans="1:13" x14ac:dyDescent="0.2">
      <c r="A1423" s="12" t="s">
        <v>4733</v>
      </c>
      <c r="B1423" s="12" t="s">
        <v>3999</v>
      </c>
      <c r="C1423" s="12">
        <v>489200</v>
      </c>
      <c r="D1423" s="12">
        <v>499153</v>
      </c>
      <c r="E1423" s="12" t="s">
        <v>3943</v>
      </c>
      <c r="F1423" s="12">
        <v>2</v>
      </c>
      <c r="H1423" s="12" t="s">
        <v>3413</v>
      </c>
      <c r="I1423" s="41" t="s">
        <v>7100</v>
      </c>
      <c r="M1423" s="41" t="e">
        <f>VLOOKUP(I1423,错误mRNA总表!D:I,6,FALSE)</f>
        <v>#N/A</v>
      </c>
    </row>
    <row r="1424" spans="1:13" x14ac:dyDescent="0.2">
      <c r="A1424" s="12" t="s">
        <v>4733</v>
      </c>
      <c r="B1424" s="12" t="s">
        <v>3999</v>
      </c>
      <c r="C1424" s="12">
        <v>489200</v>
      </c>
      <c r="D1424" s="12">
        <v>499352</v>
      </c>
      <c r="E1424" s="12" t="s">
        <v>3940</v>
      </c>
      <c r="F1424" s="12">
        <v>1</v>
      </c>
      <c r="H1424" s="12" t="s">
        <v>3413</v>
      </c>
      <c r="I1424" s="41" t="s">
        <v>7100</v>
      </c>
      <c r="M1424" s="41" t="e">
        <f>VLOOKUP(I1424,错误mRNA总表!D:I,6,FALSE)</f>
        <v>#N/A</v>
      </c>
    </row>
    <row r="1425" spans="1:13" x14ac:dyDescent="0.2">
      <c r="A1425" s="12" t="s">
        <v>4733</v>
      </c>
      <c r="B1425" s="12" t="s">
        <v>3999</v>
      </c>
      <c r="C1425" s="12">
        <v>489200</v>
      </c>
      <c r="D1425" s="12">
        <v>499365</v>
      </c>
      <c r="E1425" s="12" t="s">
        <v>3940</v>
      </c>
      <c r="F1425" s="12">
        <v>1</v>
      </c>
      <c r="H1425" s="12" t="s">
        <v>3413</v>
      </c>
      <c r="I1425" s="41" t="s">
        <v>7100</v>
      </c>
      <c r="M1425" s="41" t="e">
        <f>VLOOKUP(I1425,错误mRNA总表!D:I,6,FALSE)</f>
        <v>#N/A</v>
      </c>
    </row>
    <row r="1426" spans="1:13" x14ac:dyDescent="0.2">
      <c r="A1426" s="12" t="s">
        <v>4734</v>
      </c>
      <c r="B1426" s="12" t="s">
        <v>3939</v>
      </c>
      <c r="C1426" s="12">
        <v>44007128</v>
      </c>
      <c r="D1426" s="12">
        <v>44202890</v>
      </c>
      <c r="E1426" s="12" t="s">
        <v>3940</v>
      </c>
      <c r="F1426" s="12">
        <v>1</v>
      </c>
      <c r="G1426" s="41" t="s">
        <v>73</v>
      </c>
      <c r="H1426" s="12" t="s">
        <v>6518</v>
      </c>
      <c r="I1426" s="41" t="s">
        <v>7298</v>
      </c>
      <c r="M1426" s="41" t="e">
        <f>VLOOKUP(I1426,错误mRNA总表!D:I,6,FALSE)</f>
        <v>#N/A</v>
      </c>
    </row>
    <row r="1427" spans="1:13" x14ac:dyDescent="0.2">
      <c r="A1427" s="12" t="s">
        <v>4735</v>
      </c>
      <c r="B1427" s="12" t="s">
        <v>4001</v>
      </c>
      <c r="C1427" s="12">
        <v>2168107</v>
      </c>
      <c r="D1427" s="12">
        <v>2168855</v>
      </c>
      <c r="E1427" s="12" t="s">
        <v>3940</v>
      </c>
      <c r="F1427" s="12">
        <v>1</v>
      </c>
      <c r="H1427" s="12" t="s">
        <v>3424</v>
      </c>
      <c r="I1427" s="41" t="s">
        <v>7299</v>
      </c>
      <c r="M1427" s="41" t="e">
        <f>VLOOKUP(I1427,错误mRNA总表!D:I,6,FALSE)</f>
        <v>#N/A</v>
      </c>
    </row>
    <row r="1428" spans="1:13" x14ac:dyDescent="0.2">
      <c r="A1428" s="12" t="s">
        <v>4735</v>
      </c>
      <c r="B1428" s="12" t="s">
        <v>4001</v>
      </c>
      <c r="C1428" s="12">
        <v>2168107</v>
      </c>
      <c r="D1428" s="12">
        <v>2168864</v>
      </c>
      <c r="E1428" s="12" t="s">
        <v>3943</v>
      </c>
      <c r="F1428" s="12">
        <v>2</v>
      </c>
      <c r="H1428" s="12" t="s">
        <v>3424</v>
      </c>
      <c r="I1428" s="41" t="s">
        <v>7299</v>
      </c>
      <c r="M1428" s="41" t="e">
        <f>VLOOKUP(I1428,错误mRNA总表!D:I,6,FALSE)</f>
        <v>#N/A</v>
      </c>
    </row>
    <row r="1429" spans="1:13" x14ac:dyDescent="0.2">
      <c r="A1429" s="12" t="s">
        <v>4736</v>
      </c>
      <c r="B1429" s="12" t="s">
        <v>4052</v>
      </c>
      <c r="C1429" s="12">
        <v>5196655</v>
      </c>
      <c r="D1429" s="12">
        <v>5202148</v>
      </c>
      <c r="E1429" s="12" t="s">
        <v>3940</v>
      </c>
      <c r="F1429" s="12">
        <v>55</v>
      </c>
      <c r="G1429" s="41" t="s">
        <v>93</v>
      </c>
      <c r="H1429" s="12" t="s">
        <v>6009</v>
      </c>
      <c r="I1429" s="41" t="s">
        <v>7300</v>
      </c>
      <c r="M1429" s="41" t="e">
        <f>VLOOKUP(I1429,错误mRNA总表!D:I,6,FALSE)</f>
        <v>#N/A</v>
      </c>
    </row>
    <row r="1430" spans="1:13" x14ac:dyDescent="0.2">
      <c r="A1430" s="12" t="s">
        <v>3959</v>
      </c>
      <c r="B1430" s="12" t="s">
        <v>4045</v>
      </c>
      <c r="C1430" s="12">
        <v>165232</v>
      </c>
      <c r="D1430" s="12">
        <v>169309</v>
      </c>
      <c r="E1430" s="12" t="s">
        <v>3943</v>
      </c>
      <c r="F1430" s="12">
        <v>3</v>
      </c>
      <c r="H1430" s="12" t="s">
        <v>3650</v>
      </c>
      <c r="I1430" s="41" t="s">
        <v>6637</v>
      </c>
      <c r="M1430" s="41" t="e">
        <f>VLOOKUP(I1430,错误mRNA总表!D:I,6,FALSE)</f>
        <v>#N/A</v>
      </c>
    </row>
    <row r="1431" spans="1:13" x14ac:dyDescent="0.2">
      <c r="A1431" s="12" t="s">
        <v>4044</v>
      </c>
      <c r="B1431" s="12" t="s">
        <v>3950</v>
      </c>
      <c r="C1431" s="12">
        <v>134945</v>
      </c>
      <c r="D1431" s="12">
        <v>147891</v>
      </c>
      <c r="E1431" s="12" t="s">
        <v>3943</v>
      </c>
      <c r="F1431" s="12">
        <v>1</v>
      </c>
      <c r="H1431" s="12" t="s">
        <v>3648</v>
      </c>
      <c r="I1431" s="41" t="s">
        <v>7301</v>
      </c>
      <c r="M1431" s="41" t="e">
        <f>VLOOKUP(I1431,错误mRNA总表!D:I,6,FALSE)</f>
        <v>#N/A</v>
      </c>
    </row>
    <row r="1432" spans="1:13" x14ac:dyDescent="0.2">
      <c r="A1432" s="12" t="s">
        <v>4702</v>
      </c>
      <c r="B1432" s="12" t="s">
        <v>3999</v>
      </c>
      <c r="C1432" s="12">
        <v>43333</v>
      </c>
      <c r="D1432" s="12">
        <v>77738</v>
      </c>
      <c r="E1432" s="12" t="s">
        <v>3940</v>
      </c>
      <c r="F1432" s="12">
        <v>1</v>
      </c>
      <c r="H1432" s="12" t="s">
        <v>568</v>
      </c>
      <c r="I1432" s="41" t="s">
        <v>7302</v>
      </c>
      <c r="J1432" s="41" t="s">
        <v>3322</v>
      </c>
      <c r="K1432" s="41" t="str">
        <f>VLOOKUP(J1432,错误mRNA总表!D:J,7,FALSE)</f>
        <v>纠后正确</v>
      </c>
      <c r="M1432" s="41" t="e">
        <f>VLOOKUP(I1432,错误mRNA总表!D:I,6,FALSE)</f>
        <v>#N/A</v>
      </c>
    </row>
    <row r="1433" spans="1:13" x14ac:dyDescent="0.2">
      <c r="A1433" s="12" t="s">
        <v>4737</v>
      </c>
      <c r="B1433" s="12" t="s">
        <v>3939</v>
      </c>
      <c r="C1433" s="12">
        <v>142710595</v>
      </c>
      <c r="D1433" s="12">
        <v>142712351</v>
      </c>
      <c r="E1433" s="12" t="s">
        <v>3943</v>
      </c>
      <c r="F1433" s="12">
        <v>1</v>
      </c>
      <c r="G1433" s="41" t="s">
        <v>73</v>
      </c>
      <c r="H1433" s="12" t="s">
        <v>3673</v>
      </c>
      <c r="I1433" s="41" t="s">
        <v>7303</v>
      </c>
      <c r="M1433" s="41" t="e">
        <f>VLOOKUP(I1433,错误mRNA总表!D:I,6,FALSE)</f>
        <v>#N/A</v>
      </c>
    </row>
    <row r="1434" spans="1:13" x14ac:dyDescent="0.2">
      <c r="A1434" s="12" t="s">
        <v>4737</v>
      </c>
      <c r="B1434" s="12" t="s">
        <v>3939</v>
      </c>
      <c r="C1434" s="12">
        <v>142710595</v>
      </c>
      <c r="D1434" s="12">
        <v>142714379</v>
      </c>
      <c r="E1434" s="12" t="s">
        <v>3940</v>
      </c>
      <c r="F1434" s="12">
        <v>1</v>
      </c>
      <c r="G1434" s="41" t="s">
        <v>73</v>
      </c>
      <c r="H1434" s="12" t="s">
        <v>3673</v>
      </c>
      <c r="I1434" s="41" t="s">
        <v>7303</v>
      </c>
      <c r="M1434" s="41" t="e">
        <f>VLOOKUP(I1434,错误mRNA总表!D:I,6,FALSE)</f>
        <v>#N/A</v>
      </c>
    </row>
    <row r="1435" spans="1:13" x14ac:dyDescent="0.2">
      <c r="A1435" s="12" t="s">
        <v>4737</v>
      </c>
      <c r="B1435" s="12" t="s">
        <v>3939</v>
      </c>
      <c r="C1435" s="12">
        <v>142710595</v>
      </c>
      <c r="D1435" s="12">
        <v>142715896</v>
      </c>
      <c r="E1435" s="12" t="s">
        <v>3943</v>
      </c>
      <c r="F1435" s="12">
        <v>11</v>
      </c>
      <c r="G1435" s="41" t="s">
        <v>73</v>
      </c>
      <c r="H1435" s="12" t="s">
        <v>3673</v>
      </c>
      <c r="I1435" s="41" t="s">
        <v>7303</v>
      </c>
      <c r="M1435" s="41" t="e">
        <f>VLOOKUP(I1435,错误mRNA总表!D:I,6,FALSE)</f>
        <v>#N/A</v>
      </c>
    </row>
    <row r="1436" spans="1:13" x14ac:dyDescent="0.2">
      <c r="A1436" s="12" t="s">
        <v>4308</v>
      </c>
      <c r="B1436" s="12" t="s">
        <v>3996</v>
      </c>
      <c r="C1436" s="12">
        <v>2641058</v>
      </c>
      <c r="D1436" s="12">
        <v>2646363</v>
      </c>
      <c r="E1436" s="12" t="s">
        <v>3943</v>
      </c>
      <c r="F1436" s="12">
        <v>1</v>
      </c>
      <c r="H1436" s="12" t="s">
        <v>5862</v>
      </c>
      <c r="I1436" s="41" t="s">
        <v>7304</v>
      </c>
      <c r="M1436" s="41" t="e">
        <f>VLOOKUP(I1436,错误mRNA总表!D:I,6,FALSE)</f>
        <v>#N/A</v>
      </c>
    </row>
    <row r="1437" spans="1:13" x14ac:dyDescent="0.2">
      <c r="A1437" s="12" t="s">
        <v>4738</v>
      </c>
      <c r="B1437" s="12" t="s">
        <v>3939</v>
      </c>
      <c r="C1437" s="12">
        <v>48316920</v>
      </c>
      <c r="D1437" s="12">
        <v>48317041</v>
      </c>
      <c r="E1437" s="12" t="s">
        <v>3943</v>
      </c>
      <c r="F1437" s="12">
        <v>3</v>
      </c>
      <c r="G1437" s="41" t="s">
        <v>73</v>
      </c>
      <c r="H1437" s="12" t="s">
        <v>3679</v>
      </c>
      <c r="I1437" s="41" t="s">
        <v>7305</v>
      </c>
      <c r="M1437" s="41" t="e">
        <f>VLOOKUP(I1437,错误mRNA总表!D:I,6,FALSE)</f>
        <v>#N/A</v>
      </c>
    </row>
    <row r="1438" spans="1:13" x14ac:dyDescent="0.2">
      <c r="A1438" s="12" t="s">
        <v>4739</v>
      </c>
      <c r="B1438" s="12" t="s">
        <v>3948</v>
      </c>
      <c r="C1438" s="12">
        <v>50344265</v>
      </c>
      <c r="D1438" s="12">
        <v>50367353</v>
      </c>
      <c r="E1438" s="12" t="s">
        <v>3940</v>
      </c>
      <c r="F1438" s="12">
        <v>3</v>
      </c>
      <c r="G1438" s="41" t="s">
        <v>40</v>
      </c>
      <c r="H1438" s="12" t="s">
        <v>261</v>
      </c>
      <c r="I1438" s="41" t="s">
        <v>7306</v>
      </c>
      <c r="J1438" s="41" t="s">
        <v>3326</v>
      </c>
      <c r="K1438" s="41" t="str">
        <f>VLOOKUP(J1438,错误mRNA总表!D:J,7,FALSE)</f>
        <v>无变化</v>
      </c>
      <c r="M1438" s="41" t="e">
        <f>VLOOKUP(I1438,错误mRNA总表!D:I,6,FALSE)</f>
        <v>#N/A</v>
      </c>
    </row>
    <row r="1439" spans="1:13" x14ac:dyDescent="0.2">
      <c r="A1439" s="12" t="s">
        <v>4740</v>
      </c>
      <c r="B1439" s="12" t="s">
        <v>4182</v>
      </c>
      <c r="C1439" s="12">
        <v>15815</v>
      </c>
      <c r="D1439" s="12">
        <v>15843</v>
      </c>
      <c r="E1439" s="12" t="s">
        <v>3940</v>
      </c>
      <c r="F1439" s="12">
        <v>172</v>
      </c>
      <c r="H1439" s="12" t="s">
        <v>3461</v>
      </c>
      <c r="I1439" s="41" t="s">
        <v>7307</v>
      </c>
      <c r="M1439" s="41" t="e">
        <f>VLOOKUP(I1439,错误mRNA总表!D:I,6,FALSE)</f>
        <v>#N/A</v>
      </c>
    </row>
    <row r="1440" spans="1:13" x14ac:dyDescent="0.2">
      <c r="A1440" s="12" t="s">
        <v>4740</v>
      </c>
      <c r="B1440" s="12" t="s">
        <v>4182</v>
      </c>
      <c r="C1440" s="12">
        <v>15815</v>
      </c>
      <c r="D1440" s="12">
        <v>15821</v>
      </c>
      <c r="E1440" s="12" t="s">
        <v>3940</v>
      </c>
      <c r="F1440" s="12">
        <v>3</v>
      </c>
      <c r="H1440" s="12" t="s">
        <v>3461</v>
      </c>
      <c r="I1440" s="41" t="s">
        <v>7307</v>
      </c>
      <c r="M1440" s="41" t="e">
        <f>VLOOKUP(I1440,错误mRNA总表!D:I,6,FALSE)</f>
        <v>#N/A</v>
      </c>
    </row>
    <row r="1441" spans="1:13" x14ac:dyDescent="0.2">
      <c r="A1441" s="12" t="s">
        <v>4741</v>
      </c>
      <c r="B1441" s="12" t="s">
        <v>4098</v>
      </c>
      <c r="C1441" s="12">
        <v>338148</v>
      </c>
      <c r="D1441" s="12">
        <v>338163</v>
      </c>
      <c r="E1441" s="12" t="s">
        <v>3940</v>
      </c>
      <c r="F1441" s="12">
        <v>213</v>
      </c>
      <c r="H1441" s="12" t="s">
        <v>3474</v>
      </c>
      <c r="I1441" s="41" t="s">
        <v>7308</v>
      </c>
      <c r="M1441" s="41" t="e">
        <f>VLOOKUP(I1441,错误mRNA总表!D:I,6,FALSE)</f>
        <v>#N/A</v>
      </c>
    </row>
    <row r="1442" spans="1:13" x14ac:dyDescent="0.2">
      <c r="A1442" s="12" t="s">
        <v>4741</v>
      </c>
      <c r="B1442" s="12" t="s">
        <v>4098</v>
      </c>
      <c r="C1442" s="12">
        <v>338148</v>
      </c>
      <c r="D1442" s="12">
        <v>340916</v>
      </c>
      <c r="E1442" s="12" t="s">
        <v>3940</v>
      </c>
      <c r="F1442" s="12">
        <v>245</v>
      </c>
      <c r="H1442" s="12" t="s">
        <v>3474</v>
      </c>
      <c r="I1442" s="41" t="s">
        <v>7308</v>
      </c>
      <c r="M1442" s="41" t="e">
        <f>VLOOKUP(I1442,错误mRNA总表!D:I,6,FALSE)</f>
        <v>#N/A</v>
      </c>
    </row>
    <row r="1443" spans="1:13" x14ac:dyDescent="0.2">
      <c r="A1443" s="12" t="s">
        <v>4741</v>
      </c>
      <c r="B1443" s="12" t="s">
        <v>4098</v>
      </c>
      <c r="C1443" s="12">
        <v>338148</v>
      </c>
      <c r="D1443" s="12">
        <v>344479</v>
      </c>
      <c r="E1443" s="12" t="s">
        <v>3940</v>
      </c>
      <c r="F1443" s="12">
        <v>582</v>
      </c>
      <c r="H1443" s="12" t="s">
        <v>3474</v>
      </c>
      <c r="I1443" s="41" t="s">
        <v>7308</v>
      </c>
      <c r="M1443" s="41" t="e">
        <f>VLOOKUP(I1443,错误mRNA总表!D:I,6,FALSE)</f>
        <v>#N/A</v>
      </c>
    </row>
    <row r="1444" spans="1:13" x14ac:dyDescent="0.2">
      <c r="A1444" s="12" t="s">
        <v>4741</v>
      </c>
      <c r="B1444" s="12" t="s">
        <v>4098</v>
      </c>
      <c r="C1444" s="12">
        <v>338148</v>
      </c>
      <c r="D1444" s="12">
        <v>356942</v>
      </c>
      <c r="E1444" s="12" t="s">
        <v>3940</v>
      </c>
      <c r="F1444" s="12">
        <v>410</v>
      </c>
      <c r="H1444" s="12" t="s">
        <v>3474</v>
      </c>
      <c r="I1444" s="41" t="s">
        <v>7308</v>
      </c>
      <c r="M1444" s="41" t="e">
        <f>VLOOKUP(I1444,错误mRNA总表!D:I,6,FALSE)</f>
        <v>#N/A</v>
      </c>
    </row>
    <row r="1445" spans="1:13" x14ac:dyDescent="0.2">
      <c r="A1445" s="12" t="s">
        <v>4660</v>
      </c>
      <c r="B1445" s="12" t="s">
        <v>4061</v>
      </c>
      <c r="C1445" s="12">
        <v>807044</v>
      </c>
      <c r="D1445" s="12">
        <v>813878</v>
      </c>
      <c r="E1445" s="12" t="s">
        <v>3940</v>
      </c>
      <c r="F1445" s="12">
        <v>22</v>
      </c>
      <c r="H1445" s="12" t="s">
        <v>214</v>
      </c>
      <c r="I1445" s="41" t="s">
        <v>7309</v>
      </c>
      <c r="J1445" s="41" t="s">
        <v>2170</v>
      </c>
      <c r="K1445" s="41" t="str">
        <f>VLOOKUP(J1445,错误mRNA总表!D:J,7,FALSE)</f>
        <v>Browser与原结果匹配，纠后与rs匹配(rs746499983)chr19:55350966-55359398</v>
      </c>
      <c r="M1445" s="41" t="e">
        <f>VLOOKUP(I1445,错误mRNA总表!D:I,6,FALSE)</f>
        <v>#N/A</v>
      </c>
    </row>
    <row r="1446" spans="1:13" x14ac:dyDescent="0.2">
      <c r="A1446" s="12" t="s">
        <v>4742</v>
      </c>
      <c r="B1446" s="12" t="s">
        <v>3978</v>
      </c>
      <c r="C1446" s="12">
        <v>12938542</v>
      </c>
      <c r="D1446" s="12">
        <v>12942850</v>
      </c>
      <c r="E1446" s="12" t="s">
        <v>3943</v>
      </c>
      <c r="F1446" s="12">
        <v>1</v>
      </c>
      <c r="G1446" s="41" t="s">
        <v>86</v>
      </c>
      <c r="H1446" s="12" t="s">
        <v>90</v>
      </c>
      <c r="I1446" s="41" t="s">
        <v>2101</v>
      </c>
      <c r="J1446" s="41" t="s">
        <v>2101</v>
      </c>
      <c r="K1446" s="41" t="str">
        <f>VLOOKUP(J1446,错误mRNA总表!D:J,7,FALSE)</f>
        <v>纠后正确</v>
      </c>
      <c r="L1446" s="41" t="s">
        <v>3763</v>
      </c>
      <c r="M1446" s="41">
        <f>VLOOKUP(I1446,错误mRNA总表!D:I,6,FALSE)</f>
        <v>0</v>
      </c>
    </row>
    <row r="1447" spans="1:13" x14ac:dyDescent="0.2">
      <c r="A1447" s="12" t="s">
        <v>4743</v>
      </c>
      <c r="B1447" s="12" t="s">
        <v>4124</v>
      </c>
      <c r="C1447" s="12">
        <v>136499189</v>
      </c>
      <c r="D1447" s="12">
        <v>136542431</v>
      </c>
      <c r="E1447" s="12" t="s">
        <v>3940</v>
      </c>
      <c r="F1447" s="12">
        <v>1</v>
      </c>
      <c r="G1447" s="41" t="s">
        <v>1</v>
      </c>
      <c r="H1447" s="12" t="s">
        <v>6519</v>
      </c>
      <c r="I1447" s="41" t="s">
        <v>7310</v>
      </c>
      <c r="M1447" s="41" t="e">
        <f>VLOOKUP(I1447,错误mRNA总表!D:I,6,FALSE)</f>
        <v>#N/A</v>
      </c>
    </row>
    <row r="1448" spans="1:13" x14ac:dyDescent="0.2">
      <c r="A1448" s="12" t="s">
        <v>4744</v>
      </c>
      <c r="B1448" s="12" t="s">
        <v>4124</v>
      </c>
      <c r="C1448" s="12">
        <v>173724766</v>
      </c>
      <c r="D1448" s="12">
        <v>173724922</v>
      </c>
      <c r="E1448" s="12" t="s">
        <v>3943</v>
      </c>
      <c r="F1448" s="12">
        <v>1</v>
      </c>
      <c r="G1448" s="41" t="s">
        <v>1</v>
      </c>
      <c r="H1448" s="12" t="s">
        <v>6010</v>
      </c>
      <c r="I1448" s="41" t="s">
        <v>7311</v>
      </c>
      <c r="M1448" s="41" t="e">
        <f>VLOOKUP(I1448,错误mRNA总表!D:I,6,FALSE)</f>
        <v>#N/A</v>
      </c>
    </row>
    <row r="1449" spans="1:13" x14ac:dyDescent="0.2">
      <c r="A1449" s="12" t="s">
        <v>4745</v>
      </c>
      <c r="B1449" s="12" t="s">
        <v>3957</v>
      </c>
      <c r="C1449" s="12">
        <v>46638826</v>
      </c>
      <c r="D1449" s="12">
        <v>46694313</v>
      </c>
      <c r="E1449" s="12" t="s">
        <v>3943</v>
      </c>
      <c r="F1449" s="12">
        <v>2</v>
      </c>
      <c r="G1449" s="41" t="s">
        <v>36</v>
      </c>
      <c r="H1449" s="12" t="s">
        <v>6011</v>
      </c>
      <c r="I1449" s="41" t="s">
        <v>7312</v>
      </c>
      <c r="M1449" s="41" t="e">
        <f>VLOOKUP(I1449,错误mRNA总表!D:I,6,FALSE)</f>
        <v>#N/A</v>
      </c>
    </row>
    <row r="1450" spans="1:13" x14ac:dyDescent="0.2">
      <c r="A1450" s="12" t="s">
        <v>4746</v>
      </c>
      <c r="B1450" s="12" t="s">
        <v>4023</v>
      </c>
      <c r="C1450" s="12">
        <v>1461296</v>
      </c>
      <c r="D1450" s="12">
        <v>1462945</v>
      </c>
      <c r="E1450" s="12" t="s">
        <v>3943</v>
      </c>
      <c r="F1450" s="12">
        <v>21</v>
      </c>
      <c r="H1450" s="12" t="s">
        <v>6012</v>
      </c>
      <c r="I1450" s="41" t="s">
        <v>7313</v>
      </c>
      <c r="M1450" s="41" t="e">
        <f>VLOOKUP(I1450,错误mRNA总表!D:I,6,FALSE)</f>
        <v>#N/A</v>
      </c>
    </row>
    <row r="1451" spans="1:13" x14ac:dyDescent="0.2">
      <c r="A1451" s="12" t="s">
        <v>4747</v>
      </c>
      <c r="B1451" s="12" t="s">
        <v>4052</v>
      </c>
      <c r="C1451" s="12">
        <v>47096454</v>
      </c>
      <c r="D1451" s="12">
        <v>47151110</v>
      </c>
      <c r="E1451" s="12" t="s">
        <v>3943</v>
      </c>
      <c r="F1451" s="12">
        <v>3</v>
      </c>
      <c r="G1451" s="41" t="s">
        <v>93</v>
      </c>
      <c r="H1451" s="12" t="s">
        <v>6414</v>
      </c>
      <c r="I1451" s="41" t="s">
        <v>7314</v>
      </c>
      <c r="M1451" s="41" t="e">
        <f>VLOOKUP(I1451,错误mRNA总表!D:I,6,FALSE)</f>
        <v>#N/A</v>
      </c>
    </row>
    <row r="1452" spans="1:13" x14ac:dyDescent="0.2">
      <c r="A1452" s="12" t="s">
        <v>4747</v>
      </c>
      <c r="B1452" s="12" t="s">
        <v>4052</v>
      </c>
      <c r="C1452" s="12">
        <v>47096454</v>
      </c>
      <c r="D1452" s="12">
        <v>47097863</v>
      </c>
      <c r="E1452" s="12" t="s">
        <v>3943</v>
      </c>
      <c r="F1452" s="12">
        <v>2</v>
      </c>
      <c r="G1452" s="41" t="s">
        <v>93</v>
      </c>
      <c r="H1452" s="12" t="s">
        <v>6414</v>
      </c>
      <c r="I1452" s="41" t="s">
        <v>7314</v>
      </c>
      <c r="M1452" s="41" t="e">
        <f>VLOOKUP(I1452,错误mRNA总表!D:I,6,FALSE)</f>
        <v>#N/A</v>
      </c>
    </row>
    <row r="1453" spans="1:13" x14ac:dyDescent="0.2">
      <c r="A1453" s="12" t="s">
        <v>4135</v>
      </c>
      <c r="B1453" s="12" t="s">
        <v>3996</v>
      </c>
      <c r="C1453" s="12">
        <v>3633298</v>
      </c>
      <c r="D1453" s="12">
        <v>3662328</v>
      </c>
      <c r="E1453" s="12" t="s">
        <v>3943</v>
      </c>
      <c r="F1453" s="12">
        <v>6</v>
      </c>
      <c r="H1453" s="12" t="s">
        <v>5812</v>
      </c>
      <c r="I1453" s="41" t="s">
        <v>7315</v>
      </c>
      <c r="M1453" s="41" t="e">
        <f>VLOOKUP(I1453,错误mRNA总表!D:I,6,FALSE)</f>
        <v>#N/A</v>
      </c>
    </row>
    <row r="1454" spans="1:13" x14ac:dyDescent="0.2">
      <c r="A1454" s="12" t="s">
        <v>4097</v>
      </c>
      <c r="B1454" s="12" t="s">
        <v>3950</v>
      </c>
      <c r="C1454" s="12">
        <v>248562</v>
      </c>
      <c r="D1454" s="12">
        <v>248597</v>
      </c>
      <c r="E1454" s="12" t="s">
        <v>3940</v>
      </c>
      <c r="F1454" s="12">
        <v>2</v>
      </c>
      <c r="H1454" s="12" t="s">
        <v>3657</v>
      </c>
      <c r="I1454" s="41" t="s">
        <v>6756</v>
      </c>
      <c r="M1454" s="41" t="e">
        <f>VLOOKUP(I1454,错误mRNA总表!D:I,6,FALSE)</f>
        <v>#N/A</v>
      </c>
    </row>
    <row r="1455" spans="1:13" x14ac:dyDescent="0.2">
      <c r="A1455" s="12" t="s">
        <v>4748</v>
      </c>
      <c r="B1455" s="12" t="s">
        <v>3948</v>
      </c>
      <c r="C1455" s="12">
        <v>66147078</v>
      </c>
      <c r="D1455" s="12">
        <v>66274377</v>
      </c>
      <c r="E1455" s="12" t="s">
        <v>3940</v>
      </c>
      <c r="F1455" s="12">
        <v>2</v>
      </c>
      <c r="G1455" s="41" t="s">
        <v>40</v>
      </c>
      <c r="H1455" s="12" t="s">
        <v>6013</v>
      </c>
      <c r="I1455" s="41" t="s">
        <v>7316</v>
      </c>
      <c r="M1455" s="41" t="e">
        <f>VLOOKUP(I1455,错误mRNA总表!D:I,6,FALSE)</f>
        <v>#N/A</v>
      </c>
    </row>
    <row r="1456" spans="1:13" x14ac:dyDescent="0.2">
      <c r="A1456" s="12" t="s">
        <v>4116</v>
      </c>
      <c r="B1456" s="12" t="s">
        <v>4001</v>
      </c>
      <c r="C1456" s="12">
        <v>4108942</v>
      </c>
      <c r="D1456" s="12">
        <v>4114566</v>
      </c>
      <c r="E1456" s="12" t="s">
        <v>3940</v>
      </c>
      <c r="F1456" s="12">
        <v>3</v>
      </c>
      <c r="H1456" s="12" t="s">
        <v>3583</v>
      </c>
      <c r="I1456" s="41" t="s">
        <v>7317</v>
      </c>
      <c r="M1456" s="41" t="e">
        <f>VLOOKUP(I1456,错误mRNA总表!D:I,6,FALSE)</f>
        <v>#N/A</v>
      </c>
    </row>
    <row r="1457" spans="1:13" x14ac:dyDescent="0.2">
      <c r="A1457" s="12" t="s">
        <v>4749</v>
      </c>
      <c r="B1457" s="12" t="s">
        <v>4001</v>
      </c>
      <c r="C1457" s="12">
        <v>873547</v>
      </c>
      <c r="D1457" s="12">
        <v>904213</v>
      </c>
      <c r="E1457" s="12" t="s">
        <v>3940</v>
      </c>
      <c r="F1457" s="12">
        <v>1</v>
      </c>
      <c r="H1457" s="12" t="s">
        <v>3521</v>
      </c>
      <c r="I1457" s="41" t="s">
        <v>6820</v>
      </c>
      <c r="M1457" s="41" t="e">
        <f>VLOOKUP(I1457,错误mRNA总表!D:I,6,FALSE)</f>
        <v>#N/A</v>
      </c>
    </row>
    <row r="1458" spans="1:13" x14ac:dyDescent="0.2">
      <c r="A1458" s="12" t="s">
        <v>4331</v>
      </c>
      <c r="B1458" s="12" t="s">
        <v>3989</v>
      </c>
      <c r="C1458" s="12">
        <v>2467051</v>
      </c>
      <c r="D1458" s="12">
        <v>2469065</v>
      </c>
      <c r="E1458" s="12" t="s">
        <v>3943</v>
      </c>
      <c r="F1458" s="12">
        <v>3</v>
      </c>
      <c r="H1458" s="12" t="s">
        <v>5872</v>
      </c>
      <c r="I1458" s="41" t="s">
        <v>7318</v>
      </c>
      <c r="M1458" s="41" t="e">
        <f>VLOOKUP(I1458,错误mRNA总表!D:I,6,FALSE)</f>
        <v>#N/A</v>
      </c>
    </row>
    <row r="1459" spans="1:13" x14ac:dyDescent="0.2">
      <c r="A1459" s="12" t="s">
        <v>4331</v>
      </c>
      <c r="B1459" s="12" t="s">
        <v>3989</v>
      </c>
      <c r="C1459" s="12">
        <v>2467051</v>
      </c>
      <c r="D1459" s="12">
        <v>2469389</v>
      </c>
      <c r="E1459" s="12" t="s">
        <v>3940</v>
      </c>
      <c r="F1459" s="12">
        <v>1</v>
      </c>
      <c r="H1459" s="12" t="s">
        <v>5872</v>
      </c>
      <c r="I1459" s="41" t="s">
        <v>7318</v>
      </c>
      <c r="M1459" s="41" t="e">
        <f>VLOOKUP(I1459,错误mRNA总表!D:I,6,FALSE)</f>
        <v>#N/A</v>
      </c>
    </row>
    <row r="1460" spans="1:13" x14ac:dyDescent="0.2">
      <c r="A1460" s="12" t="s">
        <v>4331</v>
      </c>
      <c r="B1460" s="12" t="s">
        <v>3989</v>
      </c>
      <c r="C1460" s="12">
        <v>2467051</v>
      </c>
      <c r="D1460" s="12">
        <v>2469670</v>
      </c>
      <c r="E1460" s="12" t="s">
        <v>3943</v>
      </c>
      <c r="F1460" s="12">
        <v>3</v>
      </c>
      <c r="H1460" s="12" t="s">
        <v>5872</v>
      </c>
      <c r="I1460" s="41" t="s">
        <v>7318</v>
      </c>
      <c r="M1460" s="41" t="e">
        <f>VLOOKUP(I1460,错误mRNA总表!D:I,6,FALSE)</f>
        <v>#N/A</v>
      </c>
    </row>
    <row r="1461" spans="1:13" x14ac:dyDescent="0.2">
      <c r="A1461" s="12" t="s">
        <v>4750</v>
      </c>
      <c r="B1461" s="12" t="s">
        <v>4199</v>
      </c>
      <c r="C1461" s="12">
        <v>66095</v>
      </c>
      <c r="D1461" s="12">
        <v>67233</v>
      </c>
      <c r="E1461" s="12" t="s">
        <v>3943</v>
      </c>
      <c r="F1461" s="12">
        <v>1</v>
      </c>
      <c r="H1461" s="12" t="s">
        <v>6195</v>
      </c>
      <c r="I1461" s="41" t="s">
        <v>7319</v>
      </c>
      <c r="M1461" s="41" t="e">
        <f>VLOOKUP(I1461,错误mRNA总表!D:I,6,FALSE)</f>
        <v>#N/A</v>
      </c>
    </row>
    <row r="1462" spans="1:13" x14ac:dyDescent="0.2">
      <c r="A1462" s="12" t="s">
        <v>4751</v>
      </c>
      <c r="B1462" s="12" t="s">
        <v>4012</v>
      </c>
      <c r="C1462" s="12">
        <v>81134484</v>
      </c>
      <c r="D1462" s="12">
        <v>81161483</v>
      </c>
      <c r="E1462" s="12" t="s">
        <v>3940</v>
      </c>
      <c r="F1462" s="12">
        <v>1</v>
      </c>
      <c r="G1462" s="41" t="s">
        <v>121</v>
      </c>
      <c r="H1462" s="12" t="s">
        <v>120</v>
      </c>
      <c r="I1462" s="41" t="s">
        <v>2119</v>
      </c>
      <c r="J1462" s="41" t="s">
        <v>2119</v>
      </c>
      <c r="K1462" s="41" t="str">
        <f>VLOOKUP(J1462,错误mRNA总表!D:J,7,FALSE)</f>
        <v>纠后正确</v>
      </c>
      <c r="L1462" s="41" t="s">
        <v>3763</v>
      </c>
      <c r="M1462" s="41">
        <f>VLOOKUP(I1462,错误mRNA总表!D:I,6,FALSE)</f>
        <v>0</v>
      </c>
    </row>
    <row r="1463" spans="1:13" x14ac:dyDescent="0.2">
      <c r="A1463" s="12" t="s">
        <v>4752</v>
      </c>
      <c r="B1463" s="12" t="s">
        <v>3954</v>
      </c>
      <c r="C1463" s="12">
        <v>177604689</v>
      </c>
      <c r="D1463" s="12">
        <v>177605081</v>
      </c>
      <c r="E1463" s="12" t="s">
        <v>3943</v>
      </c>
      <c r="F1463" s="12">
        <v>3</v>
      </c>
      <c r="G1463" s="41" t="s">
        <v>569</v>
      </c>
      <c r="H1463" s="12" t="s">
        <v>632</v>
      </c>
      <c r="I1463" s="41" t="s">
        <v>7320</v>
      </c>
      <c r="J1463" s="41" t="s">
        <v>3230</v>
      </c>
      <c r="K1463" s="41" t="str">
        <f>VLOOKUP(J1463,错误mRNA总表!D:J,7,FALSE)</f>
        <v/>
      </c>
      <c r="M1463" s="41" t="e">
        <f>VLOOKUP(I1463,错误mRNA总表!D:I,6,FALSE)</f>
        <v>#N/A</v>
      </c>
    </row>
    <row r="1464" spans="1:13" x14ac:dyDescent="0.2">
      <c r="A1464" s="12" t="s">
        <v>4753</v>
      </c>
      <c r="B1464" s="12" t="s">
        <v>4754</v>
      </c>
      <c r="C1464" s="12">
        <v>12716</v>
      </c>
      <c r="D1464" s="12">
        <v>12771</v>
      </c>
      <c r="E1464" s="12" t="s">
        <v>3940</v>
      </c>
      <c r="F1464" s="12">
        <v>725</v>
      </c>
      <c r="H1464" s="12" t="s">
        <v>249</v>
      </c>
      <c r="I1464" s="41" t="s">
        <v>7321</v>
      </c>
      <c r="J1464" s="41" t="s">
        <v>2272</v>
      </c>
      <c r="K1464" s="41" t="str">
        <f>VLOOKUP(J1464,错误mRNA总表!D:J,7,FALSE)</f>
        <v/>
      </c>
      <c r="M1464" s="41" t="e">
        <f>VLOOKUP(I1464,错误mRNA总表!D:I,6,FALSE)</f>
        <v>#N/A</v>
      </c>
    </row>
    <row r="1465" spans="1:13" x14ac:dyDescent="0.2">
      <c r="A1465" s="12" t="s">
        <v>4753</v>
      </c>
      <c r="B1465" s="12" t="s">
        <v>4754</v>
      </c>
      <c r="C1465" s="12">
        <v>12716</v>
      </c>
      <c r="D1465" s="12">
        <v>21837</v>
      </c>
      <c r="E1465" s="12" t="s">
        <v>3943</v>
      </c>
      <c r="F1465" s="12">
        <v>1</v>
      </c>
      <c r="H1465" s="12" t="s">
        <v>249</v>
      </c>
      <c r="I1465" s="41" t="s">
        <v>7321</v>
      </c>
      <c r="J1465" s="41" t="s">
        <v>2272</v>
      </c>
      <c r="K1465" s="41" t="str">
        <f>VLOOKUP(J1465,错误mRNA总表!D:J,7,FALSE)</f>
        <v/>
      </c>
      <c r="M1465" s="41" t="e">
        <f>VLOOKUP(I1465,错误mRNA总表!D:I,6,FALSE)</f>
        <v>#N/A</v>
      </c>
    </row>
    <row r="1466" spans="1:13" x14ac:dyDescent="0.2">
      <c r="A1466" s="12" t="s">
        <v>4753</v>
      </c>
      <c r="B1466" s="12" t="s">
        <v>4754</v>
      </c>
      <c r="C1466" s="12">
        <v>12716</v>
      </c>
      <c r="D1466" s="12">
        <v>12734</v>
      </c>
      <c r="E1466" s="12" t="s">
        <v>3940</v>
      </c>
      <c r="F1466" s="12">
        <v>3</v>
      </c>
      <c r="H1466" s="12" t="s">
        <v>249</v>
      </c>
      <c r="I1466" s="41" t="s">
        <v>7321</v>
      </c>
      <c r="J1466" s="41" t="s">
        <v>2272</v>
      </c>
      <c r="K1466" s="41" t="str">
        <f>VLOOKUP(J1466,错误mRNA总表!D:J,7,FALSE)</f>
        <v/>
      </c>
      <c r="M1466" s="41" t="e">
        <f>VLOOKUP(I1466,错误mRNA总表!D:I,6,FALSE)</f>
        <v>#N/A</v>
      </c>
    </row>
    <row r="1467" spans="1:13" x14ac:dyDescent="0.2">
      <c r="A1467" s="12" t="s">
        <v>4753</v>
      </c>
      <c r="B1467" s="12" t="s">
        <v>4754</v>
      </c>
      <c r="C1467" s="12">
        <v>12716</v>
      </c>
      <c r="D1467" s="12">
        <v>12745</v>
      </c>
      <c r="E1467" s="12" t="s">
        <v>3940</v>
      </c>
      <c r="F1467" s="12">
        <v>1</v>
      </c>
      <c r="H1467" s="12" t="s">
        <v>249</v>
      </c>
      <c r="I1467" s="41" t="s">
        <v>7321</v>
      </c>
      <c r="J1467" s="41" t="s">
        <v>2272</v>
      </c>
      <c r="K1467" s="41" t="str">
        <f>VLOOKUP(J1467,错误mRNA总表!D:J,7,FALSE)</f>
        <v/>
      </c>
      <c r="M1467" s="41" t="e">
        <f>VLOOKUP(I1467,错误mRNA总表!D:I,6,FALSE)</f>
        <v>#N/A</v>
      </c>
    </row>
    <row r="1468" spans="1:13" x14ac:dyDescent="0.2">
      <c r="A1468" s="12" t="s">
        <v>4753</v>
      </c>
      <c r="B1468" s="12" t="s">
        <v>4754</v>
      </c>
      <c r="C1468" s="12">
        <v>12716</v>
      </c>
      <c r="D1468" s="12">
        <v>12760</v>
      </c>
      <c r="E1468" s="12" t="s">
        <v>3943</v>
      </c>
      <c r="F1468" s="12">
        <v>2</v>
      </c>
      <c r="H1468" s="12" t="s">
        <v>249</v>
      </c>
      <c r="I1468" s="41" t="s">
        <v>7321</v>
      </c>
      <c r="J1468" s="41" t="s">
        <v>2272</v>
      </c>
      <c r="K1468" s="41" t="str">
        <f>VLOOKUP(J1468,错误mRNA总表!D:J,7,FALSE)</f>
        <v/>
      </c>
      <c r="M1468" s="41" t="e">
        <f>VLOOKUP(I1468,错误mRNA总表!D:I,6,FALSE)</f>
        <v>#N/A</v>
      </c>
    </row>
    <row r="1469" spans="1:13" x14ac:dyDescent="0.2">
      <c r="A1469" s="12" t="s">
        <v>4755</v>
      </c>
      <c r="B1469" s="12" t="s">
        <v>4339</v>
      </c>
      <c r="C1469" s="12">
        <v>11640</v>
      </c>
      <c r="D1469" s="12">
        <v>11644</v>
      </c>
      <c r="E1469" s="12" t="s">
        <v>3943</v>
      </c>
      <c r="F1469" s="12">
        <v>3</v>
      </c>
      <c r="H1469" s="12" t="s">
        <v>3623</v>
      </c>
      <c r="I1469" s="41" t="s">
        <v>7322</v>
      </c>
      <c r="M1469" s="41" t="e">
        <f>VLOOKUP(I1469,错误mRNA总表!D:I,6,FALSE)</f>
        <v>#N/A</v>
      </c>
    </row>
    <row r="1470" spans="1:13" x14ac:dyDescent="0.2">
      <c r="A1470" s="12" t="s">
        <v>4755</v>
      </c>
      <c r="B1470" s="12" t="s">
        <v>4339</v>
      </c>
      <c r="C1470" s="12">
        <v>11640</v>
      </c>
      <c r="D1470" s="12">
        <v>11653</v>
      </c>
      <c r="E1470" s="12" t="s">
        <v>3943</v>
      </c>
      <c r="F1470" s="12">
        <v>3</v>
      </c>
      <c r="H1470" s="12" t="s">
        <v>3623</v>
      </c>
      <c r="I1470" s="41" t="s">
        <v>7322</v>
      </c>
      <c r="M1470" s="41" t="e">
        <f>VLOOKUP(I1470,错误mRNA总表!D:I,6,FALSE)</f>
        <v>#N/A</v>
      </c>
    </row>
    <row r="1471" spans="1:13" x14ac:dyDescent="0.2">
      <c r="A1471" s="12" t="s">
        <v>4756</v>
      </c>
      <c r="B1471" s="12" t="s">
        <v>3978</v>
      </c>
      <c r="C1471" s="12">
        <v>44754135</v>
      </c>
      <c r="D1471" s="12">
        <v>44765016</v>
      </c>
      <c r="E1471" s="12" t="s">
        <v>3940</v>
      </c>
      <c r="F1471" s="12">
        <v>1</v>
      </c>
      <c r="G1471" s="41" t="s">
        <v>86</v>
      </c>
      <c r="H1471" s="12" t="s">
        <v>6014</v>
      </c>
      <c r="I1471" s="41" t="s">
        <v>7323</v>
      </c>
      <c r="M1471" s="41" t="e">
        <f>VLOOKUP(I1471,错误mRNA总表!D:I,6,FALSE)</f>
        <v>#N/A</v>
      </c>
    </row>
    <row r="1472" spans="1:13" x14ac:dyDescent="0.2">
      <c r="A1472" s="12" t="s">
        <v>4757</v>
      </c>
      <c r="B1472" s="12" t="s">
        <v>3986</v>
      </c>
      <c r="C1472" s="12">
        <v>55315067</v>
      </c>
      <c r="D1472" s="12">
        <v>55325145</v>
      </c>
      <c r="E1472" s="12" t="s">
        <v>3940</v>
      </c>
      <c r="F1472" s="12">
        <v>1</v>
      </c>
      <c r="G1472" s="41" t="s">
        <v>50</v>
      </c>
      <c r="H1472" s="12" t="s">
        <v>96</v>
      </c>
      <c r="I1472" s="41" t="s">
        <v>2104</v>
      </c>
      <c r="J1472" s="41" t="s">
        <v>2104</v>
      </c>
      <c r="K1472" s="41" t="str">
        <f>VLOOKUP(J1472,错误mRNA总表!D:J,7,FALSE)</f>
        <v>纠后与rs号一致,Browers与NCBIrs(rs774287963)不一致,chr19:55325146-55325566</v>
      </c>
      <c r="L1472" s="41" t="s">
        <v>3875</v>
      </c>
      <c r="M1472" s="41">
        <f>VLOOKUP(I1472,错误mRNA总表!D:I,6,FALSE)</f>
        <v>0</v>
      </c>
    </row>
    <row r="1473" spans="1:13" x14ac:dyDescent="0.2">
      <c r="A1473" s="12" t="s">
        <v>4758</v>
      </c>
      <c r="B1473" s="12" t="s">
        <v>4012</v>
      </c>
      <c r="C1473" s="12">
        <v>76311115</v>
      </c>
      <c r="D1473" s="12">
        <v>76311603</v>
      </c>
      <c r="E1473" s="12" t="s">
        <v>3940</v>
      </c>
      <c r="F1473" s="12">
        <v>1</v>
      </c>
      <c r="G1473" s="41" t="s">
        <v>121</v>
      </c>
      <c r="H1473" s="12" t="s">
        <v>6015</v>
      </c>
      <c r="I1473" s="41" t="s">
        <v>7324</v>
      </c>
      <c r="M1473" s="41" t="e">
        <f>VLOOKUP(I1473,错误mRNA总表!D:I,6,FALSE)</f>
        <v>#N/A</v>
      </c>
    </row>
    <row r="1474" spans="1:13" x14ac:dyDescent="0.2">
      <c r="A1474" s="12" t="s">
        <v>4759</v>
      </c>
      <c r="B1474" s="12" t="s">
        <v>4035</v>
      </c>
      <c r="C1474" s="12">
        <v>20532974</v>
      </c>
      <c r="D1474" s="12">
        <v>20664046</v>
      </c>
      <c r="E1474" s="12" t="s">
        <v>3940</v>
      </c>
      <c r="F1474" s="12">
        <v>1</v>
      </c>
      <c r="G1474" s="41" t="s">
        <v>106</v>
      </c>
      <c r="H1474" s="12" t="s">
        <v>6415</v>
      </c>
      <c r="I1474" s="41" t="s">
        <v>7325</v>
      </c>
      <c r="M1474" s="41" t="e">
        <f>VLOOKUP(I1474,错误mRNA总表!D:I,6,FALSE)</f>
        <v>#N/A</v>
      </c>
    </row>
    <row r="1475" spans="1:13" x14ac:dyDescent="0.2">
      <c r="A1475" s="12" t="s">
        <v>4760</v>
      </c>
      <c r="B1475" s="12" t="s">
        <v>4004</v>
      </c>
      <c r="C1475" s="12">
        <v>86126288</v>
      </c>
      <c r="D1475" s="12">
        <v>86126827</v>
      </c>
      <c r="E1475" s="12" t="s">
        <v>3940</v>
      </c>
      <c r="F1475" s="12">
        <v>6</v>
      </c>
      <c r="G1475" s="41" t="s">
        <v>103</v>
      </c>
      <c r="H1475" s="12" t="s">
        <v>785</v>
      </c>
      <c r="I1475" s="41" t="s">
        <v>2216</v>
      </c>
      <c r="J1475" s="41" t="s">
        <v>2216</v>
      </c>
      <c r="K1475" s="41" t="str">
        <f>VLOOKUP(J1475,错误mRNA总表!D:J,7,FALSE)</f>
        <v>纠后正确，加2个氨基酸chr8:86126795-86126826</v>
      </c>
      <c r="L1475" s="41" t="s">
        <v>8335</v>
      </c>
      <c r="M1475" s="41">
        <f>VLOOKUP(I1475,错误mRNA总表!D:I,6,FALSE)</f>
        <v>0</v>
      </c>
    </row>
    <row r="1476" spans="1:13" x14ac:dyDescent="0.2">
      <c r="A1476" s="12" t="s">
        <v>4564</v>
      </c>
      <c r="B1476" s="12" t="s">
        <v>3989</v>
      </c>
      <c r="C1476" s="12">
        <v>2959804</v>
      </c>
      <c r="D1476" s="12">
        <v>2959820</v>
      </c>
      <c r="E1476" s="12" t="s">
        <v>3943</v>
      </c>
      <c r="F1476" s="12">
        <v>5</v>
      </c>
      <c r="H1476" s="12" t="s">
        <v>3569</v>
      </c>
      <c r="I1476" s="41" t="s">
        <v>7326</v>
      </c>
      <c r="M1476" s="41" t="e">
        <f>VLOOKUP(I1476,错误mRNA总表!D:I,6,FALSE)</f>
        <v>#N/A</v>
      </c>
    </row>
    <row r="1477" spans="1:13" x14ac:dyDescent="0.2">
      <c r="A1477" s="12" t="s">
        <v>4564</v>
      </c>
      <c r="B1477" s="12" t="s">
        <v>3989</v>
      </c>
      <c r="C1477" s="12">
        <v>2959804</v>
      </c>
      <c r="D1477" s="12">
        <v>2960280</v>
      </c>
      <c r="E1477" s="12" t="s">
        <v>3943</v>
      </c>
      <c r="F1477" s="12">
        <v>1</v>
      </c>
      <c r="H1477" s="12" t="s">
        <v>3569</v>
      </c>
      <c r="I1477" s="41" t="s">
        <v>7326</v>
      </c>
      <c r="M1477" s="41" t="e">
        <f>VLOOKUP(I1477,错误mRNA总表!D:I,6,FALSE)</f>
        <v>#N/A</v>
      </c>
    </row>
    <row r="1478" spans="1:13" x14ac:dyDescent="0.2">
      <c r="A1478" s="12" t="s">
        <v>4564</v>
      </c>
      <c r="B1478" s="12" t="s">
        <v>3989</v>
      </c>
      <c r="C1478" s="12">
        <v>2959804</v>
      </c>
      <c r="D1478" s="12">
        <v>2960400</v>
      </c>
      <c r="E1478" s="12" t="s">
        <v>3940</v>
      </c>
      <c r="F1478" s="12">
        <v>1</v>
      </c>
      <c r="H1478" s="12" t="s">
        <v>3569</v>
      </c>
      <c r="I1478" s="41" t="s">
        <v>7326</v>
      </c>
      <c r="M1478" s="41" t="e">
        <f>VLOOKUP(I1478,错误mRNA总表!D:I,6,FALSE)</f>
        <v>#N/A</v>
      </c>
    </row>
    <row r="1479" spans="1:13" x14ac:dyDescent="0.2">
      <c r="A1479" s="12" t="s">
        <v>4761</v>
      </c>
      <c r="B1479" s="12" t="s">
        <v>4052</v>
      </c>
      <c r="C1479" s="12">
        <v>7601232</v>
      </c>
      <c r="D1479" s="12">
        <v>7605077</v>
      </c>
      <c r="E1479" s="12" t="s">
        <v>3943</v>
      </c>
      <c r="F1479" s="12">
        <v>1</v>
      </c>
      <c r="G1479" s="41" t="s">
        <v>93</v>
      </c>
      <c r="H1479" s="12" t="s">
        <v>94</v>
      </c>
      <c r="I1479" s="41" t="s">
        <v>2103</v>
      </c>
      <c r="J1479" s="41" t="s">
        <v>2103</v>
      </c>
      <c r="K1479" s="41" t="str">
        <f>VLOOKUP(J1479,错误mRNA总表!D:J,7,FALSE)</f>
        <v>纠后正确</v>
      </c>
      <c r="L1479" s="41" t="s">
        <v>3763</v>
      </c>
      <c r="M1479" s="41">
        <f>VLOOKUP(I1479,错误mRNA总表!D:I,6,FALSE)</f>
        <v>0</v>
      </c>
    </row>
    <row r="1480" spans="1:13" x14ac:dyDescent="0.2">
      <c r="A1480" s="12" t="s">
        <v>4762</v>
      </c>
      <c r="B1480" s="12" t="s">
        <v>3964</v>
      </c>
      <c r="C1480" s="12">
        <v>174342</v>
      </c>
      <c r="D1480" s="12">
        <v>190638</v>
      </c>
      <c r="E1480" s="12" t="s">
        <v>3940</v>
      </c>
      <c r="F1480" s="12">
        <v>50</v>
      </c>
      <c r="H1480" s="12" t="s">
        <v>3416</v>
      </c>
      <c r="I1480" s="41" t="s">
        <v>7327</v>
      </c>
      <c r="M1480" s="41" t="e">
        <f>VLOOKUP(I1480,错误mRNA总表!D:I,6,FALSE)</f>
        <v>#N/A</v>
      </c>
    </row>
    <row r="1481" spans="1:13" x14ac:dyDescent="0.2">
      <c r="A1481" s="12" t="s">
        <v>4762</v>
      </c>
      <c r="B1481" s="12" t="s">
        <v>3964</v>
      </c>
      <c r="C1481" s="12">
        <v>174342</v>
      </c>
      <c r="D1481" s="12">
        <v>179194</v>
      </c>
      <c r="E1481" s="12" t="s">
        <v>3940</v>
      </c>
      <c r="F1481" s="12">
        <v>84</v>
      </c>
      <c r="H1481" s="12" t="s">
        <v>3416</v>
      </c>
      <c r="I1481" s="41" t="s">
        <v>7327</v>
      </c>
      <c r="M1481" s="41" t="e">
        <f>VLOOKUP(I1481,错误mRNA总表!D:I,6,FALSE)</f>
        <v>#N/A</v>
      </c>
    </row>
    <row r="1482" spans="1:13" x14ac:dyDescent="0.2">
      <c r="A1482" s="12" t="s">
        <v>4762</v>
      </c>
      <c r="B1482" s="12" t="s">
        <v>3964</v>
      </c>
      <c r="C1482" s="12">
        <v>174342</v>
      </c>
      <c r="D1482" s="12">
        <v>179191</v>
      </c>
      <c r="E1482" s="12" t="s">
        <v>3943</v>
      </c>
      <c r="F1482" s="12">
        <v>1</v>
      </c>
      <c r="H1482" s="12" t="s">
        <v>3416</v>
      </c>
      <c r="I1482" s="41" t="s">
        <v>7327</v>
      </c>
      <c r="M1482" s="41" t="e">
        <f>VLOOKUP(I1482,错误mRNA总表!D:I,6,FALSE)</f>
        <v>#N/A</v>
      </c>
    </row>
    <row r="1483" spans="1:13" x14ac:dyDescent="0.2">
      <c r="A1483" s="12" t="s">
        <v>4463</v>
      </c>
      <c r="B1483" s="12" t="s">
        <v>4089</v>
      </c>
      <c r="C1483" s="12">
        <v>44262</v>
      </c>
      <c r="D1483" s="12">
        <v>50700</v>
      </c>
      <c r="E1483" s="12" t="s">
        <v>3943</v>
      </c>
      <c r="F1483" s="12">
        <v>16</v>
      </c>
      <c r="H1483" s="12" t="s">
        <v>5909</v>
      </c>
      <c r="I1483" s="41" t="s">
        <v>7048</v>
      </c>
      <c r="M1483" s="41" t="e">
        <f>VLOOKUP(I1483,错误mRNA总表!D:I,6,FALSE)</f>
        <v>#N/A</v>
      </c>
    </row>
    <row r="1484" spans="1:13" x14ac:dyDescent="0.2">
      <c r="A1484" s="12" t="s">
        <v>4763</v>
      </c>
      <c r="B1484" s="12" t="s">
        <v>4049</v>
      </c>
      <c r="C1484" s="12">
        <v>63867</v>
      </c>
      <c r="D1484" s="12">
        <v>65071</v>
      </c>
      <c r="E1484" s="12" t="s">
        <v>3943</v>
      </c>
      <c r="F1484" s="12">
        <v>1</v>
      </c>
      <c r="H1484" s="12" t="s">
        <v>3514</v>
      </c>
      <c r="I1484" s="41" t="s">
        <v>7328</v>
      </c>
      <c r="M1484" s="41" t="e">
        <f>VLOOKUP(I1484,错误mRNA总表!D:I,6,FALSE)</f>
        <v>#N/A</v>
      </c>
    </row>
    <row r="1485" spans="1:13" x14ac:dyDescent="0.2">
      <c r="A1485" s="12" t="s">
        <v>4764</v>
      </c>
      <c r="B1485" s="12" t="s">
        <v>4018</v>
      </c>
      <c r="C1485" s="12">
        <v>17960918</v>
      </c>
      <c r="D1485" s="12">
        <v>17981988</v>
      </c>
      <c r="E1485" s="12" t="s">
        <v>3940</v>
      </c>
      <c r="F1485" s="12">
        <v>1</v>
      </c>
      <c r="G1485" s="41" t="s">
        <v>241</v>
      </c>
      <c r="H1485" s="12" t="s">
        <v>6016</v>
      </c>
      <c r="I1485" s="41" t="s">
        <v>7329</v>
      </c>
      <c r="M1485" s="41" t="e">
        <f>VLOOKUP(I1485,错误mRNA总表!D:I,6,FALSE)</f>
        <v>#N/A</v>
      </c>
    </row>
    <row r="1486" spans="1:13" x14ac:dyDescent="0.2">
      <c r="A1486" s="12" t="s">
        <v>4765</v>
      </c>
      <c r="B1486" s="12" t="s">
        <v>4182</v>
      </c>
      <c r="C1486" s="12">
        <v>7488</v>
      </c>
      <c r="D1486" s="12">
        <v>7606</v>
      </c>
      <c r="E1486" s="12" t="s">
        <v>3940</v>
      </c>
      <c r="F1486" s="12">
        <v>315</v>
      </c>
      <c r="H1486" s="12" t="s">
        <v>6017</v>
      </c>
      <c r="I1486" s="41" t="s">
        <v>7330</v>
      </c>
      <c r="M1486" s="41" t="e">
        <f>VLOOKUP(I1486,错误mRNA总表!D:I,6,FALSE)</f>
        <v>#N/A</v>
      </c>
    </row>
    <row r="1487" spans="1:13" x14ac:dyDescent="0.2">
      <c r="A1487" s="12" t="s">
        <v>4765</v>
      </c>
      <c r="B1487" s="12" t="s">
        <v>4182</v>
      </c>
      <c r="C1487" s="12">
        <v>7488</v>
      </c>
      <c r="D1487" s="12">
        <v>11613</v>
      </c>
      <c r="E1487" s="12" t="s">
        <v>3940</v>
      </c>
      <c r="F1487" s="12">
        <v>502</v>
      </c>
      <c r="H1487" s="12" t="s">
        <v>6017</v>
      </c>
      <c r="I1487" s="41" t="s">
        <v>7330</v>
      </c>
      <c r="M1487" s="41" t="e">
        <f>VLOOKUP(I1487,错误mRNA总表!D:I,6,FALSE)</f>
        <v>#N/A</v>
      </c>
    </row>
    <row r="1488" spans="1:13" x14ac:dyDescent="0.2">
      <c r="A1488" s="12" t="s">
        <v>4765</v>
      </c>
      <c r="B1488" s="12" t="s">
        <v>4182</v>
      </c>
      <c r="C1488" s="12">
        <v>7488</v>
      </c>
      <c r="D1488" s="12">
        <v>11603</v>
      </c>
      <c r="E1488" s="12" t="s">
        <v>3943</v>
      </c>
      <c r="F1488" s="12">
        <v>1</v>
      </c>
      <c r="H1488" s="12" t="s">
        <v>6017</v>
      </c>
      <c r="I1488" s="41" t="s">
        <v>7330</v>
      </c>
      <c r="M1488" s="41" t="e">
        <f>VLOOKUP(I1488,错误mRNA总表!D:I,6,FALSE)</f>
        <v>#N/A</v>
      </c>
    </row>
    <row r="1489" spans="1:13" x14ac:dyDescent="0.2">
      <c r="A1489" s="12" t="s">
        <v>4765</v>
      </c>
      <c r="B1489" s="12" t="s">
        <v>4182</v>
      </c>
      <c r="C1489" s="12">
        <v>7488</v>
      </c>
      <c r="D1489" s="12">
        <v>14720</v>
      </c>
      <c r="E1489" s="12" t="s">
        <v>3940</v>
      </c>
      <c r="F1489" s="12">
        <v>307</v>
      </c>
      <c r="H1489" s="12" t="s">
        <v>6017</v>
      </c>
      <c r="I1489" s="41" t="s">
        <v>7330</v>
      </c>
      <c r="M1489" s="41" t="e">
        <f>VLOOKUP(I1489,错误mRNA总表!D:I,6,FALSE)</f>
        <v>#N/A</v>
      </c>
    </row>
    <row r="1490" spans="1:13" x14ac:dyDescent="0.2">
      <c r="A1490" s="12" t="s">
        <v>4765</v>
      </c>
      <c r="B1490" s="12" t="s">
        <v>4182</v>
      </c>
      <c r="C1490" s="12">
        <v>7488</v>
      </c>
      <c r="D1490" s="12">
        <v>15843</v>
      </c>
      <c r="E1490" s="12" t="s">
        <v>3940</v>
      </c>
      <c r="F1490" s="12">
        <v>171</v>
      </c>
      <c r="H1490" s="12" t="s">
        <v>6017</v>
      </c>
      <c r="I1490" s="41" t="s">
        <v>7330</v>
      </c>
      <c r="M1490" s="41" t="e">
        <f>VLOOKUP(I1490,错误mRNA总表!D:I,6,FALSE)</f>
        <v>#N/A</v>
      </c>
    </row>
    <row r="1491" spans="1:13" x14ac:dyDescent="0.2">
      <c r="A1491" s="12" t="s">
        <v>4765</v>
      </c>
      <c r="B1491" s="12" t="s">
        <v>4182</v>
      </c>
      <c r="C1491" s="12">
        <v>7488</v>
      </c>
      <c r="D1491" s="12">
        <v>15821</v>
      </c>
      <c r="E1491" s="12" t="s">
        <v>3940</v>
      </c>
      <c r="F1491" s="12">
        <v>3</v>
      </c>
      <c r="H1491" s="12" t="s">
        <v>6017</v>
      </c>
      <c r="I1491" s="41" t="s">
        <v>7330</v>
      </c>
      <c r="M1491" s="41" t="e">
        <f>VLOOKUP(I1491,错误mRNA总表!D:I,6,FALSE)</f>
        <v>#N/A</v>
      </c>
    </row>
    <row r="1492" spans="1:13" x14ac:dyDescent="0.2">
      <c r="A1492" s="12" t="s">
        <v>4766</v>
      </c>
      <c r="B1492" s="12" t="s">
        <v>3966</v>
      </c>
      <c r="C1492" s="12">
        <v>27053446</v>
      </c>
      <c r="D1492" s="12">
        <v>27062700</v>
      </c>
      <c r="E1492" s="12" t="s">
        <v>3940</v>
      </c>
      <c r="F1492" s="12">
        <v>1</v>
      </c>
      <c r="G1492" s="41" t="s">
        <v>43</v>
      </c>
      <c r="H1492" s="12" t="s">
        <v>6416</v>
      </c>
      <c r="I1492" s="41" t="s">
        <v>7331</v>
      </c>
      <c r="M1492" s="41" t="e">
        <f>VLOOKUP(I1492,错误mRNA总表!D:I,6,FALSE)</f>
        <v>#N/A</v>
      </c>
    </row>
    <row r="1493" spans="1:13" x14ac:dyDescent="0.2">
      <c r="A1493" s="12" t="s">
        <v>4767</v>
      </c>
      <c r="B1493" s="12" t="s">
        <v>3946</v>
      </c>
      <c r="C1493" s="12">
        <v>73232694</v>
      </c>
      <c r="D1493" s="12">
        <v>73234010</v>
      </c>
      <c r="E1493" s="12" t="s">
        <v>3940</v>
      </c>
      <c r="F1493" s="12">
        <v>14</v>
      </c>
      <c r="G1493" s="41" t="s">
        <v>47</v>
      </c>
      <c r="H1493" s="12" t="s">
        <v>6018</v>
      </c>
      <c r="I1493" s="41" t="s">
        <v>7332</v>
      </c>
      <c r="M1493" s="41" t="e">
        <f>VLOOKUP(I1493,错误mRNA总表!D:I,6,FALSE)</f>
        <v>#N/A</v>
      </c>
    </row>
    <row r="1494" spans="1:13" x14ac:dyDescent="0.2">
      <c r="A1494" s="12" t="s">
        <v>4221</v>
      </c>
      <c r="B1494" s="12" t="s">
        <v>3964</v>
      </c>
      <c r="C1494" s="12">
        <v>927947</v>
      </c>
      <c r="D1494" s="12">
        <v>943295</v>
      </c>
      <c r="E1494" s="12" t="s">
        <v>3940</v>
      </c>
      <c r="F1494" s="12">
        <v>4</v>
      </c>
      <c r="H1494" s="12" t="s">
        <v>3527</v>
      </c>
      <c r="I1494" s="41" t="s">
        <v>7333</v>
      </c>
      <c r="M1494" s="41" t="e">
        <f>VLOOKUP(I1494,错误mRNA总表!D:I,6,FALSE)</f>
        <v>#N/A</v>
      </c>
    </row>
    <row r="1495" spans="1:13" x14ac:dyDescent="0.2">
      <c r="A1495" s="12" t="s">
        <v>4768</v>
      </c>
      <c r="B1495" s="12" t="s">
        <v>3962</v>
      </c>
      <c r="C1495" s="12">
        <v>62329995</v>
      </c>
      <c r="D1495" s="12">
        <v>62331335</v>
      </c>
      <c r="E1495" s="12" t="s">
        <v>3940</v>
      </c>
      <c r="F1495" s="12">
        <v>1</v>
      </c>
      <c r="G1495" s="41" t="s">
        <v>53</v>
      </c>
      <c r="H1495" s="12" t="s">
        <v>6417</v>
      </c>
      <c r="I1495" s="41" t="s">
        <v>7334</v>
      </c>
      <c r="M1495" s="41" t="e">
        <f>VLOOKUP(I1495,错误mRNA总表!D:I,6,FALSE)</f>
        <v>#N/A</v>
      </c>
    </row>
    <row r="1496" spans="1:13" x14ac:dyDescent="0.2">
      <c r="A1496" s="12" t="s">
        <v>4769</v>
      </c>
      <c r="B1496" s="12" t="s">
        <v>3942</v>
      </c>
      <c r="C1496" s="12">
        <v>175810940</v>
      </c>
      <c r="D1496" s="12">
        <v>175811094</v>
      </c>
      <c r="E1496" s="12" t="s">
        <v>3940</v>
      </c>
      <c r="F1496" s="12">
        <v>2</v>
      </c>
      <c r="G1496" s="41" t="s">
        <v>186</v>
      </c>
      <c r="H1496" s="12" t="s">
        <v>6019</v>
      </c>
      <c r="I1496" s="41" t="s">
        <v>7335</v>
      </c>
      <c r="M1496" s="41" t="e">
        <f>VLOOKUP(I1496,错误mRNA总表!D:I,6,FALSE)</f>
        <v>#N/A</v>
      </c>
    </row>
    <row r="1497" spans="1:13" x14ac:dyDescent="0.2">
      <c r="A1497" s="12" t="s">
        <v>4770</v>
      </c>
      <c r="B1497" s="12" t="s">
        <v>4042</v>
      </c>
      <c r="C1497" s="12">
        <v>67430359</v>
      </c>
      <c r="D1497" s="12">
        <v>67485936</v>
      </c>
      <c r="E1497" s="12" t="s">
        <v>3943</v>
      </c>
      <c r="F1497" s="12">
        <v>3</v>
      </c>
      <c r="G1497" s="41" t="s">
        <v>113</v>
      </c>
      <c r="H1497" s="12" t="s">
        <v>6020</v>
      </c>
      <c r="I1497" s="41" t="s">
        <v>7336</v>
      </c>
      <c r="M1497" s="41" t="e">
        <f>VLOOKUP(I1497,错误mRNA总表!D:I,6,FALSE)</f>
        <v>#N/A</v>
      </c>
    </row>
    <row r="1498" spans="1:13" x14ac:dyDescent="0.2">
      <c r="A1498" s="12" t="s">
        <v>4503</v>
      </c>
      <c r="B1498" s="12" t="s">
        <v>3989</v>
      </c>
      <c r="C1498" s="12">
        <v>2092532</v>
      </c>
      <c r="D1498" s="12">
        <v>2130549</v>
      </c>
      <c r="E1498" s="12" t="s">
        <v>3943</v>
      </c>
      <c r="F1498" s="12">
        <v>1</v>
      </c>
      <c r="H1498" s="12" t="s">
        <v>5920</v>
      </c>
      <c r="I1498" s="41" t="s">
        <v>7337</v>
      </c>
      <c r="M1498" s="41" t="e">
        <f>VLOOKUP(I1498,错误mRNA总表!D:I,6,FALSE)</f>
        <v>#N/A</v>
      </c>
    </row>
    <row r="1499" spans="1:13" x14ac:dyDescent="0.2">
      <c r="A1499" s="12" t="s">
        <v>4503</v>
      </c>
      <c r="B1499" s="12" t="s">
        <v>3989</v>
      </c>
      <c r="C1499" s="12">
        <v>2092532</v>
      </c>
      <c r="D1499" s="12">
        <v>2098861</v>
      </c>
      <c r="E1499" s="12" t="s">
        <v>3940</v>
      </c>
      <c r="F1499" s="12">
        <v>140</v>
      </c>
      <c r="H1499" s="12" t="s">
        <v>5920</v>
      </c>
      <c r="I1499" s="41" t="s">
        <v>7337</v>
      </c>
      <c r="M1499" s="41" t="e">
        <f>VLOOKUP(I1499,错误mRNA总表!D:I,6,FALSE)</f>
        <v>#N/A</v>
      </c>
    </row>
    <row r="1500" spans="1:13" x14ac:dyDescent="0.2">
      <c r="A1500" s="12" t="s">
        <v>4503</v>
      </c>
      <c r="B1500" s="12" t="s">
        <v>3989</v>
      </c>
      <c r="C1500" s="12">
        <v>2092532</v>
      </c>
      <c r="D1500" s="12">
        <v>2095391</v>
      </c>
      <c r="E1500" s="12" t="s">
        <v>3940</v>
      </c>
      <c r="F1500" s="12">
        <v>163</v>
      </c>
      <c r="H1500" s="12" t="s">
        <v>5920</v>
      </c>
      <c r="I1500" s="41" t="s">
        <v>7337</v>
      </c>
      <c r="M1500" s="41" t="e">
        <f>VLOOKUP(I1500,错误mRNA总表!D:I,6,FALSE)</f>
        <v>#N/A</v>
      </c>
    </row>
    <row r="1501" spans="1:13" x14ac:dyDescent="0.2">
      <c r="A1501" s="12" t="s">
        <v>4503</v>
      </c>
      <c r="B1501" s="12" t="s">
        <v>3989</v>
      </c>
      <c r="C1501" s="12">
        <v>2092532</v>
      </c>
      <c r="D1501" s="12">
        <v>2093727</v>
      </c>
      <c r="E1501" s="12" t="s">
        <v>3940</v>
      </c>
      <c r="F1501" s="12">
        <v>309</v>
      </c>
      <c r="H1501" s="12" t="s">
        <v>5920</v>
      </c>
      <c r="I1501" s="41" t="s">
        <v>7337</v>
      </c>
      <c r="M1501" s="41" t="e">
        <f>VLOOKUP(I1501,错误mRNA总表!D:I,6,FALSE)</f>
        <v>#N/A</v>
      </c>
    </row>
    <row r="1502" spans="1:13" x14ac:dyDescent="0.2">
      <c r="A1502" s="12" t="s">
        <v>4503</v>
      </c>
      <c r="B1502" s="12" t="s">
        <v>3989</v>
      </c>
      <c r="C1502" s="12">
        <v>2092532</v>
      </c>
      <c r="D1502" s="12">
        <v>2093449</v>
      </c>
      <c r="E1502" s="12" t="s">
        <v>3940</v>
      </c>
      <c r="F1502" s="12">
        <v>9</v>
      </c>
      <c r="H1502" s="12" t="s">
        <v>5920</v>
      </c>
      <c r="I1502" s="41" t="s">
        <v>7337</v>
      </c>
      <c r="M1502" s="41" t="e">
        <f>VLOOKUP(I1502,错误mRNA总表!D:I,6,FALSE)</f>
        <v>#N/A</v>
      </c>
    </row>
    <row r="1503" spans="1:13" x14ac:dyDescent="0.2">
      <c r="A1503" s="12" t="s">
        <v>4503</v>
      </c>
      <c r="B1503" s="12" t="s">
        <v>3989</v>
      </c>
      <c r="C1503" s="12">
        <v>2092532</v>
      </c>
      <c r="D1503" s="12">
        <v>2093719</v>
      </c>
      <c r="E1503" s="12" t="s">
        <v>3940</v>
      </c>
      <c r="F1503" s="12">
        <v>2</v>
      </c>
      <c r="H1503" s="12" t="s">
        <v>5920</v>
      </c>
      <c r="I1503" s="41" t="s">
        <v>7337</v>
      </c>
      <c r="M1503" s="41" t="e">
        <f>VLOOKUP(I1503,错误mRNA总表!D:I,6,FALSE)</f>
        <v>#N/A</v>
      </c>
    </row>
    <row r="1504" spans="1:13" x14ac:dyDescent="0.2">
      <c r="A1504" s="12" t="s">
        <v>4503</v>
      </c>
      <c r="B1504" s="12" t="s">
        <v>3989</v>
      </c>
      <c r="C1504" s="12">
        <v>2092532</v>
      </c>
      <c r="D1504" s="12">
        <v>2093323</v>
      </c>
      <c r="E1504" s="12" t="s">
        <v>3940</v>
      </c>
      <c r="F1504" s="12">
        <v>1</v>
      </c>
      <c r="H1504" s="12" t="s">
        <v>5920</v>
      </c>
      <c r="I1504" s="41" t="s">
        <v>7337</v>
      </c>
      <c r="M1504" s="41" t="e">
        <f>VLOOKUP(I1504,错误mRNA总表!D:I,6,FALSE)</f>
        <v>#N/A</v>
      </c>
    </row>
    <row r="1505" spans="1:13" x14ac:dyDescent="0.2">
      <c r="A1505" s="12" t="s">
        <v>4503</v>
      </c>
      <c r="B1505" s="12" t="s">
        <v>3989</v>
      </c>
      <c r="C1505" s="12">
        <v>2092532</v>
      </c>
      <c r="D1505" s="12">
        <v>2093370</v>
      </c>
      <c r="E1505" s="12" t="s">
        <v>3940</v>
      </c>
      <c r="F1505" s="12">
        <v>2</v>
      </c>
      <c r="H1505" s="12" t="s">
        <v>5920</v>
      </c>
      <c r="I1505" s="41" t="s">
        <v>7337</v>
      </c>
      <c r="M1505" s="41" t="e">
        <f>VLOOKUP(I1505,错误mRNA总表!D:I,6,FALSE)</f>
        <v>#N/A</v>
      </c>
    </row>
    <row r="1506" spans="1:13" x14ac:dyDescent="0.2">
      <c r="A1506" s="12" t="s">
        <v>4503</v>
      </c>
      <c r="B1506" s="12" t="s">
        <v>3989</v>
      </c>
      <c r="C1506" s="12">
        <v>2092532</v>
      </c>
      <c r="D1506" s="12">
        <v>2093417</v>
      </c>
      <c r="E1506" s="12" t="s">
        <v>3940</v>
      </c>
      <c r="F1506" s="12">
        <v>1</v>
      </c>
      <c r="H1506" s="12" t="s">
        <v>5920</v>
      </c>
      <c r="I1506" s="41" t="s">
        <v>7337</v>
      </c>
      <c r="M1506" s="41" t="e">
        <f>VLOOKUP(I1506,错误mRNA总表!D:I,6,FALSE)</f>
        <v>#N/A</v>
      </c>
    </row>
    <row r="1507" spans="1:13" x14ac:dyDescent="0.2">
      <c r="A1507" s="12" t="s">
        <v>4503</v>
      </c>
      <c r="B1507" s="12" t="s">
        <v>3989</v>
      </c>
      <c r="C1507" s="12">
        <v>2092532</v>
      </c>
      <c r="D1507" s="12">
        <v>2093432</v>
      </c>
      <c r="E1507" s="12" t="s">
        <v>3940</v>
      </c>
      <c r="F1507" s="12">
        <v>3</v>
      </c>
      <c r="H1507" s="12" t="s">
        <v>5920</v>
      </c>
      <c r="I1507" s="41" t="s">
        <v>7337</v>
      </c>
      <c r="M1507" s="41" t="e">
        <f>VLOOKUP(I1507,错误mRNA总表!D:I,6,FALSE)</f>
        <v>#N/A</v>
      </c>
    </row>
    <row r="1508" spans="1:13" x14ac:dyDescent="0.2">
      <c r="A1508" s="12" t="s">
        <v>4503</v>
      </c>
      <c r="B1508" s="12" t="s">
        <v>3989</v>
      </c>
      <c r="C1508" s="12">
        <v>2092532</v>
      </c>
      <c r="D1508" s="12">
        <v>2093434</v>
      </c>
      <c r="E1508" s="12" t="s">
        <v>3943</v>
      </c>
      <c r="F1508" s="12">
        <v>6</v>
      </c>
      <c r="H1508" s="12" t="s">
        <v>5920</v>
      </c>
      <c r="I1508" s="41" t="s">
        <v>7337</v>
      </c>
      <c r="M1508" s="41" t="e">
        <f>VLOOKUP(I1508,错误mRNA总表!D:I,6,FALSE)</f>
        <v>#N/A</v>
      </c>
    </row>
    <row r="1509" spans="1:13" x14ac:dyDescent="0.2">
      <c r="A1509" s="12" t="s">
        <v>4771</v>
      </c>
      <c r="B1509" s="12" t="s">
        <v>3948</v>
      </c>
      <c r="C1509" s="12">
        <v>100547052</v>
      </c>
      <c r="D1509" s="12">
        <v>100550653</v>
      </c>
      <c r="E1509" s="12" t="s">
        <v>3940</v>
      </c>
      <c r="F1509" s="12">
        <v>5520</v>
      </c>
      <c r="G1509" s="41" t="s">
        <v>40</v>
      </c>
      <c r="H1509" s="12" t="s">
        <v>6021</v>
      </c>
      <c r="I1509" s="41" t="s">
        <v>7338</v>
      </c>
      <c r="M1509" s="41" t="e">
        <f>VLOOKUP(I1509,错误mRNA总表!D:I,6,FALSE)</f>
        <v>#N/A</v>
      </c>
    </row>
    <row r="1510" spans="1:13" x14ac:dyDescent="0.2">
      <c r="A1510" s="12" t="s">
        <v>4771</v>
      </c>
      <c r="B1510" s="12" t="s">
        <v>3948</v>
      </c>
      <c r="C1510" s="12">
        <v>100547052</v>
      </c>
      <c r="D1510" s="12">
        <v>100550743</v>
      </c>
      <c r="E1510" s="12" t="s">
        <v>3943</v>
      </c>
      <c r="F1510" s="12">
        <v>3</v>
      </c>
      <c r="G1510" s="41" t="s">
        <v>40</v>
      </c>
      <c r="H1510" s="12" t="s">
        <v>6021</v>
      </c>
      <c r="I1510" s="41" t="s">
        <v>7338</v>
      </c>
      <c r="M1510" s="41" t="e">
        <f>VLOOKUP(I1510,错误mRNA总表!D:I,6,FALSE)</f>
        <v>#N/A</v>
      </c>
    </row>
    <row r="1511" spans="1:13" x14ac:dyDescent="0.2">
      <c r="A1511" s="12" t="s">
        <v>4771</v>
      </c>
      <c r="B1511" s="12" t="s">
        <v>3948</v>
      </c>
      <c r="C1511" s="12">
        <v>100547052</v>
      </c>
      <c r="D1511" s="12">
        <v>100550749</v>
      </c>
      <c r="E1511" s="12" t="s">
        <v>3940</v>
      </c>
      <c r="F1511" s="12">
        <v>3</v>
      </c>
      <c r="G1511" s="41" t="s">
        <v>40</v>
      </c>
      <c r="H1511" s="12" t="s">
        <v>6021</v>
      </c>
      <c r="I1511" s="41" t="s">
        <v>7338</v>
      </c>
      <c r="M1511" s="41" t="e">
        <f>VLOOKUP(I1511,错误mRNA总表!D:I,6,FALSE)</f>
        <v>#N/A</v>
      </c>
    </row>
    <row r="1512" spans="1:13" x14ac:dyDescent="0.2">
      <c r="A1512" s="12" t="s">
        <v>4771</v>
      </c>
      <c r="B1512" s="12" t="s">
        <v>3948</v>
      </c>
      <c r="C1512" s="12">
        <v>100547052</v>
      </c>
      <c r="D1512" s="12">
        <v>100611004</v>
      </c>
      <c r="E1512" s="12" t="s">
        <v>3943</v>
      </c>
      <c r="F1512" s="12">
        <v>1</v>
      </c>
      <c r="G1512" s="41" t="s">
        <v>40</v>
      </c>
      <c r="H1512" s="12" t="s">
        <v>6021</v>
      </c>
      <c r="I1512" s="41" t="s">
        <v>7338</v>
      </c>
      <c r="M1512" s="41" t="e">
        <f>VLOOKUP(I1512,错误mRNA总表!D:I,6,FALSE)</f>
        <v>#N/A</v>
      </c>
    </row>
    <row r="1513" spans="1:13" x14ac:dyDescent="0.2">
      <c r="A1513" s="12" t="s">
        <v>4771</v>
      </c>
      <c r="B1513" s="12" t="s">
        <v>3948</v>
      </c>
      <c r="C1513" s="12">
        <v>100547052</v>
      </c>
      <c r="D1513" s="12">
        <v>100611075</v>
      </c>
      <c r="E1513" s="12" t="s">
        <v>3943</v>
      </c>
      <c r="F1513" s="12">
        <v>1</v>
      </c>
      <c r="G1513" s="41" t="s">
        <v>40</v>
      </c>
      <c r="H1513" s="12" t="s">
        <v>6021</v>
      </c>
      <c r="I1513" s="41" t="s">
        <v>7338</v>
      </c>
      <c r="M1513" s="41" t="e">
        <f>VLOOKUP(I1513,错误mRNA总表!D:I,6,FALSE)</f>
        <v>#N/A</v>
      </c>
    </row>
    <row r="1514" spans="1:13" x14ac:dyDescent="0.2">
      <c r="A1514" s="12" t="s">
        <v>4771</v>
      </c>
      <c r="B1514" s="12" t="s">
        <v>3948</v>
      </c>
      <c r="C1514" s="12">
        <v>100547052</v>
      </c>
      <c r="D1514" s="12">
        <v>100611169</v>
      </c>
      <c r="E1514" s="12" t="s">
        <v>3943</v>
      </c>
      <c r="F1514" s="12">
        <v>4</v>
      </c>
      <c r="G1514" s="41" t="s">
        <v>40</v>
      </c>
      <c r="H1514" s="12" t="s">
        <v>6021</v>
      </c>
      <c r="I1514" s="41" t="s">
        <v>7338</v>
      </c>
      <c r="M1514" s="41" t="e">
        <f>VLOOKUP(I1514,错误mRNA总表!D:I,6,FALSE)</f>
        <v>#N/A</v>
      </c>
    </row>
    <row r="1515" spans="1:13" x14ac:dyDescent="0.2">
      <c r="A1515" s="12" t="s">
        <v>4771</v>
      </c>
      <c r="B1515" s="12" t="s">
        <v>3948</v>
      </c>
      <c r="C1515" s="12">
        <v>100547052</v>
      </c>
      <c r="D1515" s="12">
        <v>100611307</v>
      </c>
      <c r="E1515" s="12" t="s">
        <v>3943</v>
      </c>
      <c r="F1515" s="12">
        <v>4</v>
      </c>
      <c r="G1515" s="41" t="s">
        <v>40</v>
      </c>
      <c r="H1515" s="12" t="s">
        <v>6021</v>
      </c>
      <c r="I1515" s="41" t="s">
        <v>7338</v>
      </c>
      <c r="M1515" s="41" t="e">
        <f>VLOOKUP(I1515,错误mRNA总表!D:I,6,FALSE)</f>
        <v>#N/A</v>
      </c>
    </row>
    <row r="1516" spans="1:13" x14ac:dyDescent="0.2">
      <c r="A1516" s="12" t="s">
        <v>4771</v>
      </c>
      <c r="B1516" s="12" t="s">
        <v>3948</v>
      </c>
      <c r="C1516" s="12">
        <v>100547052</v>
      </c>
      <c r="D1516" s="12">
        <v>100611428</v>
      </c>
      <c r="E1516" s="12" t="s">
        <v>3940</v>
      </c>
      <c r="F1516" s="12">
        <v>12</v>
      </c>
      <c r="G1516" s="41" t="s">
        <v>40</v>
      </c>
      <c r="H1516" s="12" t="s">
        <v>6021</v>
      </c>
      <c r="I1516" s="41" t="s">
        <v>7338</v>
      </c>
      <c r="M1516" s="41" t="e">
        <f>VLOOKUP(I1516,错误mRNA总表!D:I,6,FALSE)</f>
        <v>#N/A</v>
      </c>
    </row>
    <row r="1517" spans="1:13" x14ac:dyDescent="0.2">
      <c r="A1517" s="12" t="s">
        <v>4771</v>
      </c>
      <c r="B1517" s="12" t="s">
        <v>3948</v>
      </c>
      <c r="C1517" s="12">
        <v>100547052</v>
      </c>
      <c r="D1517" s="12">
        <v>100611517</v>
      </c>
      <c r="E1517" s="12" t="s">
        <v>3940</v>
      </c>
      <c r="F1517" s="12">
        <v>1</v>
      </c>
      <c r="G1517" s="41" t="s">
        <v>40</v>
      </c>
      <c r="H1517" s="12" t="s">
        <v>6021</v>
      </c>
      <c r="I1517" s="41" t="s">
        <v>7338</v>
      </c>
      <c r="M1517" s="41" t="e">
        <f>VLOOKUP(I1517,错误mRNA总表!D:I,6,FALSE)</f>
        <v>#N/A</v>
      </c>
    </row>
    <row r="1518" spans="1:13" x14ac:dyDescent="0.2">
      <c r="A1518" s="12" t="s">
        <v>4532</v>
      </c>
      <c r="B1518" s="12" t="s">
        <v>3964</v>
      </c>
      <c r="C1518" s="12">
        <v>4760078</v>
      </c>
      <c r="D1518" s="12">
        <v>4760131</v>
      </c>
      <c r="E1518" s="12" t="s">
        <v>3940</v>
      </c>
      <c r="F1518" s="12">
        <v>1</v>
      </c>
      <c r="H1518" s="12" t="s">
        <v>3593</v>
      </c>
      <c r="I1518" s="41" t="s">
        <v>7339</v>
      </c>
      <c r="M1518" s="41" t="e">
        <f>VLOOKUP(I1518,错误mRNA总表!D:I,6,FALSE)</f>
        <v>#N/A</v>
      </c>
    </row>
    <row r="1519" spans="1:13" x14ac:dyDescent="0.2">
      <c r="A1519" s="12" t="s">
        <v>4772</v>
      </c>
      <c r="B1519" s="12" t="s">
        <v>4773</v>
      </c>
      <c r="C1519" s="12">
        <v>313364</v>
      </c>
      <c r="D1519" s="12">
        <v>313844</v>
      </c>
      <c r="E1519" s="12" t="s">
        <v>3943</v>
      </c>
      <c r="F1519" s="12">
        <v>1</v>
      </c>
      <c r="H1519" s="12" t="s">
        <v>6537</v>
      </c>
      <c r="I1519" s="41" t="s">
        <v>7340</v>
      </c>
      <c r="M1519" s="41" t="e">
        <f>VLOOKUP(I1519,错误mRNA总表!D:I,6,FALSE)</f>
        <v>#N/A</v>
      </c>
    </row>
    <row r="1520" spans="1:13" x14ac:dyDescent="0.2">
      <c r="A1520" s="12" t="s">
        <v>4774</v>
      </c>
      <c r="B1520" s="12" t="s">
        <v>3939</v>
      </c>
      <c r="C1520" s="12">
        <v>104463611</v>
      </c>
      <c r="D1520" s="12">
        <v>104464276</v>
      </c>
      <c r="E1520" s="12" t="s">
        <v>3943</v>
      </c>
      <c r="F1520" s="12">
        <v>1</v>
      </c>
      <c r="G1520" s="41" t="s">
        <v>73</v>
      </c>
      <c r="H1520" s="12" t="s">
        <v>6022</v>
      </c>
      <c r="I1520" s="41" t="s">
        <v>7341</v>
      </c>
      <c r="M1520" s="41" t="e">
        <f>VLOOKUP(I1520,错误mRNA总表!D:I,6,FALSE)</f>
        <v>#N/A</v>
      </c>
    </row>
    <row r="1521" spans="1:13" x14ac:dyDescent="0.2">
      <c r="A1521" s="12" t="s">
        <v>4774</v>
      </c>
      <c r="B1521" s="12" t="s">
        <v>3939</v>
      </c>
      <c r="C1521" s="12">
        <v>104463611</v>
      </c>
      <c r="D1521" s="12">
        <v>104464281</v>
      </c>
      <c r="E1521" s="12" t="s">
        <v>3943</v>
      </c>
      <c r="F1521" s="12">
        <v>1</v>
      </c>
      <c r="G1521" s="41" t="s">
        <v>73</v>
      </c>
      <c r="H1521" s="12" t="s">
        <v>6022</v>
      </c>
      <c r="I1521" s="41" t="s">
        <v>7341</v>
      </c>
      <c r="M1521" s="41" t="e">
        <f>VLOOKUP(I1521,错误mRNA总表!D:I,6,FALSE)</f>
        <v>#N/A</v>
      </c>
    </row>
    <row r="1522" spans="1:13" x14ac:dyDescent="0.2">
      <c r="A1522" s="12" t="s">
        <v>4775</v>
      </c>
      <c r="B1522" s="12" t="s">
        <v>4098</v>
      </c>
      <c r="C1522" s="12">
        <v>288602</v>
      </c>
      <c r="D1522" s="12">
        <v>288774</v>
      </c>
      <c r="E1522" s="12" t="s">
        <v>3940</v>
      </c>
      <c r="F1522" s="12">
        <v>2</v>
      </c>
      <c r="H1522" s="12" t="s">
        <v>3658</v>
      </c>
      <c r="I1522" s="41" t="s">
        <v>7342</v>
      </c>
      <c r="M1522" s="41" t="e">
        <f>VLOOKUP(I1522,错误mRNA总表!D:I,6,FALSE)</f>
        <v>#N/A</v>
      </c>
    </row>
    <row r="1523" spans="1:13" x14ac:dyDescent="0.2">
      <c r="A1523" s="12" t="s">
        <v>4776</v>
      </c>
      <c r="B1523" s="12" t="s">
        <v>4055</v>
      </c>
      <c r="C1523" s="12">
        <v>6937538</v>
      </c>
      <c r="D1523" s="12">
        <v>6938024</v>
      </c>
      <c r="E1523" s="12" t="s">
        <v>3940</v>
      </c>
      <c r="F1523" s="12">
        <v>1</v>
      </c>
      <c r="G1523" s="41" t="s">
        <v>212</v>
      </c>
      <c r="H1523" s="12" t="s">
        <v>218</v>
      </c>
      <c r="I1523" s="41" t="s">
        <v>7343</v>
      </c>
      <c r="J1523" s="41" t="s">
        <v>2173</v>
      </c>
      <c r="K1523" s="41" t="str">
        <f>VLOOKUP(J1523,错误mRNA总表!D:J,7,FALSE)</f>
        <v>纠后正确</v>
      </c>
      <c r="M1523" s="41" t="e">
        <f>VLOOKUP(I1523,错误mRNA总表!D:I,6,FALSE)</f>
        <v>#N/A</v>
      </c>
    </row>
    <row r="1524" spans="1:13" x14ac:dyDescent="0.2">
      <c r="A1524" s="12" t="s">
        <v>4777</v>
      </c>
      <c r="B1524" s="12" t="s">
        <v>3966</v>
      </c>
      <c r="C1524" s="12">
        <v>27053446</v>
      </c>
      <c r="D1524" s="12">
        <v>27062700</v>
      </c>
      <c r="E1524" s="12" t="s">
        <v>3940</v>
      </c>
      <c r="F1524" s="12">
        <v>1</v>
      </c>
      <c r="G1524" s="41" t="s">
        <v>43</v>
      </c>
      <c r="H1524" s="12" t="s">
        <v>6520</v>
      </c>
      <c r="I1524" s="41" t="s">
        <v>7344</v>
      </c>
      <c r="M1524" s="41" t="e">
        <f>VLOOKUP(I1524,错误mRNA总表!D:I,6,FALSE)</f>
        <v>#N/A</v>
      </c>
    </row>
    <row r="1525" spans="1:13" x14ac:dyDescent="0.2">
      <c r="A1525" s="12" t="s">
        <v>4778</v>
      </c>
      <c r="B1525" s="12" t="s">
        <v>4124</v>
      </c>
      <c r="C1525" s="12">
        <v>103489798</v>
      </c>
      <c r="D1525" s="12">
        <v>103512153</v>
      </c>
      <c r="E1525" s="12" t="s">
        <v>3940</v>
      </c>
      <c r="F1525" s="12">
        <v>1</v>
      </c>
      <c r="G1525" s="41" t="s">
        <v>1</v>
      </c>
      <c r="H1525" s="12" t="s">
        <v>6023</v>
      </c>
      <c r="I1525" s="41" t="s">
        <v>7345</v>
      </c>
      <c r="M1525" s="41" t="e">
        <f>VLOOKUP(I1525,错误mRNA总表!D:I,6,FALSE)</f>
        <v>#N/A</v>
      </c>
    </row>
    <row r="1526" spans="1:13" x14ac:dyDescent="0.2">
      <c r="A1526" s="12" t="s">
        <v>4326</v>
      </c>
      <c r="B1526" s="12" t="s">
        <v>3996</v>
      </c>
      <c r="C1526" s="12">
        <v>2420690</v>
      </c>
      <c r="D1526" s="12">
        <v>2433331</v>
      </c>
      <c r="E1526" s="12" t="s">
        <v>3940</v>
      </c>
      <c r="F1526" s="12">
        <v>1</v>
      </c>
      <c r="H1526" s="12" t="s">
        <v>3550</v>
      </c>
      <c r="I1526" s="41" t="s">
        <v>7346</v>
      </c>
      <c r="M1526" s="41" t="e">
        <f>VLOOKUP(I1526,错误mRNA总表!D:I,6,FALSE)</f>
        <v>#N/A</v>
      </c>
    </row>
    <row r="1527" spans="1:13" x14ac:dyDescent="0.2">
      <c r="A1527" s="12" t="s">
        <v>4779</v>
      </c>
      <c r="B1527" s="12" t="s">
        <v>3984</v>
      </c>
      <c r="C1527" s="12">
        <v>1322018</v>
      </c>
      <c r="D1527" s="12">
        <v>1322175</v>
      </c>
      <c r="E1527" s="12" t="s">
        <v>3943</v>
      </c>
      <c r="F1527" s="12">
        <v>1</v>
      </c>
      <c r="H1527" s="12" t="s">
        <v>3532</v>
      </c>
      <c r="I1527" s="41" t="s">
        <v>7347</v>
      </c>
      <c r="M1527" s="41" t="e">
        <f>VLOOKUP(I1527,错误mRNA总表!D:I,6,FALSE)</f>
        <v>#N/A</v>
      </c>
    </row>
    <row r="1528" spans="1:13" x14ac:dyDescent="0.2">
      <c r="A1528" s="12" t="s">
        <v>4780</v>
      </c>
      <c r="B1528" s="12" t="s">
        <v>3969</v>
      </c>
      <c r="C1528" s="12">
        <v>4226965</v>
      </c>
      <c r="D1528" s="12">
        <v>4227045</v>
      </c>
      <c r="E1528" s="12" t="s">
        <v>3940</v>
      </c>
      <c r="F1528" s="12">
        <v>3</v>
      </c>
      <c r="H1528" s="12" t="s">
        <v>6024</v>
      </c>
      <c r="I1528" s="41" t="s">
        <v>7348</v>
      </c>
      <c r="M1528" s="41" t="e">
        <f>VLOOKUP(I1528,错误mRNA总表!D:I,6,FALSE)</f>
        <v>#N/A</v>
      </c>
    </row>
    <row r="1529" spans="1:13" x14ac:dyDescent="0.2">
      <c r="A1529" s="12" t="s">
        <v>4780</v>
      </c>
      <c r="B1529" s="12" t="s">
        <v>3969</v>
      </c>
      <c r="C1529" s="12">
        <v>4226965</v>
      </c>
      <c r="D1529" s="12">
        <v>4229948</v>
      </c>
      <c r="E1529" s="12" t="s">
        <v>3943</v>
      </c>
      <c r="F1529" s="12">
        <v>1</v>
      </c>
      <c r="H1529" s="12" t="s">
        <v>6024</v>
      </c>
      <c r="I1529" s="41" t="s">
        <v>7348</v>
      </c>
      <c r="M1529" s="41" t="e">
        <f>VLOOKUP(I1529,错误mRNA总表!D:I,6,FALSE)</f>
        <v>#N/A</v>
      </c>
    </row>
    <row r="1530" spans="1:13" x14ac:dyDescent="0.2">
      <c r="A1530" s="12" t="s">
        <v>4781</v>
      </c>
      <c r="B1530" s="12" t="s">
        <v>3962</v>
      </c>
      <c r="C1530" s="12">
        <v>34146507</v>
      </c>
      <c r="D1530" s="12">
        <v>34152587</v>
      </c>
      <c r="E1530" s="12" t="s">
        <v>3940</v>
      </c>
      <c r="F1530" s="12">
        <v>1</v>
      </c>
      <c r="G1530" s="41" t="s">
        <v>53</v>
      </c>
      <c r="H1530" s="12" t="s">
        <v>6025</v>
      </c>
      <c r="I1530" s="41" t="s">
        <v>7349</v>
      </c>
      <c r="M1530" s="41" t="e">
        <f>VLOOKUP(I1530,错误mRNA总表!D:I,6,FALSE)</f>
        <v>#N/A</v>
      </c>
    </row>
    <row r="1531" spans="1:13" x14ac:dyDescent="0.2">
      <c r="A1531" s="12" t="s">
        <v>4781</v>
      </c>
      <c r="B1531" s="12" t="s">
        <v>3962</v>
      </c>
      <c r="C1531" s="12">
        <v>34146507</v>
      </c>
      <c r="D1531" s="12">
        <v>34147281</v>
      </c>
      <c r="E1531" s="12" t="s">
        <v>3940</v>
      </c>
      <c r="F1531" s="12">
        <v>3</v>
      </c>
      <c r="G1531" s="41" t="s">
        <v>53</v>
      </c>
      <c r="H1531" s="12" t="s">
        <v>6025</v>
      </c>
      <c r="I1531" s="41" t="s">
        <v>7349</v>
      </c>
      <c r="M1531" s="41" t="e">
        <f>VLOOKUP(I1531,错误mRNA总表!D:I,6,FALSE)</f>
        <v>#N/A</v>
      </c>
    </row>
    <row r="1532" spans="1:13" x14ac:dyDescent="0.2">
      <c r="A1532" s="12" t="s">
        <v>4782</v>
      </c>
      <c r="B1532" s="12" t="s">
        <v>4783</v>
      </c>
      <c r="C1532" s="12">
        <v>45390</v>
      </c>
      <c r="D1532" s="12">
        <v>63017</v>
      </c>
      <c r="E1532" s="12" t="s">
        <v>3940</v>
      </c>
      <c r="F1532" s="12">
        <v>1</v>
      </c>
      <c r="H1532" s="12" t="s">
        <v>3645</v>
      </c>
      <c r="I1532" s="41" t="s">
        <v>7350</v>
      </c>
      <c r="M1532" s="41" t="e">
        <f>VLOOKUP(I1532,错误mRNA总表!D:I,6,FALSE)</f>
        <v>#N/A</v>
      </c>
    </row>
    <row r="1533" spans="1:13" x14ac:dyDescent="0.2">
      <c r="A1533" s="12" t="s">
        <v>4782</v>
      </c>
      <c r="B1533" s="12" t="s">
        <v>4783</v>
      </c>
      <c r="C1533" s="12">
        <v>45390</v>
      </c>
      <c r="D1533" s="12">
        <v>63149</v>
      </c>
      <c r="E1533" s="12" t="s">
        <v>3940</v>
      </c>
      <c r="F1533" s="12">
        <v>2</v>
      </c>
      <c r="H1533" s="12" t="s">
        <v>3645</v>
      </c>
      <c r="I1533" s="41" t="s">
        <v>7350</v>
      </c>
      <c r="M1533" s="41" t="e">
        <f>VLOOKUP(I1533,错误mRNA总表!D:I,6,FALSE)</f>
        <v>#N/A</v>
      </c>
    </row>
    <row r="1534" spans="1:13" x14ac:dyDescent="0.2">
      <c r="A1534" s="12" t="s">
        <v>4784</v>
      </c>
      <c r="B1534" s="12" t="s">
        <v>3957</v>
      </c>
      <c r="C1534" s="12">
        <v>67777775</v>
      </c>
      <c r="D1534" s="12">
        <v>67786065</v>
      </c>
      <c r="E1534" s="12" t="s">
        <v>3940</v>
      </c>
      <c r="F1534" s="12">
        <v>1</v>
      </c>
      <c r="G1534" s="41" t="s">
        <v>36</v>
      </c>
      <c r="H1534" s="12" t="s">
        <v>6026</v>
      </c>
      <c r="I1534" s="41" t="s">
        <v>7351</v>
      </c>
      <c r="M1534" s="41" t="e">
        <f>VLOOKUP(I1534,错误mRNA总表!D:I,6,FALSE)</f>
        <v>#N/A</v>
      </c>
    </row>
    <row r="1535" spans="1:13" x14ac:dyDescent="0.2">
      <c r="A1535" s="12" t="s">
        <v>4784</v>
      </c>
      <c r="B1535" s="12" t="s">
        <v>3957</v>
      </c>
      <c r="C1535" s="12">
        <v>67777775</v>
      </c>
      <c r="D1535" s="12">
        <v>67789294</v>
      </c>
      <c r="E1535" s="12" t="s">
        <v>3940</v>
      </c>
      <c r="F1535" s="12">
        <v>1</v>
      </c>
      <c r="G1535" s="41" t="s">
        <v>36</v>
      </c>
      <c r="H1535" s="12" t="s">
        <v>6026</v>
      </c>
      <c r="I1535" s="41" t="s">
        <v>7351</v>
      </c>
      <c r="M1535" s="41" t="e">
        <f>VLOOKUP(I1535,错误mRNA总表!D:I,6,FALSE)</f>
        <v>#N/A</v>
      </c>
    </row>
    <row r="1536" spans="1:13" x14ac:dyDescent="0.2">
      <c r="A1536" s="12" t="s">
        <v>4784</v>
      </c>
      <c r="B1536" s="12" t="s">
        <v>3957</v>
      </c>
      <c r="C1536" s="12">
        <v>67777775</v>
      </c>
      <c r="D1536" s="12">
        <v>67795380</v>
      </c>
      <c r="E1536" s="12" t="s">
        <v>3940</v>
      </c>
      <c r="F1536" s="12">
        <v>1</v>
      </c>
      <c r="G1536" s="41" t="s">
        <v>36</v>
      </c>
      <c r="H1536" s="12" t="s">
        <v>6026</v>
      </c>
      <c r="I1536" s="41" t="s">
        <v>7351</v>
      </c>
      <c r="M1536" s="41" t="e">
        <f>VLOOKUP(I1536,错误mRNA总表!D:I,6,FALSE)</f>
        <v>#N/A</v>
      </c>
    </row>
    <row r="1537" spans="1:13" x14ac:dyDescent="0.2">
      <c r="A1537" s="12" t="s">
        <v>4194</v>
      </c>
      <c r="B1537" s="12" t="s">
        <v>3996</v>
      </c>
      <c r="C1537" s="12">
        <v>1143559</v>
      </c>
      <c r="D1537" s="12">
        <v>1158907</v>
      </c>
      <c r="E1537" s="12" t="s">
        <v>3943</v>
      </c>
      <c r="F1537" s="12">
        <v>8</v>
      </c>
      <c r="H1537" s="12" t="s">
        <v>3526</v>
      </c>
      <c r="I1537" s="41" t="s">
        <v>7352</v>
      </c>
      <c r="M1537" s="41" t="e">
        <f>VLOOKUP(I1537,错误mRNA总表!D:I,6,FALSE)</f>
        <v>#N/A</v>
      </c>
    </row>
    <row r="1538" spans="1:13" x14ac:dyDescent="0.2">
      <c r="A1538" s="12" t="s">
        <v>4785</v>
      </c>
      <c r="B1538" s="12" t="s">
        <v>3973</v>
      </c>
      <c r="C1538" s="12">
        <v>145507557</v>
      </c>
      <c r="D1538" s="12">
        <v>145511796</v>
      </c>
      <c r="E1538" s="12" t="s">
        <v>3940</v>
      </c>
      <c r="F1538" s="12">
        <v>1</v>
      </c>
      <c r="G1538" s="41" t="s">
        <v>139</v>
      </c>
      <c r="H1538" s="12" t="s">
        <v>3491</v>
      </c>
      <c r="I1538" s="41" t="s">
        <v>7353</v>
      </c>
      <c r="M1538" s="41" t="e">
        <f>VLOOKUP(I1538,错误mRNA总表!D:I,6,FALSE)</f>
        <v>#N/A</v>
      </c>
    </row>
    <row r="1539" spans="1:13" x14ac:dyDescent="0.2">
      <c r="A1539" s="12" t="s">
        <v>4786</v>
      </c>
      <c r="B1539" s="12" t="s">
        <v>3946</v>
      </c>
      <c r="C1539" s="12">
        <v>40962150</v>
      </c>
      <c r="D1539" s="12">
        <v>40976311</v>
      </c>
      <c r="E1539" s="12" t="s">
        <v>3940</v>
      </c>
      <c r="F1539" s="12">
        <v>1</v>
      </c>
      <c r="G1539" s="41" t="s">
        <v>47</v>
      </c>
      <c r="H1539" s="12" t="s">
        <v>6577</v>
      </c>
      <c r="I1539" s="41" t="s">
        <v>7354</v>
      </c>
      <c r="M1539" s="41" t="e">
        <f>VLOOKUP(I1539,错误mRNA总表!D:I,6,FALSE)</f>
        <v>#N/A</v>
      </c>
    </row>
    <row r="1540" spans="1:13" x14ac:dyDescent="0.2">
      <c r="A1540" s="12" t="s">
        <v>4787</v>
      </c>
      <c r="B1540" s="12" t="s">
        <v>3946</v>
      </c>
      <c r="C1540" s="12">
        <v>34890589</v>
      </c>
      <c r="D1540" s="12">
        <v>34891067</v>
      </c>
      <c r="E1540" s="12" t="s">
        <v>3943</v>
      </c>
      <c r="F1540" s="12">
        <v>21</v>
      </c>
      <c r="G1540" s="41" t="s">
        <v>47</v>
      </c>
      <c r="H1540" s="12" t="s">
        <v>3632</v>
      </c>
      <c r="I1540" s="41" t="s">
        <v>7355</v>
      </c>
      <c r="M1540" s="41" t="e">
        <f>VLOOKUP(I1540,错误mRNA总表!D:I,6,FALSE)</f>
        <v>#N/A</v>
      </c>
    </row>
    <row r="1541" spans="1:13" x14ac:dyDescent="0.2">
      <c r="A1541" s="12" t="s">
        <v>4788</v>
      </c>
      <c r="B1541" s="12" t="s">
        <v>3962</v>
      </c>
      <c r="C1541" s="12">
        <v>62329995</v>
      </c>
      <c r="D1541" s="12">
        <v>62331335</v>
      </c>
      <c r="E1541" s="12" t="s">
        <v>3940</v>
      </c>
      <c r="F1541" s="12">
        <v>1</v>
      </c>
      <c r="G1541" s="41" t="s">
        <v>53</v>
      </c>
      <c r="H1541" s="12" t="s">
        <v>6418</v>
      </c>
      <c r="I1541" s="41" t="s">
        <v>7356</v>
      </c>
      <c r="M1541" s="41" t="e">
        <f>VLOOKUP(I1541,错误mRNA总表!D:I,6,FALSE)</f>
        <v>#N/A</v>
      </c>
    </row>
    <row r="1542" spans="1:13" x14ac:dyDescent="0.2">
      <c r="A1542" s="12" t="s">
        <v>4789</v>
      </c>
      <c r="B1542" s="12" t="s">
        <v>4107</v>
      </c>
      <c r="C1542" s="12">
        <v>1580621</v>
      </c>
      <c r="D1542" s="12">
        <v>1581756</v>
      </c>
      <c r="E1542" s="12" t="s">
        <v>3943</v>
      </c>
      <c r="F1542" s="12">
        <v>3</v>
      </c>
      <c r="H1542" s="12" t="s">
        <v>3688</v>
      </c>
      <c r="I1542" s="41" t="s">
        <v>7357</v>
      </c>
      <c r="M1542" s="41" t="e">
        <f>VLOOKUP(I1542,错误mRNA总表!D:I,6,FALSE)</f>
        <v>#N/A</v>
      </c>
    </row>
    <row r="1543" spans="1:13" x14ac:dyDescent="0.2">
      <c r="A1543" s="12" t="s">
        <v>4790</v>
      </c>
      <c r="B1543" s="12" t="s">
        <v>4069</v>
      </c>
      <c r="C1543" s="12">
        <v>74207477</v>
      </c>
      <c r="D1543" s="12">
        <v>74208493</v>
      </c>
      <c r="E1543" s="12" t="s">
        <v>3943</v>
      </c>
      <c r="F1543" s="12">
        <v>1</v>
      </c>
      <c r="G1543" s="41" t="s">
        <v>179</v>
      </c>
      <c r="H1543" s="12" t="s">
        <v>3470</v>
      </c>
      <c r="I1543" s="41" t="s">
        <v>7358</v>
      </c>
      <c r="M1543" s="41" t="e">
        <f>VLOOKUP(I1543,错误mRNA总表!D:I,6,FALSE)</f>
        <v>#N/A</v>
      </c>
    </row>
    <row r="1544" spans="1:13" x14ac:dyDescent="0.2">
      <c r="A1544" s="12" t="s">
        <v>4791</v>
      </c>
      <c r="B1544" s="12" t="s">
        <v>4018</v>
      </c>
      <c r="C1544" s="12">
        <v>17791523</v>
      </c>
      <c r="D1544" s="12">
        <v>17981988</v>
      </c>
      <c r="E1544" s="12" t="s">
        <v>3940</v>
      </c>
      <c r="F1544" s="12">
        <v>1</v>
      </c>
      <c r="G1544" s="41" t="s">
        <v>241</v>
      </c>
      <c r="H1544" s="12" t="s">
        <v>6027</v>
      </c>
      <c r="I1544" s="41" t="s">
        <v>7359</v>
      </c>
      <c r="M1544" s="41" t="e">
        <f>VLOOKUP(I1544,错误mRNA总表!D:I,6,FALSE)</f>
        <v>#N/A</v>
      </c>
    </row>
    <row r="1545" spans="1:13" x14ac:dyDescent="0.2">
      <c r="A1545" s="12" t="s">
        <v>4792</v>
      </c>
      <c r="B1545" s="12" t="s">
        <v>3994</v>
      </c>
      <c r="C1545" s="12">
        <v>3475209</v>
      </c>
      <c r="D1545" s="12">
        <v>3478778</v>
      </c>
      <c r="E1545" s="12" t="s">
        <v>3940</v>
      </c>
      <c r="F1545" s="12">
        <v>3</v>
      </c>
      <c r="H1545" s="12" t="s">
        <v>6028</v>
      </c>
      <c r="I1545" s="41" t="s">
        <v>7360</v>
      </c>
      <c r="M1545" s="41" t="e">
        <f>VLOOKUP(I1545,错误mRNA总表!D:I,6,FALSE)</f>
        <v>#N/A</v>
      </c>
    </row>
    <row r="1546" spans="1:13" x14ac:dyDescent="0.2">
      <c r="A1546" s="12" t="s">
        <v>4243</v>
      </c>
      <c r="B1546" s="12" t="s">
        <v>3994</v>
      </c>
      <c r="C1546" s="12">
        <v>2583421</v>
      </c>
      <c r="D1546" s="12">
        <v>2583577</v>
      </c>
      <c r="E1546" s="12" t="s">
        <v>3940</v>
      </c>
      <c r="F1546" s="12">
        <v>1</v>
      </c>
      <c r="H1546" s="12" t="s">
        <v>3555</v>
      </c>
      <c r="I1546" s="41" t="s">
        <v>7361</v>
      </c>
      <c r="M1546" s="41" t="e">
        <f>VLOOKUP(I1546,错误mRNA总表!D:I,6,FALSE)</f>
        <v>#N/A</v>
      </c>
    </row>
    <row r="1547" spans="1:13" x14ac:dyDescent="0.2">
      <c r="A1547" s="12" t="s">
        <v>4243</v>
      </c>
      <c r="B1547" s="12" t="s">
        <v>3994</v>
      </c>
      <c r="C1547" s="12">
        <v>2583421</v>
      </c>
      <c r="D1547" s="12">
        <v>2583609</v>
      </c>
      <c r="E1547" s="12" t="s">
        <v>3940</v>
      </c>
      <c r="F1547" s="12">
        <v>1</v>
      </c>
      <c r="H1547" s="12" t="s">
        <v>3555</v>
      </c>
      <c r="I1547" s="41" t="s">
        <v>7361</v>
      </c>
      <c r="M1547" s="41" t="e">
        <f>VLOOKUP(I1547,错误mRNA总表!D:I,6,FALSE)</f>
        <v>#N/A</v>
      </c>
    </row>
    <row r="1548" spans="1:13" x14ac:dyDescent="0.2">
      <c r="A1548" s="12" t="s">
        <v>4721</v>
      </c>
      <c r="B1548" s="12" t="s">
        <v>3964</v>
      </c>
      <c r="C1548" s="12">
        <v>4760078</v>
      </c>
      <c r="D1548" s="12">
        <v>4760131</v>
      </c>
      <c r="E1548" s="12" t="s">
        <v>3940</v>
      </c>
      <c r="F1548" s="12">
        <v>1</v>
      </c>
      <c r="H1548" s="12" t="s">
        <v>3594</v>
      </c>
      <c r="I1548" s="41" t="s">
        <v>7362</v>
      </c>
      <c r="M1548" s="41" t="e">
        <f>VLOOKUP(I1548,错误mRNA总表!D:I,6,FALSE)</f>
        <v>#N/A</v>
      </c>
    </row>
    <row r="1549" spans="1:13" x14ac:dyDescent="0.2">
      <c r="A1549" s="12" t="s">
        <v>4463</v>
      </c>
      <c r="B1549" s="12" t="s">
        <v>3986</v>
      </c>
      <c r="C1549" s="12">
        <v>54573149</v>
      </c>
      <c r="D1549" s="12">
        <v>54579587</v>
      </c>
      <c r="E1549" s="12" t="s">
        <v>3943</v>
      </c>
      <c r="F1549" s="12">
        <v>16</v>
      </c>
      <c r="G1549" s="41" t="s">
        <v>50</v>
      </c>
      <c r="H1549" s="12" t="s">
        <v>5909</v>
      </c>
      <c r="I1549" s="41" t="s">
        <v>7363</v>
      </c>
      <c r="M1549" s="41" t="e">
        <f>VLOOKUP(I1549,错误mRNA总表!D:I,6,FALSE)</f>
        <v>#N/A</v>
      </c>
    </row>
    <row r="1550" spans="1:13" x14ac:dyDescent="0.2">
      <c r="A1550" s="12" t="s">
        <v>4793</v>
      </c>
      <c r="B1550" s="12" t="s">
        <v>3957</v>
      </c>
      <c r="C1550" s="12">
        <v>111848033</v>
      </c>
      <c r="D1550" s="12">
        <v>111848362</v>
      </c>
      <c r="E1550" s="12" t="s">
        <v>3943</v>
      </c>
      <c r="F1550" s="12">
        <v>1</v>
      </c>
      <c r="G1550" s="41" t="s">
        <v>36</v>
      </c>
      <c r="H1550" s="12" t="s">
        <v>975</v>
      </c>
      <c r="I1550" s="41" t="s">
        <v>3360</v>
      </c>
      <c r="J1550" s="41" t="s">
        <v>3360</v>
      </c>
      <c r="K1550" s="41" t="str">
        <f>VLOOKUP(J1550,错误mRNA总表!D:J,7,FALSE)</f>
        <v>纠后正确，版本不一致，utr略有变化</v>
      </c>
      <c r="L1550" s="41" t="s">
        <v>3866</v>
      </c>
      <c r="M1550" s="41" t="str">
        <f>VLOOKUP(I1550,错误mRNA总表!D:I,6,FALSE)</f>
        <v>纠后正确，版本不一致，utr略有变化</v>
      </c>
    </row>
    <row r="1551" spans="1:13" x14ac:dyDescent="0.2">
      <c r="A1551" s="12" t="s">
        <v>4793</v>
      </c>
      <c r="B1551" s="12" t="s">
        <v>3957</v>
      </c>
      <c r="C1551" s="12">
        <v>111848033</v>
      </c>
      <c r="D1551" s="12">
        <v>111853108</v>
      </c>
      <c r="E1551" s="12" t="s">
        <v>3940</v>
      </c>
      <c r="F1551" s="12">
        <v>1</v>
      </c>
      <c r="G1551" s="41" t="s">
        <v>36</v>
      </c>
      <c r="H1551" s="12" t="s">
        <v>975</v>
      </c>
      <c r="I1551" s="41" t="s">
        <v>3360</v>
      </c>
      <c r="J1551" s="41" t="s">
        <v>3360</v>
      </c>
      <c r="K1551" s="41" t="str">
        <f>VLOOKUP(J1551,错误mRNA总表!D:J,7,FALSE)</f>
        <v>纠后正确，版本不一致，utr略有变化</v>
      </c>
      <c r="L1551" s="41" t="s">
        <v>3866</v>
      </c>
      <c r="M1551" s="41" t="str">
        <f>VLOOKUP(I1551,错误mRNA总表!D:I,6,FALSE)</f>
        <v>纠后正确，版本不一致，utr略有变化</v>
      </c>
    </row>
    <row r="1552" spans="1:13" x14ac:dyDescent="0.2">
      <c r="A1552" s="12" t="s">
        <v>4794</v>
      </c>
      <c r="B1552" s="12" t="s">
        <v>3984</v>
      </c>
      <c r="C1552" s="12">
        <v>1982257</v>
      </c>
      <c r="D1552" s="12">
        <v>1985232</v>
      </c>
      <c r="E1552" s="12" t="s">
        <v>3943</v>
      </c>
      <c r="F1552" s="12">
        <v>1</v>
      </c>
      <c r="H1552" s="12" t="s">
        <v>6029</v>
      </c>
      <c r="I1552" s="41" t="s">
        <v>7364</v>
      </c>
      <c r="M1552" s="41" t="e">
        <f>VLOOKUP(I1552,错误mRNA总表!D:I,6,FALSE)</f>
        <v>#N/A</v>
      </c>
    </row>
    <row r="1553" spans="1:13" x14ac:dyDescent="0.2">
      <c r="A1553" s="12" t="s">
        <v>4795</v>
      </c>
      <c r="B1553" s="12" t="s">
        <v>4052</v>
      </c>
      <c r="C1553" s="12">
        <v>64571756</v>
      </c>
      <c r="D1553" s="12">
        <v>64572037</v>
      </c>
      <c r="E1553" s="12" t="s">
        <v>3943</v>
      </c>
      <c r="F1553" s="12">
        <v>1</v>
      </c>
      <c r="G1553" s="41" t="s">
        <v>93</v>
      </c>
      <c r="H1553" s="12" t="s">
        <v>6521</v>
      </c>
      <c r="I1553" s="41" t="s">
        <v>7365</v>
      </c>
      <c r="M1553" s="41" t="e">
        <f>VLOOKUP(I1553,错误mRNA总表!D:I,6,FALSE)</f>
        <v>#N/A</v>
      </c>
    </row>
    <row r="1554" spans="1:13" x14ac:dyDescent="0.2">
      <c r="A1554" s="12" t="s">
        <v>4796</v>
      </c>
      <c r="B1554" s="12" t="s">
        <v>3986</v>
      </c>
      <c r="C1554" s="12">
        <v>56598729</v>
      </c>
      <c r="D1554" s="12">
        <v>56599437</v>
      </c>
      <c r="E1554" s="12" t="s">
        <v>3943</v>
      </c>
      <c r="F1554" s="12">
        <v>3</v>
      </c>
      <c r="G1554" s="41" t="s">
        <v>50</v>
      </c>
      <c r="H1554" s="12" t="s">
        <v>1288</v>
      </c>
      <c r="I1554" s="41" t="s">
        <v>7366</v>
      </c>
      <c r="J1554" s="41" t="s">
        <v>2289</v>
      </c>
      <c r="K1554" s="41" t="str">
        <f>VLOOKUP(J1554,错误mRNA总表!D:J,7,FALSE)</f>
        <v>纠后正确，少1个氨基酸chr19:56599389-56599751</v>
      </c>
      <c r="M1554" s="41" t="e">
        <f>VLOOKUP(I1554,错误mRNA总表!D:I,6,FALSE)</f>
        <v>#N/A</v>
      </c>
    </row>
    <row r="1555" spans="1:13" x14ac:dyDescent="0.2">
      <c r="A1555" s="12" t="s">
        <v>4797</v>
      </c>
      <c r="B1555" s="12" t="s">
        <v>3946</v>
      </c>
      <c r="C1555" s="12">
        <v>26721661</v>
      </c>
      <c r="D1555" s="12">
        <v>26727721</v>
      </c>
      <c r="E1555" s="12" t="s">
        <v>3943</v>
      </c>
      <c r="F1555" s="12">
        <v>1</v>
      </c>
      <c r="G1555" s="41" t="s">
        <v>47</v>
      </c>
      <c r="H1555" s="12" t="s">
        <v>1165</v>
      </c>
      <c r="I1555" s="41" t="s">
        <v>3387</v>
      </c>
      <c r="J1555" s="41" t="s">
        <v>3387</v>
      </c>
      <c r="K1555" s="41" t="str">
        <f>VLOOKUP(J1555,错误mRNA总表!D:J,7,FALSE)</f>
        <v>纠后正确</v>
      </c>
      <c r="L1555" s="41" t="s">
        <v>3763</v>
      </c>
      <c r="M1555" s="41">
        <f>VLOOKUP(I1555,错误mRNA总表!D:I,6,FALSE)</f>
        <v>0</v>
      </c>
    </row>
    <row r="1556" spans="1:13" x14ac:dyDescent="0.2">
      <c r="A1556" s="12" t="s">
        <v>4797</v>
      </c>
      <c r="B1556" s="12" t="s">
        <v>3946</v>
      </c>
      <c r="C1556" s="12">
        <v>26721661</v>
      </c>
      <c r="D1556" s="12">
        <v>26724874</v>
      </c>
      <c r="E1556" s="12" t="s">
        <v>3940</v>
      </c>
      <c r="F1556" s="12">
        <v>3</v>
      </c>
      <c r="G1556" s="41" t="s">
        <v>47</v>
      </c>
      <c r="H1556" s="12" t="s">
        <v>1165</v>
      </c>
      <c r="I1556" s="41" t="s">
        <v>3387</v>
      </c>
      <c r="J1556" s="41" t="s">
        <v>3387</v>
      </c>
      <c r="K1556" s="41" t="str">
        <f>VLOOKUP(J1556,错误mRNA总表!D:J,7,FALSE)</f>
        <v>纠后正确</v>
      </c>
      <c r="L1556" s="41" t="s">
        <v>3763</v>
      </c>
      <c r="M1556" s="41">
        <f>VLOOKUP(I1556,错误mRNA总表!D:I,6,FALSE)</f>
        <v>0</v>
      </c>
    </row>
    <row r="1557" spans="1:13" x14ac:dyDescent="0.2">
      <c r="A1557" s="12" t="s">
        <v>4798</v>
      </c>
      <c r="B1557" s="12" t="s">
        <v>3962</v>
      </c>
      <c r="C1557" s="12">
        <v>35729629</v>
      </c>
      <c r="D1557" s="12">
        <v>35807790</v>
      </c>
      <c r="E1557" s="12" t="s">
        <v>3940</v>
      </c>
      <c r="F1557" s="12">
        <v>29</v>
      </c>
      <c r="G1557" s="41" t="s">
        <v>53</v>
      </c>
      <c r="H1557" s="12" t="s">
        <v>52</v>
      </c>
      <c r="I1557" s="41" t="s">
        <v>2081</v>
      </c>
      <c r="J1557" s="41" t="s">
        <v>2081</v>
      </c>
      <c r="K1557" s="41" t="str">
        <f>VLOOKUP(J1557,错误mRNA总表!D:J,7,FALSE)</f>
        <v>纠后正确</v>
      </c>
      <c r="L1557" s="41" t="s">
        <v>3763</v>
      </c>
      <c r="M1557" s="41">
        <f>VLOOKUP(I1557,错误mRNA总表!D:I,6,FALSE)</f>
        <v>0</v>
      </c>
    </row>
    <row r="1558" spans="1:13" x14ac:dyDescent="0.2">
      <c r="A1558" s="12" t="s">
        <v>4799</v>
      </c>
      <c r="B1558" s="12" t="s">
        <v>3978</v>
      </c>
      <c r="C1558" s="12">
        <v>14444076</v>
      </c>
      <c r="D1558" s="12">
        <v>14444243</v>
      </c>
      <c r="E1558" s="12" t="s">
        <v>3943</v>
      </c>
      <c r="F1558" s="12">
        <v>1</v>
      </c>
      <c r="G1558" s="41" t="s">
        <v>86</v>
      </c>
      <c r="H1558" s="12" t="s">
        <v>6419</v>
      </c>
      <c r="I1558" s="41" t="s">
        <v>7367</v>
      </c>
      <c r="M1558" s="41" t="e">
        <f>VLOOKUP(I1558,错误mRNA总表!D:I,6,FALSE)</f>
        <v>#N/A</v>
      </c>
    </row>
    <row r="1559" spans="1:13" x14ac:dyDescent="0.2">
      <c r="A1559" s="12" t="s">
        <v>4799</v>
      </c>
      <c r="B1559" s="12" t="s">
        <v>3978</v>
      </c>
      <c r="C1559" s="12">
        <v>14444076</v>
      </c>
      <c r="D1559" s="12">
        <v>14444277</v>
      </c>
      <c r="E1559" s="12" t="s">
        <v>3943</v>
      </c>
      <c r="F1559" s="12">
        <v>1</v>
      </c>
      <c r="G1559" s="41" t="s">
        <v>86</v>
      </c>
      <c r="H1559" s="12" t="s">
        <v>6419</v>
      </c>
      <c r="I1559" s="41" t="s">
        <v>7367</v>
      </c>
      <c r="M1559" s="41" t="e">
        <f>VLOOKUP(I1559,错误mRNA总表!D:I,6,FALSE)</f>
        <v>#N/A</v>
      </c>
    </row>
    <row r="1560" spans="1:13" x14ac:dyDescent="0.2">
      <c r="A1560" s="12" t="s">
        <v>4799</v>
      </c>
      <c r="B1560" s="12" t="s">
        <v>3978</v>
      </c>
      <c r="C1560" s="12">
        <v>14444076</v>
      </c>
      <c r="D1560" s="12">
        <v>14444286</v>
      </c>
      <c r="E1560" s="12" t="s">
        <v>3943</v>
      </c>
      <c r="F1560" s="12">
        <v>1</v>
      </c>
      <c r="G1560" s="41" t="s">
        <v>86</v>
      </c>
      <c r="H1560" s="12" t="s">
        <v>6419</v>
      </c>
      <c r="I1560" s="41" t="s">
        <v>7367</v>
      </c>
      <c r="M1560" s="41" t="e">
        <f>VLOOKUP(I1560,错误mRNA总表!D:I,6,FALSE)</f>
        <v>#N/A</v>
      </c>
    </row>
    <row r="1561" spans="1:13" x14ac:dyDescent="0.2">
      <c r="A1561" s="12" t="s">
        <v>4799</v>
      </c>
      <c r="B1561" s="12" t="s">
        <v>3978</v>
      </c>
      <c r="C1561" s="12">
        <v>14444076</v>
      </c>
      <c r="D1561" s="12">
        <v>14444308</v>
      </c>
      <c r="E1561" s="12" t="s">
        <v>3943</v>
      </c>
      <c r="F1561" s="12">
        <v>1</v>
      </c>
      <c r="G1561" s="41" t="s">
        <v>86</v>
      </c>
      <c r="H1561" s="12" t="s">
        <v>6419</v>
      </c>
      <c r="I1561" s="41" t="s">
        <v>7367</v>
      </c>
      <c r="M1561" s="41" t="e">
        <f>VLOOKUP(I1561,错误mRNA总表!D:I,6,FALSE)</f>
        <v>#N/A</v>
      </c>
    </row>
    <row r="1562" spans="1:13" x14ac:dyDescent="0.2">
      <c r="A1562" s="12" t="s">
        <v>4799</v>
      </c>
      <c r="B1562" s="12" t="s">
        <v>3978</v>
      </c>
      <c r="C1562" s="12">
        <v>14444076</v>
      </c>
      <c r="D1562" s="12">
        <v>14444318</v>
      </c>
      <c r="E1562" s="12" t="s">
        <v>3943</v>
      </c>
      <c r="F1562" s="12">
        <v>1</v>
      </c>
      <c r="G1562" s="41" t="s">
        <v>86</v>
      </c>
      <c r="H1562" s="12" t="s">
        <v>6419</v>
      </c>
      <c r="I1562" s="41" t="s">
        <v>7367</v>
      </c>
      <c r="M1562" s="41" t="e">
        <f>VLOOKUP(I1562,错误mRNA总表!D:I,6,FALSE)</f>
        <v>#N/A</v>
      </c>
    </row>
    <row r="1563" spans="1:13" x14ac:dyDescent="0.2">
      <c r="A1563" s="12" t="s">
        <v>4799</v>
      </c>
      <c r="B1563" s="12" t="s">
        <v>3978</v>
      </c>
      <c r="C1563" s="12">
        <v>14444076</v>
      </c>
      <c r="D1563" s="12">
        <v>14444326</v>
      </c>
      <c r="E1563" s="12" t="s">
        <v>3943</v>
      </c>
      <c r="F1563" s="12">
        <v>1</v>
      </c>
      <c r="G1563" s="41" t="s">
        <v>86</v>
      </c>
      <c r="H1563" s="12" t="s">
        <v>6419</v>
      </c>
      <c r="I1563" s="41" t="s">
        <v>7367</v>
      </c>
      <c r="M1563" s="41" t="e">
        <f>VLOOKUP(I1563,错误mRNA总表!D:I,6,FALSE)</f>
        <v>#N/A</v>
      </c>
    </row>
    <row r="1564" spans="1:13" x14ac:dyDescent="0.2">
      <c r="A1564" s="12" t="s">
        <v>4799</v>
      </c>
      <c r="B1564" s="12" t="s">
        <v>3978</v>
      </c>
      <c r="C1564" s="12">
        <v>14444076</v>
      </c>
      <c r="D1564" s="12">
        <v>14444329</v>
      </c>
      <c r="E1564" s="12" t="s">
        <v>3943</v>
      </c>
      <c r="F1564" s="12">
        <v>1</v>
      </c>
      <c r="G1564" s="41" t="s">
        <v>86</v>
      </c>
      <c r="H1564" s="12" t="s">
        <v>6419</v>
      </c>
      <c r="I1564" s="41" t="s">
        <v>7367</v>
      </c>
      <c r="M1564" s="41" t="e">
        <f>VLOOKUP(I1564,错误mRNA总表!D:I,6,FALSE)</f>
        <v>#N/A</v>
      </c>
    </row>
    <row r="1565" spans="1:13" x14ac:dyDescent="0.2">
      <c r="A1565" s="12" t="s">
        <v>4800</v>
      </c>
      <c r="B1565" s="12" t="s">
        <v>4004</v>
      </c>
      <c r="C1565" s="12">
        <v>143852615</v>
      </c>
      <c r="D1565" s="12">
        <v>143857441</v>
      </c>
      <c r="E1565" s="12" t="s">
        <v>3940</v>
      </c>
      <c r="F1565" s="12">
        <v>2</v>
      </c>
      <c r="G1565" s="41" t="s">
        <v>103</v>
      </c>
      <c r="H1565" s="12" t="s">
        <v>6522</v>
      </c>
      <c r="I1565" s="41" t="s">
        <v>7368</v>
      </c>
      <c r="M1565" s="41" t="e">
        <f>VLOOKUP(I1565,错误mRNA总表!D:I,6,FALSE)</f>
        <v>#N/A</v>
      </c>
    </row>
    <row r="1566" spans="1:13" x14ac:dyDescent="0.2">
      <c r="A1566" s="12" t="s">
        <v>4801</v>
      </c>
      <c r="B1566" s="12" t="s">
        <v>3973</v>
      </c>
      <c r="C1566" s="12">
        <v>120802589</v>
      </c>
      <c r="D1566" s="12">
        <v>120832260</v>
      </c>
      <c r="E1566" s="12" t="s">
        <v>3940</v>
      </c>
      <c r="F1566" s="12">
        <v>1623</v>
      </c>
      <c r="G1566" s="41" t="s">
        <v>139</v>
      </c>
      <c r="H1566" s="12" t="s">
        <v>6030</v>
      </c>
      <c r="I1566" s="41" t="s">
        <v>7369</v>
      </c>
      <c r="M1566" s="41" t="e">
        <f>VLOOKUP(I1566,错误mRNA总表!D:I,6,FALSE)</f>
        <v>#N/A</v>
      </c>
    </row>
    <row r="1567" spans="1:13" x14ac:dyDescent="0.2">
      <c r="A1567" s="12" t="s">
        <v>4801</v>
      </c>
      <c r="B1567" s="12" t="s">
        <v>3973</v>
      </c>
      <c r="C1567" s="12">
        <v>120802589</v>
      </c>
      <c r="D1567" s="12">
        <v>120823819</v>
      </c>
      <c r="E1567" s="12" t="s">
        <v>3940</v>
      </c>
      <c r="F1567" s="12">
        <v>2568</v>
      </c>
      <c r="G1567" s="41" t="s">
        <v>139</v>
      </c>
      <c r="H1567" s="12" t="s">
        <v>6030</v>
      </c>
      <c r="I1567" s="41" t="s">
        <v>7369</v>
      </c>
      <c r="M1567" s="41" t="e">
        <f>VLOOKUP(I1567,错误mRNA总表!D:I,6,FALSE)</f>
        <v>#N/A</v>
      </c>
    </row>
    <row r="1568" spans="1:13" x14ac:dyDescent="0.2">
      <c r="A1568" s="12" t="s">
        <v>4801</v>
      </c>
      <c r="B1568" s="12" t="s">
        <v>3973</v>
      </c>
      <c r="C1568" s="12">
        <v>120802589</v>
      </c>
      <c r="D1568" s="12">
        <v>120818562</v>
      </c>
      <c r="E1568" s="12" t="s">
        <v>3940</v>
      </c>
      <c r="F1568" s="12">
        <v>25</v>
      </c>
      <c r="G1568" s="41" t="s">
        <v>139</v>
      </c>
      <c r="H1568" s="12" t="s">
        <v>6030</v>
      </c>
      <c r="I1568" s="41" t="s">
        <v>7369</v>
      </c>
      <c r="M1568" s="41" t="e">
        <f>VLOOKUP(I1568,错误mRNA总表!D:I,6,FALSE)</f>
        <v>#N/A</v>
      </c>
    </row>
    <row r="1569" spans="1:13" x14ac:dyDescent="0.2">
      <c r="A1569" s="12" t="s">
        <v>4801</v>
      </c>
      <c r="B1569" s="12" t="s">
        <v>3973</v>
      </c>
      <c r="C1569" s="12">
        <v>120802589</v>
      </c>
      <c r="D1569" s="12">
        <v>120823646</v>
      </c>
      <c r="E1569" s="12" t="s">
        <v>3943</v>
      </c>
      <c r="F1569" s="12">
        <v>4</v>
      </c>
      <c r="G1569" s="41" t="s">
        <v>139</v>
      </c>
      <c r="H1569" s="12" t="s">
        <v>6030</v>
      </c>
      <c r="I1569" s="41" t="s">
        <v>7369</v>
      </c>
      <c r="M1569" s="41" t="e">
        <f>VLOOKUP(I1569,错误mRNA总表!D:I,6,FALSE)</f>
        <v>#N/A</v>
      </c>
    </row>
    <row r="1570" spans="1:13" x14ac:dyDescent="0.2">
      <c r="A1570" s="12" t="s">
        <v>4801</v>
      </c>
      <c r="B1570" s="12" t="s">
        <v>3973</v>
      </c>
      <c r="C1570" s="12">
        <v>120802589</v>
      </c>
      <c r="D1570" s="12">
        <v>120812686</v>
      </c>
      <c r="E1570" s="12" t="s">
        <v>3940</v>
      </c>
      <c r="F1570" s="12">
        <v>380</v>
      </c>
      <c r="G1570" s="41" t="s">
        <v>139</v>
      </c>
      <c r="H1570" s="12" t="s">
        <v>6030</v>
      </c>
      <c r="I1570" s="41" t="s">
        <v>7369</v>
      </c>
      <c r="M1570" s="41" t="e">
        <f>VLOOKUP(I1570,错误mRNA总表!D:I,6,FALSE)</f>
        <v>#N/A</v>
      </c>
    </row>
    <row r="1571" spans="1:13" x14ac:dyDescent="0.2">
      <c r="A1571" s="12" t="s">
        <v>4801</v>
      </c>
      <c r="B1571" s="12" t="s">
        <v>3973</v>
      </c>
      <c r="C1571" s="12">
        <v>120802589</v>
      </c>
      <c r="D1571" s="12">
        <v>120810827</v>
      </c>
      <c r="E1571" s="12" t="s">
        <v>3940</v>
      </c>
      <c r="F1571" s="12">
        <v>84</v>
      </c>
      <c r="G1571" s="41" t="s">
        <v>139</v>
      </c>
      <c r="H1571" s="12" t="s">
        <v>6030</v>
      </c>
      <c r="I1571" s="41" t="s">
        <v>7369</v>
      </c>
      <c r="M1571" s="41" t="e">
        <f>VLOOKUP(I1571,错误mRNA总表!D:I,6,FALSE)</f>
        <v>#N/A</v>
      </c>
    </row>
    <row r="1572" spans="1:13" x14ac:dyDescent="0.2">
      <c r="A1572" s="12" t="s">
        <v>4801</v>
      </c>
      <c r="B1572" s="12" t="s">
        <v>3973</v>
      </c>
      <c r="C1572" s="12">
        <v>120802589</v>
      </c>
      <c r="D1572" s="12">
        <v>120808530</v>
      </c>
      <c r="E1572" s="12" t="s">
        <v>3940</v>
      </c>
      <c r="F1572" s="12">
        <v>570</v>
      </c>
      <c r="G1572" s="41" t="s">
        <v>139</v>
      </c>
      <c r="H1572" s="12" t="s">
        <v>6030</v>
      </c>
      <c r="I1572" s="41" t="s">
        <v>7369</v>
      </c>
      <c r="M1572" s="41" t="e">
        <f>VLOOKUP(I1572,错误mRNA总表!D:I,6,FALSE)</f>
        <v>#N/A</v>
      </c>
    </row>
    <row r="1573" spans="1:13" x14ac:dyDescent="0.2">
      <c r="A1573" s="12" t="s">
        <v>4801</v>
      </c>
      <c r="B1573" s="12" t="s">
        <v>3973</v>
      </c>
      <c r="C1573" s="12">
        <v>120802589</v>
      </c>
      <c r="D1573" s="12">
        <v>120808518</v>
      </c>
      <c r="E1573" s="12" t="s">
        <v>3943</v>
      </c>
      <c r="F1573" s="12">
        <v>3</v>
      </c>
      <c r="G1573" s="41" t="s">
        <v>139</v>
      </c>
      <c r="H1573" s="12" t="s">
        <v>6030</v>
      </c>
      <c r="I1573" s="41" t="s">
        <v>7369</v>
      </c>
      <c r="M1573" s="41" t="e">
        <f>VLOOKUP(I1573,错误mRNA总表!D:I,6,FALSE)</f>
        <v>#N/A</v>
      </c>
    </row>
    <row r="1574" spans="1:13" x14ac:dyDescent="0.2">
      <c r="A1574" s="12" t="s">
        <v>4801</v>
      </c>
      <c r="B1574" s="12" t="s">
        <v>3973</v>
      </c>
      <c r="C1574" s="12">
        <v>120802589</v>
      </c>
      <c r="D1574" s="12">
        <v>120802601</v>
      </c>
      <c r="E1574" s="12" t="s">
        <v>3940</v>
      </c>
      <c r="F1574" s="12">
        <v>296</v>
      </c>
      <c r="G1574" s="41" t="s">
        <v>139</v>
      </c>
      <c r="H1574" s="12" t="s">
        <v>6030</v>
      </c>
      <c r="I1574" s="41" t="s">
        <v>7369</v>
      </c>
      <c r="M1574" s="41" t="e">
        <f>VLOOKUP(I1574,错误mRNA总表!D:I,6,FALSE)</f>
        <v>#N/A</v>
      </c>
    </row>
    <row r="1575" spans="1:13" x14ac:dyDescent="0.2">
      <c r="A1575" s="12" t="s">
        <v>4801</v>
      </c>
      <c r="B1575" s="12" t="s">
        <v>3973</v>
      </c>
      <c r="C1575" s="12">
        <v>120802589</v>
      </c>
      <c r="D1575" s="12">
        <v>120808319</v>
      </c>
      <c r="E1575" s="12" t="s">
        <v>3943</v>
      </c>
      <c r="F1575" s="12">
        <v>2</v>
      </c>
      <c r="G1575" s="41" t="s">
        <v>139</v>
      </c>
      <c r="H1575" s="12" t="s">
        <v>6030</v>
      </c>
      <c r="I1575" s="41" t="s">
        <v>7369</v>
      </c>
      <c r="M1575" s="41" t="e">
        <f>VLOOKUP(I1575,错误mRNA总表!D:I,6,FALSE)</f>
        <v>#N/A</v>
      </c>
    </row>
    <row r="1576" spans="1:13" x14ac:dyDescent="0.2">
      <c r="A1576" s="12" t="s">
        <v>4802</v>
      </c>
      <c r="B1576" s="12" t="s">
        <v>4069</v>
      </c>
      <c r="C1576" s="12">
        <v>59711457</v>
      </c>
      <c r="D1576" s="12">
        <v>59711856</v>
      </c>
      <c r="E1576" s="12" t="s">
        <v>3940</v>
      </c>
      <c r="F1576" s="12">
        <v>2</v>
      </c>
      <c r="G1576" s="41" t="s">
        <v>179</v>
      </c>
      <c r="H1576" s="12" t="s">
        <v>6578</v>
      </c>
      <c r="I1576" s="41" t="s">
        <v>7370</v>
      </c>
      <c r="M1576" s="41" t="e">
        <f>VLOOKUP(I1576,错误mRNA总表!D:I,6,FALSE)</f>
        <v>#N/A</v>
      </c>
    </row>
    <row r="1577" spans="1:13" x14ac:dyDescent="0.2">
      <c r="A1577" s="12" t="s">
        <v>4803</v>
      </c>
      <c r="B1577" s="12" t="s">
        <v>4012</v>
      </c>
      <c r="C1577" s="12">
        <v>76311115</v>
      </c>
      <c r="D1577" s="12">
        <v>76311603</v>
      </c>
      <c r="E1577" s="12" t="s">
        <v>3940</v>
      </c>
      <c r="F1577" s="12">
        <v>1</v>
      </c>
      <c r="G1577" s="41" t="s">
        <v>121</v>
      </c>
      <c r="H1577" s="12" t="s">
        <v>6031</v>
      </c>
      <c r="I1577" s="41" t="s">
        <v>7371</v>
      </c>
      <c r="M1577" s="41" t="e">
        <f>VLOOKUP(I1577,错误mRNA总表!D:I,6,FALSE)</f>
        <v>#N/A</v>
      </c>
    </row>
    <row r="1578" spans="1:13" x14ac:dyDescent="0.2">
      <c r="A1578" s="12" t="s">
        <v>4804</v>
      </c>
      <c r="B1578" s="12" t="s">
        <v>4124</v>
      </c>
      <c r="C1578" s="12">
        <v>55774428</v>
      </c>
      <c r="D1578" s="12">
        <v>55844616</v>
      </c>
      <c r="E1578" s="12" t="s">
        <v>3940</v>
      </c>
      <c r="F1578" s="12">
        <v>1</v>
      </c>
      <c r="G1578" s="41" t="s">
        <v>1</v>
      </c>
      <c r="H1578" s="12" t="s">
        <v>6032</v>
      </c>
      <c r="I1578" s="41" t="s">
        <v>7372</v>
      </c>
      <c r="M1578" s="41" t="e">
        <f>VLOOKUP(I1578,错误mRNA总表!D:I,6,FALSE)</f>
        <v>#N/A</v>
      </c>
    </row>
    <row r="1579" spans="1:13" x14ac:dyDescent="0.2">
      <c r="A1579" s="12" t="s">
        <v>4805</v>
      </c>
      <c r="B1579" s="12" t="s">
        <v>3948</v>
      </c>
      <c r="C1579" s="12">
        <v>128516919</v>
      </c>
      <c r="D1579" s="12">
        <v>128550680</v>
      </c>
      <c r="E1579" s="12" t="s">
        <v>3943</v>
      </c>
      <c r="F1579" s="12">
        <v>1</v>
      </c>
      <c r="G1579" s="41" t="s">
        <v>40</v>
      </c>
      <c r="H1579" s="12" t="s">
        <v>756</v>
      </c>
      <c r="I1579" s="41" t="s">
        <v>2247</v>
      </c>
      <c r="J1579" s="41" t="s">
        <v>2247</v>
      </c>
      <c r="K1579" s="41" t="str">
        <f>VLOOKUP(J1579,错误mRNA总表!D:J,7,FALSE)</f>
        <v>纠后正确</v>
      </c>
      <c r="L1579" s="41" t="s">
        <v>3763</v>
      </c>
      <c r="M1579" s="41">
        <f>VLOOKUP(I1579,错误mRNA总表!D:I,6,FALSE)</f>
        <v>0</v>
      </c>
    </row>
    <row r="1580" spans="1:13" x14ac:dyDescent="0.2">
      <c r="A1580" s="12" t="s">
        <v>4805</v>
      </c>
      <c r="B1580" s="12" t="s">
        <v>3948</v>
      </c>
      <c r="C1580" s="12">
        <v>128516919</v>
      </c>
      <c r="D1580" s="12">
        <v>128533514</v>
      </c>
      <c r="E1580" s="12" t="s">
        <v>3940</v>
      </c>
      <c r="F1580" s="12">
        <v>1</v>
      </c>
      <c r="G1580" s="41" t="s">
        <v>40</v>
      </c>
      <c r="H1580" s="12" t="s">
        <v>756</v>
      </c>
      <c r="I1580" s="41" t="s">
        <v>2247</v>
      </c>
      <c r="J1580" s="41" t="s">
        <v>2247</v>
      </c>
      <c r="K1580" s="41" t="str">
        <f>VLOOKUP(J1580,错误mRNA总表!D:J,7,FALSE)</f>
        <v>纠后正确</v>
      </c>
      <c r="L1580" s="41" t="s">
        <v>3763</v>
      </c>
      <c r="M1580" s="41">
        <f>VLOOKUP(I1580,错误mRNA总表!D:I,6,FALSE)</f>
        <v>0</v>
      </c>
    </row>
    <row r="1581" spans="1:13" x14ac:dyDescent="0.2">
      <c r="A1581" s="12" t="s">
        <v>4806</v>
      </c>
      <c r="B1581" s="12" t="s">
        <v>4052</v>
      </c>
      <c r="C1581" s="12">
        <v>97890037</v>
      </c>
      <c r="D1581" s="12">
        <v>97920100</v>
      </c>
      <c r="E1581" s="12" t="s">
        <v>3940</v>
      </c>
      <c r="F1581" s="12">
        <v>1</v>
      </c>
      <c r="G1581" s="41" t="s">
        <v>93</v>
      </c>
      <c r="H1581" s="12" t="s">
        <v>6033</v>
      </c>
      <c r="I1581" s="41" t="s">
        <v>7373</v>
      </c>
      <c r="M1581" s="41" t="e">
        <f>VLOOKUP(I1581,错误mRNA总表!D:I,6,FALSE)</f>
        <v>#N/A</v>
      </c>
    </row>
    <row r="1582" spans="1:13" x14ac:dyDescent="0.2">
      <c r="A1582" s="12" t="s">
        <v>4224</v>
      </c>
      <c r="B1582" s="12" t="s">
        <v>3989</v>
      </c>
      <c r="C1582" s="12">
        <v>2743184</v>
      </c>
      <c r="D1582" s="12">
        <v>2747112</v>
      </c>
      <c r="E1582" s="12" t="s">
        <v>3940</v>
      </c>
      <c r="F1582" s="12">
        <v>1</v>
      </c>
      <c r="H1582" s="12" t="s">
        <v>5833</v>
      </c>
      <c r="I1582" s="41" t="s">
        <v>7374</v>
      </c>
      <c r="M1582" s="41" t="e">
        <f>VLOOKUP(I1582,错误mRNA总表!D:I,6,FALSE)</f>
        <v>#N/A</v>
      </c>
    </row>
    <row r="1583" spans="1:13" x14ac:dyDescent="0.2">
      <c r="A1583" s="12" t="s">
        <v>4224</v>
      </c>
      <c r="B1583" s="12" t="s">
        <v>3989</v>
      </c>
      <c r="C1583" s="12">
        <v>2743184</v>
      </c>
      <c r="D1583" s="12">
        <v>2748102</v>
      </c>
      <c r="E1583" s="12" t="s">
        <v>3943</v>
      </c>
      <c r="F1583" s="12">
        <v>3</v>
      </c>
      <c r="H1583" s="12" t="s">
        <v>5833</v>
      </c>
      <c r="I1583" s="41" t="s">
        <v>7374</v>
      </c>
      <c r="M1583" s="41" t="e">
        <f>VLOOKUP(I1583,错误mRNA总表!D:I,6,FALSE)</f>
        <v>#N/A</v>
      </c>
    </row>
    <row r="1584" spans="1:13" x14ac:dyDescent="0.2">
      <c r="A1584" s="12" t="s">
        <v>4807</v>
      </c>
      <c r="B1584" s="12" t="s">
        <v>3948</v>
      </c>
      <c r="C1584" s="12">
        <v>142560514</v>
      </c>
      <c r="D1584" s="12">
        <v>142560588</v>
      </c>
      <c r="E1584" s="12" t="s">
        <v>3943</v>
      </c>
      <c r="F1584" s="12">
        <v>1</v>
      </c>
      <c r="G1584" s="41" t="s">
        <v>40</v>
      </c>
      <c r="H1584" s="12" t="s">
        <v>3599</v>
      </c>
      <c r="I1584" s="41" t="s">
        <v>7375</v>
      </c>
      <c r="M1584" s="41" t="e">
        <f>VLOOKUP(I1584,错误mRNA总表!D:I,6,FALSE)</f>
        <v>#N/A</v>
      </c>
    </row>
    <row r="1585" spans="1:13" x14ac:dyDescent="0.2">
      <c r="A1585" s="12" t="s">
        <v>4807</v>
      </c>
      <c r="B1585" s="12" t="s">
        <v>3948</v>
      </c>
      <c r="C1585" s="12">
        <v>142560514</v>
      </c>
      <c r="D1585" s="12">
        <v>142562076</v>
      </c>
      <c r="E1585" s="12" t="s">
        <v>3940</v>
      </c>
      <c r="F1585" s="12">
        <v>3</v>
      </c>
      <c r="G1585" s="41" t="s">
        <v>40</v>
      </c>
      <c r="H1585" s="12" t="s">
        <v>3599</v>
      </c>
      <c r="I1585" s="41" t="s">
        <v>7375</v>
      </c>
      <c r="M1585" s="41" t="e">
        <f>VLOOKUP(I1585,错误mRNA总表!D:I,6,FALSE)</f>
        <v>#N/A</v>
      </c>
    </row>
    <row r="1586" spans="1:13" x14ac:dyDescent="0.2">
      <c r="A1586" s="12" t="s">
        <v>4807</v>
      </c>
      <c r="B1586" s="12" t="s">
        <v>3948</v>
      </c>
      <c r="C1586" s="12">
        <v>142560514</v>
      </c>
      <c r="D1586" s="12">
        <v>142568772</v>
      </c>
      <c r="E1586" s="12" t="s">
        <v>3943</v>
      </c>
      <c r="F1586" s="12">
        <v>1</v>
      </c>
      <c r="G1586" s="41" t="s">
        <v>40</v>
      </c>
      <c r="H1586" s="12" t="s">
        <v>3599</v>
      </c>
      <c r="I1586" s="41" t="s">
        <v>7375</v>
      </c>
      <c r="M1586" s="41" t="e">
        <f>VLOOKUP(I1586,错误mRNA总表!D:I,6,FALSE)</f>
        <v>#N/A</v>
      </c>
    </row>
    <row r="1587" spans="1:13" x14ac:dyDescent="0.2">
      <c r="A1587" s="12" t="s">
        <v>4375</v>
      </c>
      <c r="B1587" s="12" t="s">
        <v>3994</v>
      </c>
      <c r="C1587" s="12">
        <v>4373602</v>
      </c>
      <c r="D1587" s="12">
        <v>4373751</v>
      </c>
      <c r="E1587" s="12" t="s">
        <v>3943</v>
      </c>
      <c r="F1587" s="12">
        <v>3</v>
      </c>
      <c r="H1587" s="12" t="s">
        <v>3584</v>
      </c>
      <c r="I1587" s="41" t="s">
        <v>7376</v>
      </c>
      <c r="M1587" s="41" t="e">
        <f>VLOOKUP(I1587,错误mRNA总表!D:I,6,FALSE)</f>
        <v>#N/A</v>
      </c>
    </row>
    <row r="1588" spans="1:13" x14ac:dyDescent="0.2">
      <c r="A1588" s="12" t="s">
        <v>4808</v>
      </c>
      <c r="B1588" s="12" t="s">
        <v>3942</v>
      </c>
      <c r="C1588" s="12">
        <v>175819456</v>
      </c>
      <c r="D1588" s="12">
        <v>175843461</v>
      </c>
      <c r="E1588" s="12" t="s">
        <v>3943</v>
      </c>
      <c r="F1588" s="12">
        <v>1</v>
      </c>
      <c r="G1588" s="41" t="s">
        <v>186</v>
      </c>
      <c r="H1588" s="12" t="s">
        <v>6034</v>
      </c>
      <c r="I1588" s="41" t="s">
        <v>7377</v>
      </c>
      <c r="M1588" s="41" t="e">
        <f>VLOOKUP(I1588,错误mRNA总表!D:I,6,FALSE)</f>
        <v>#N/A</v>
      </c>
    </row>
    <row r="1589" spans="1:13" x14ac:dyDescent="0.2">
      <c r="A1589" s="12" t="s">
        <v>4809</v>
      </c>
      <c r="B1589" s="12" t="s">
        <v>4066</v>
      </c>
      <c r="C1589" s="12">
        <v>7179524</v>
      </c>
      <c r="D1589" s="12">
        <v>7280142</v>
      </c>
      <c r="E1589" s="12" t="s">
        <v>3943</v>
      </c>
      <c r="F1589" s="12">
        <v>2</v>
      </c>
      <c r="H1589" s="12" t="s">
        <v>6035</v>
      </c>
      <c r="I1589" s="41" t="s">
        <v>7378</v>
      </c>
      <c r="M1589" s="41" t="e">
        <f>VLOOKUP(I1589,错误mRNA总表!D:I,6,FALSE)</f>
        <v>#N/A</v>
      </c>
    </row>
    <row r="1590" spans="1:13" x14ac:dyDescent="0.2">
      <c r="A1590" s="12" t="s">
        <v>4810</v>
      </c>
      <c r="B1590" s="12" t="s">
        <v>3942</v>
      </c>
      <c r="C1590" s="12">
        <v>72742083</v>
      </c>
      <c r="D1590" s="12">
        <v>72743299</v>
      </c>
      <c r="E1590" s="12" t="s">
        <v>3940</v>
      </c>
      <c r="F1590" s="12">
        <v>2</v>
      </c>
      <c r="G1590" s="41" t="s">
        <v>186</v>
      </c>
      <c r="H1590" s="12" t="s">
        <v>203</v>
      </c>
      <c r="I1590" s="41" t="s">
        <v>2167</v>
      </c>
      <c r="J1590" s="41" t="s">
        <v>2167</v>
      </c>
      <c r="K1590" s="41" t="str">
        <f>VLOOKUP(J1590,错误mRNA总表!D:J,7,FALSE)</f>
        <v>纠后正确</v>
      </c>
      <c r="L1590" s="41" t="s">
        <v>3763</v>
      </c>
      <c r="M1590" s="41">
        <f>VLOOKUP(I1590,错误mRNA总表!D:I,6,FALSE)</f>
        <v>0</v>
      </c>
    </row>
    <row r="1591" spans="1:13" x14ac:dyDescent="0.2">
      <c r="A1591" s="12" t="s">
        <v>4811</v>
      </c>
      <c r="B1591" s="12" t="s">
        <v>4812</v>
      </c>
      <c r="C1591" s="12">
        <v>6963</v>
      </c>
      <c r="D1591" s="12">
        <v>6969</v>
      </c>
      <c r="E1591" s="12" t="s">
        <v>3943</v>
      </c>
      <c r="F1591" s="12">
        <v>3</v>
      </c>
      <c r="H1591" s="12" t="s">
        <v>6036</v>
      </c>
      <c r="I1591" s="41" t="s">
        <v>7379</v>
      </c>
      <c r="M1591" s="41" t="e">
        <f>VLOOKUP(I1591,错误mRNA总表!D:I,6,FALSE)</f>
        <v>#N/A</v>
      </c>
    </row>
    <row r="1592" spans="1:13" x14ac:dyDescent="0.2">
      <c r="A1592" s="12" t="s">
        <v>4813</v>
      </c>
      <c r="B1592" s="12" t="s">
        <v>4436</v>
      </c>
      <c r="C1592" s="12">
        <v>799</v>
      </c>
      <c r="D1592" s="12">
        <v>1530</v>
      </c>
      <c r="E1592" s="12" t="s">
        <v>3940</v>
      </c>
      <c r="F1592" s="12">
        <v>1592</v>
      </c>
      <c r="H1592" s="12" t="s">
        <v>3611</v>
      </c>
      <c r="I1592" s="41" t="s">
        <v>7380</v>
      </c>
      <c r="M1592" s="41" t="e">
        <f>VLOOKUP(I1592,错误mRNA总表!D:I,6,FALSE)</f>
        <v>#N/A</v>
      </c>
    </row>
    <row r="1593" spans="1:13" x14ac:dyDescent="0.2">
      <c r="A1593" s="12" t="s">
        <v>4813</v>
      </c>
      <c r="B1593" s="12" t="s">
        <v>4436</v>
      </c>
      <c r="C1593" s="12">
        <v>799</v>
      </c>
      <c r="D1593" s="12">
        <v>1455</v>
      </c>
      <c r="E1593" s="12" t="s">
        <v>3940</v>
      </c>
      <c r="F1593" s="12">
        <v>4</v>
      </c>
      <c r="H1593" s="12" t="s">
        <v>3611</v>
      </c>
      <c r="I1593" s="41" t="s">
        <v>7380</v>
      </c>
      <c r="M1593" s="41" t="e">
        <f>VLOOKUP(I1593,错误mRNA总表!D:I,6,FALSE)</f>
        <v>#N/A</v>
      </c>
    </row>
    <row r="1594" spans="1:13" x14ac:dyDescent="0.2">
      <c r="A1594" s="12" t="s">
        <v>4813</v>
      </c>
      <c r="B1594" s="12" t="s">
        <v>4436</v>
      </c>
      <c r="C1594" s="12">
        <v>799</v>
      </c>
      <c r="D1594" s="12">
        <v>1517</v>
      </c>
      <c r="E1594" s="12" t="s">
        <v>3943</v>
      </c>
      <c r="F1594" s="12">
        <v>3</v>
      </c>
      <c r="H1594" s="12" t="s">
        <v>3611</v>
      </c>
      <c r="I1594" s="41" t="s">
        <v>7380</v>
      </c>
      <c r="M1594" s="41" t="e">
        <f>VLOOKUP(I1594,错误mRNA总表!D:I,6,FALSE)</f>
        <v>#N/A</v>
      </c>
    </row>
    <row r="1595" spans="1:13" x14ac:dyDescent="0.2">
      <c r="A1595" s="12" t="s">
        <v>4813</v>
      </c>
      <c r="B1595" s="12" t="s">
        <v>4436</v>
      </c>
      <c r="C1595" s="12">
        <v>799</v>
      </c>
      <c r="D1595" s="12">
        <v>808</v>
      </c>
      <c r="E1595" s="12" t="s">
        <v>3940</v>
      </c>
      <c r="F1595" s="12">
        <v>2</v>
      </c>
      <c r="H1595" s="12" t="s">
        <v>3611</v>
      </c>
      <c r="I1595" s="41" t="s">
        <v>7380</v>
      </c>
      <c r="M1595" s="41" t="e">
        <f>VLOOKUP(I1595,错误mRNA总表!D:I,6,FALSE)</f>
        <v>#N/A</v>
      </c>
    </row>
    <row r="1596" spans="1:13" x14ac:dyDescent="0.2">
      <c r="A1596" s="12" t="s">
        <v>4813</v>
      </c>
      <c r="B1596" s="12" t="s">
        <v>4436</v>
      </c>
      <c r="C1596" s="12">
        <v>799</v>
      </c>
      <c r="D1596" s="12">
        <v>811</v>
      </c>
      <c r="E1596" s="12" t="s">
        <v>3940</v>
      </c>
      <c r="F1596" s="12">
        <v>1</v>
      </c>
      <c r="H1596" s="12" t="s">
        <v>3611</v>
      </c>
      <c r="I1596" s="41" t="s">
        <v>7380</v>
      </c>
      <c r="M1596" s="41" t="e">
        <f>VLOOKUP(I1596,错误mRNA总表!D:I,6,FALSE)</f>
        <v>#N/A</v>
      </c>
    </row>
    <row r="1597" spans="1:13" x14ac:dyDescent="0.2">
      <c r="A1597" s="12" t="s">
        <v>4813</v>
      </c>
      <c r="B1597" s="12" t="s">
        <v>4436</v>
      </c>
      <c r="C1597" s="12">
        <v>799</v>
      </c>
      <c r="D1597" s="12">
        <v>821</v>
      </c>
      <c r="E1597" s="12" t="s">
        <v>3943</v>
      </c>
      <c r="F1597" s="12">
        <v>1</v>
      </c>
      <c r="H1597" s="12" t="s">
        <v>3611</v>
      </c>
      <c r="I1597" s="41" t="s">
        <v>7380</v>
      </c>
      <c r="M1597" s="41" t="e">
        <f>VLOOKUP(I1597,错误mRNA总表!D:I,6,FALSE)</f>
        <v>#N/A</v>
      </c>
    </row>
    <row r="1598" spans="1:13" x14ac:dyDescent="0.2">
      <c r="A1598" s="12" t="s">
        <v>4813</v>
      </c>
      <c r="B1598" s="12" t="s">
        <v>4436</v>
      </c>
      <c r="C1598" s="12">
        <v>799</v>
      </c>
      <c r="D1598" s="12">
        <v>826</v>
      </c>
      <c r="E1598" s="12" t="s">
        <v>3943</v>
      </c>
      <c r="F1598" s="12">
        <v>11</v>
      </c>
      <c r="H1598" s="12" t="s">
        <v>3611</v>
      </c>
      <c r="I1598" s="41" t="s">
        <v>7380</v>
      </c>
      <c r="M1598" s="41" t="e">
        <f>VLOOKUP(I1598,错误mRNA总表!D:I,6,FALSE)</f>
        <v>#N/A</v>
      </c>
    </row>
    <row r="1599" spans="1:13" x14ac:dyDescent="0.2">
      <c r="A1599" s="12" t="s">
        <v>4138</v>
      </c>
      <c r="B1599" s="12" t="s">
        <v>3950</v>
      </c>
      <c r="C1599" s="12">
        <v>248562</v>
      </c>
      <c r="D1599" s="12">
        <v>248597</v>
      </c>
      <c r="E1599" s="12" t="s">
        <v>3940</v>
      </c>
      <c r="F1599" s="12">
        <v>2</v>
      </c>
      <c r="H1599" s="12" t="s">
        <v>3471</v>
      </c>
      <c r="I1599" s="41" t="s">
        <v>7381</v>
      </c>
      <c r="M1599" s="41" t="e">
        <f>VLOOKUP(I1599,错误mRNA总表!D:I,6,FALSE)</f>
        <v>#N/A</v>
      </c>
    </row>
    <row r="1600" spans="1:13" x14ac:dyDescent="0.2">
      <c r="A1600" s="12" t="s">
        <v>4814</v>
      </c>
      <c r="B1600" s="12" t="s">
        <v>3942</v>
      </c>
      <c r="C1600" s="12">
        <v>180682147</v>
      </c>
      <c r="D1600" s="12">
        <v>180682608</v>
      </c>
      <c r="E1600" s="12" t="s">
        <v>3943</v>
      </c>
      <c r="F1600" s="12">
        <v>1</v>
      </c>
      <c r="G1600" s="41" t="s">
        <v>186</v>
      </c>
      <c r="H1600" s="12" t="s">
        <v>6037</v>
      </c>
      <c r="I1600" s="41" t="s">
        <v>7382</v>
      </c>
      <c r="M1600" s="41" t="e">
        <f>VLOOKUP(I1600,错误mRNA总表!D:I,6,FALSE)</f>
        <v>#N/A</v>
      </c>
    </row>
    <row r="1601" spans="1:13" x14ac:dyDescent="0.2">
      <c r="A1601" s="12" t="s">
        <v>4815</v>
      </c>
      <c r="B1601" s="12" t="s">
        <v>3986</v>
      </c>
      <c r="C1601" s="12">
        <v>50879680</v>
      </c>
      <c r="D1601" s="12">
        <v>50881824</v>
      </c>
      <c r="E1601" s="12" t="s">
        <v>3940</v>
      </c>
      <c r="F1601" s="12">
        <v>3</v>
      </c>
      <c r="G1601" s="41" t="s">
        <v>50</v>
      </c>
      <c r="H1601" s="12" t="s">
        <v>1274</v>
      </c>
      <c r="I1601" s="41" t="s">
        <v>2288</v>
      </c>
      <c r="J1601" s="41" t="s">
        <v>2288</v>
      </c>
      <c r="K1601" s="41" t="str">
        <f>VLOOKUP(J1601,错误mRNA总表!D:J,7,FALSE)</f>
        <v>纠后正确，加1个氨基酸chr19:50881825-50885859</v>
      </c>
      <c r="L1601" s="41" t="s">
        <v>8347</v>
      </c>
      <c r="M1601" s="41">
        <f>VLOOKUP(I1601,错误mRNA总表!D:I,6,FALSE)</f>
        <v>0</v>
      </c>
    </row>
    <row r="1602" spans="1:13" x14ac:dyDescent="0.2">
      <c r="A1602" s="12" t="s">
        <v>4816</v>
      </c>
      <c r="B1602" s="12" t="s">
        <v>3957</v>
      </c>
      <c r="C1602" s="12">
        <v>65154041</v>
      </c>
      <c r="D1602" s="12">
        <v>65179814</v>
      </c>
      <c r="E1602" s="12" t="s">
        <v>3940</v>
      </c>
      <c r="F1602" s="12">
        <v>1</v>
      </c>
      <c r="G1602" s="41" t="s">
        <v>36</v>
      </c>
      <c r="H1602" s="12" t="s">
        <v>6420</v>
      </c>
      <c r="I1602" s="41" t="s">
        <v>7383</v>
      </c>
      <c r="M1602" s="41" t="e">
        <f>VLOOKUP(I1602,错误mRNA总表!D:I,6,FALSE)</f>
        <v>#N/A</v>
      </c>
    </row>
    <row r="1603" spans="1:13" x14ac:dyDescent="0.2">
      <c r="A1603" s="12" t="s">
        <v>4817</v>
      </c>
      <c r="B1603" s="12" t="s">
        <v>4055</v>
      </c>
      <c r="C1603" s="12">
        <v>6937572</v>
      </c>
      <c r="D1603" s="12">
        <v>6938024</v>
      </c>
      <c r="E1603" s="12" t="s">
        <v>3940</v>
      </c>
      <c r="F1603" s="12">
        <v>1</v>
      </c>
      <c r="G1603" s="41" t="s">
        <v>212</v>
      </c>
      <c r="H1603" s="12" t="s">
        <v>218</v>
      </c>
      <c r="I1603" s="41" t="s">
        <v>2173</v>
      </c>
      <c r="J1603" s="41" t="s">
        <v>2173</v>
      </c>
      <c r="K1603" s="41" t="str">
        <f>VLOOKUP(J1603,错误mRNA总表!D:J,7,FALSE)</f>
        <v>纠后正确</v>
      </c>
      <c r="L1603" s="41" t="s">
        <v>3763</v>
      </c>
      <c r="M1603" s="41">
        <f>VLOOKUP(I1603,错误mRNA总表!D:I,6,FALSE)</f>
        <v>0</v>
      </c>
    </row>
    <row r="1604" spans="1:13" x14ac:dyDescent="0.2">
      <c r="A1604" s="12" t="s">
        <v>4818</v>
      </c>
      <c r="B1604" s="12" t="s">
        <v>3986</v>
      </c>
      <c r="C1604" s="12">
        <v>58694356</v>
      </c>
      <c r="D1604" s="12">
        <v>58718361</v>
      </c>
      <c r="E1604" s="12" t="s">
        <v>3940</v>
      </c>
      <c r="F1604" s="12">
        <v>1</v>
      </c>
      <c r="G1604" s="41" t="s">
        <v>50</v>
      </c>
      <c r="H1604" s="12" t="s">
        <v>222</v>
      </c>
      <c r="I1604" s="41" t="s">
        <v>7384</v>
      </c>
      <c r="J1604" s="41" t="s">
        <v>2208</v>
      </c>
      <c r="K1604" s="41" t="str">
        <f>VLOOKUP(J1604,错误mRNA总表!D:J,7,FALSE)</f>
        <v>纠后正确，utr略有变化，版本不一致</v>
      </c>
      <c r="M1604" s="41" t="e">
        <f>VLOOKUP(I1604,错误mRNA总表!D:I,6,FALSE)</f>
        <v>#N/A</v>
      </c>
    </row>
    <row r="1605" spans="1:13" x14ac:dyDescent="0.2">
      <c r="A1605" s="12" t="s">
        <v>4430</v>
      </c>
      <c r="B1605" s="12" t="s">
        <v>4273</v>
      </c>
      <c r="C1605" s="12">
        <v>166178</v>
      </c>
      <c r="D1605" s="12">
        <v>169309</v>
      </c>
      <c r="E1605" s="12" t="s">
        <v>3943</v>
      </c>
      <c r="F1605" s="12">
        <v>3</v>
      </c>
      <c r="H1605" s="12" t="s">
        <v>3651</v>
      </c>
      <c r="I1605" s="41" t="s">
        <v>7013</v>
      </c>
      <c r="M1605" s="41" t="e">
        <f>VLOOKUP(I1605,错误mRNA总表!D:I,6,FALSE)</f>
        <v>#N/A</v>
      </c>
    </row>
    <row r="1606" spans="1:13" x14ac:dyDescent="0.2">
      <c r="A1606" s="12" t="s">
        <v>4819</v>
      </c>
      <c r="B1606" s="12" t="s">
        <v>4052</v>
      </c>
      <c r="C1606" s="12">
        <v>97890379</v>
      </c>
      <c r="D1606" s="12">
        <v>97920100</v>
      </c>
      <c r="E1606" s="12" t="s">
        <v>3940</v>
      </c>
      <c r="F1606" s="12">
        <v>1</v>
      </c>
      <c r="G1606" s="41" t="s">
        <v>93</v>
      </c>
      <c r="H1606" s="12" t="s">
        <v>6038</v>
      </c>
      <c r="I1606" s="41" t="s">
        <v>7385</v>
      </c>
      <c r="M1606" s="41" t="e">
        <f>VLOOKUP(I1606,错误mRNA总表!D:I,6,FALSE)</f>
        <v>#N/A</v>
      </c>
    </row>
    <row r="1607" spans="1:13" x14ac:dyDescent="0.2">
      <c r="A1607" s="12" t="s">
        <v>4820</v>
      </c>
      <c r="B1607" s="12" t="s">
        <v>4378</v>
      </c>
      <c r="C1607" s="12">
        <v>7274</v>
      </c>
      <c r="D1607" s="12">
        <v>7304</v>
      </c>
      <c r="E1607" s="12" t="s">
        <v>3940</v>
      </c>
      <c r="F1607" s="12">
        <v>317</v>
      </c>
      <c r="H1607" s="12" t="s">
        <v>3487</v>
      </c>
      <c r="I1607" s="41" t="s">
        <v>7386</v>
      </c>
      <c r="M1607" s="41" t="e">
        <f>VLOOKUP(I1607,错误mRNA总表!D:I,6,FALSE)</f>
        <v>#N/A</v>
      </c>
    </row>
    <row r="1608" spans="1:13" x14ac:dyDescent="0.2">
      <c r="A1608" s="12" t="s">
        <v>4820</v>
      </c>
      <c r="B1608" s="12" t="s">
        <v>4378</v>
      </c>
      <c r="C1608" s="12">
        <v>7274</v>
      </c>
      <c r="D1608" s="12">
        <v>7284</v>
      </c>
      <c r="E1608" s="12" t="s">
        <v>3940</v>
      </c>
      <c r="F1608" s="12">
        <v>1</v>
      </c>
      <c r="H1608" s="12" t="s">
        <v>3487</v>
      </c>
      <c r="I1608" s="41" t="s">
        <v>7386</v>
      </c>
      <c r="M1608" s="41" t="e">
        <f>VLOOKUP(I1608,错误mRNA总表!D:I,6,FALSE)</f>
        <v>#N/A</v>
      </c>
    </row>
    <row r="1609" spans="1:13" x14ac:dyDescent="0.2">
      <c r="A1609" s="12" t="s">
        <v>4820</v>
      </c>
      <c r="B1609" s="12" t="s">
        <v>4378</v>
      </c>
      <c r="C1609" s="12">
        <v>7274</v>
      </c>
      <c r="D1609" s="12">
        <v>7289</v>
      </c>
      <c r="E1609" s="12" t="s">
        <v>3940</v>
      </c>
      <c r="F1609" s="12">
        <v>1</v>
      </c>
      <c r="H1609" s="12" t="s">
        <v>3487</v>
      </c>
      <c r="I1609" s="41" t="s">
        <v>7386</v>
      </c>
      <c r="M1609" s="41" t="e">
        <f>VLOOKUP(I1609,错误mRNA总表!D:I,6,FALSE)</f>
        <v>#N/A</v>
      </c>
    </row>
    <row r="1610" spans="1:13" x14ac:dyDescent="0.2">
      <c r="A1610" s="12" t="s">
        <v>4820</v>
      </c>
      <c r="B1610" s="12" t="s">
        <v>4378</v>
      </c>
      <c r="C1610" s="12">
        <v>7274</v>
      </c>
      <c r="D1610" s="12">
        <v>7302</v>
      </c>
      <c r="E1610" s="12" t="s">
        <v>3943</v>
      </c>
      <c r="F1610" s="12">
        <v>1</v>
      </c>
      <c r="H1610" s="12" t="s">
        <v>3487</v>
      </c>
      <c r="I1610" s="41" t="s">
        <v>7386</v>
      </c>
      <c r="M1610" s="41" t="e">
        <f>VLOOKUP(I1610,错误mRNA总表!D:I,6,FALSE)</f>
        <v>#N/A</v>
      </c>
    </row>
    <row r="1611" spans="1:13" x14ac:dyDescent="0.2">
      <c r="A1611" s="12" t="s">
        <v>4820</v>
      </c>
      <c r="B1611" s="12" t="s">
        <v>4378</v>
      </c>
      <c r="C1611" s="12">
        <v>7274</v>
      </c>
      <c r="D1611" s="12">
        <v>14121</v>
      </c>
      <c r="E1611" s="12" t="s">
        <v>3940</v>
      </c>
      <c r="F1611" s="12">
        <v>45</v>
      </c>
      <c r="H1611" s="12" t="s">
        <v>3487</v>
      </c>
      <c r="I1611" s="41" t="s">
        <v>7386</v>
      </c>
      <c r="M1611" s="41" t="e">
        <f>VLOOKUP(I1611,错误mRNA总表!D:I,6,FALSE)</f>
        <v>#N/A</v>
      </c>
    </row>
    <row r="1612" spans="1:13" x14ac:dyDescent="0.2">
      <c r="A1612" s="12" t="s">
        <v>4568</v>
      </c>
      <c r="B1612" s="12" t="s">
        <v>3989</v>
      </c>
      <c r="C1612" s="12">
        <v>4055993</v>
      </c>
      <c r="D1612" s="12">
        <v>4063174</v>
      </c>
      <c r="E1612" s="12" t="s">
        <v>3943</v>
      </c>
      <c r="F1612" s="12">
        <v>3</v>
      </c>
      <c r="H1612" s="12" t="s">
        <v>3581</v>
      </c>
      <c r="I1612" s="41" t="s">
        <v>7387</v>
      </c>
      <c r="M1612" s="41" t="e">
        <f>VLOOKUP(I1612,错误mRNA总表!D:I,6,FALSE)</f>
        <v>#N/A</v>
      </c>
    </row>
    <row r="1613" spans="1:13" x14ac:dyDescent="0.2">
      <c r="A1613" s="12" t="s">
        <v>4238</v>
      </c>
      <c r="B1613" s="12" t="s">
        <v>4001</v>
      </c>
      <c r="C1613" s="12">
        <v>4080359</v>
      </c>
      <c r="D1613" s="12">
        <v>4082675</v>
      </c>
      <c r="E1613" s="12" t="s">
        <v>3940</v>
      </c>
      <c r="F1613" s="12">
        <v>177</v>
      </c>
      <c r="H1613" s="12" t="s">
        <v>5839</v>
      </c>
      <c r="I1613" s="41" t="s">
        <v>7388</v>
      </c>
      <c r="M1613" s="41" t="e">
        <f>VLOOKUP(I1613,错误mRNA总表!D:I,6,FALSE)</f>
        <v>#N/A</v>
      </c>
    </row>
    <row r="1614" spans="1:13" x14ac:dyDescent="0.2">
      <c r="A1614" s="12" t="s">
        <v>4238</v>
      </c>
      <c r="B1614" s="12" t="s">
        <v>4001</v>
      </c>
      <c r="C1614" s="12">
        <v>4080359</v>
      </c>
      <c r="D1614" s="12">
        <v>4083448</v>
      </c>
      <c r="E1614" s="12" t="s">
        <v>3943</v>
      </c>
      <c r="F1614" s="12">
        <v>10</v>
      </c>
      <c r="H1614" s="12" t="s">
        <v>5839</v>
      </c>
      <c r="I1614" s="41" t="s">
        <v>7388</v>
      </c>
      <c r="M1614" s="41" t="e">
        <f>VLOOKUP(I1614,错误mRNA总表!D:I,6,FALSE)</f>
        <v>#N/A</v>
      </c>
    </row>
    <row r="1615" spans="1:13" x14ac:dyDescent="0.2">
      <c r="A1615" s="12" t="s">
        <v>4294</v>
      </c>
      <c r="B1615" s="12" t="s">
        <v>4001</v>
      </c>
      <c r="C1615" s="12">
        <v>928284</v>
      </c>
      <c r="D1615" s="12">
        <v>943634</v>
      </c>
      <c r="E1615" s="12" t="s">
        <v>3943</v>
      </c>
      <c r="F1615" s="12">
        <v>4</v>
      </c>
      <c r="H1615" s="12" t="s">
        <v>3525</v>
      </c>
      <c r="I1615" s="41" t="s">
        <v>7389</v>
      </c>
      <c r="M1615" s="41" t="e">
        <f>VLOOKUP(I1615,错误mRNA总表!D:I,6,FALSE)</f>
        <v>#N/A</v>
      </c>
    </row>
    <row r="1616" spans="1:13" x14ac:dyDescent="0.2">
      <c r="A1616" s="12" t="s">
        <v>4821</v>
      </c>
      <c r="B1616" s="12" t="s">
        <v>4012</v>
      </c>
      <c r="C1616" s="12">
        <v>135800</v>
      </c>
      <c r="D1616" s="12">
        <v>138772</v>
      </c>
      <c r="E1616" s="12" t="s">
        <v>3940</v>
      </c>
      <c r="F1616" s="12">
        <v>1</v>
      </c>
      <c r="G1616" s="41" t="s">
        <v>121</v>
      </c>
      <c r="H1616" s="12" t="s">
        <v>197</v>
      </c>
      <c r="I1616" s="41" t="s">
        <v>2181</v>
      </c>
      <c r="J1616" s="41" t="s">
        <v>2181</v>
      </c>
      <c r="K1616" s="41" t="str">
        <f>VLOOKUP(J1616,错误mRNA总表!D:J,7,FALSE)</f>
        <v>纠后正确</v>
      </c>
      <c r="L1616" s="41" t="s">
        <v>3763</v>
      </c>
      <c r="M1616" s="41">
        <f>VLOOKUP(I1616,错误mRNA总表!D:I,6,FALSE)</f>
        <v>0</v>
      </c>
    </row>
    <row r="1617" spans="1:13" x14ac:dyDescent="0.2">
      <c r="A1617" s="12" t="s">
        <v>4691</v>
      </c>
      <c r="B1617" s="12" t="s">
        <v>3996</v>
      </c>
      <c r="C1617" s="12">
        <v>1143559</v>
      </c>
      <c r="D1617" s="12">
        <v>1158907</v>
      </c>
      <c r="E1617" s="12" t="s">
        <v>3943</v>
      </c>
      <c r="F1617" s="12">
        <v>8</v>
      </c>
      <c r="H1617" s="12" t="s">
        <v>3529</v>
      </c>
      <c r="I1617" s="41" t="s">
        <v>7390</v>
      </c>
      <c r="M1617" s="41" t="e">
        <f>VLOOKUP(I1617,错误mRNA总表!D:I,6,FALSE)</f>
        <v>#N/A</v>
      </c>
    </row>
    <row r="1618" spans="1:13" x14ac:dyDescent="0.2">
      <c r="A1618" s="12" t="s">
        <v>3988</v>
      </c>
      <c r="B1618" s="12" t="s">
        <v>3964</v>
      </c>
      <c r="C1618" s="12">
        <v>2514037</v>
      </c>
      <c r="D1618" s="12">
        <v>2515502</v>
      </c>
      <c r="E1618" s="12" t="s">
        <v>3943</v>
      </c>
      <c r="F1618" s="12">
        <v>6</v>
      </c>
      <c r="H1618" s="12" t="s">
        <v>5778</v>
      </c>
      <c r="I1618" s="41" t="s">
        <v>7391</v>
      </c>
      <c r="M1618" s="41" t="e">
        <f>VLOOKUP(I1618,错误mRNA总表!D:I,6,FALSE)</f>
        <v>#N/A</v>
      </c>
    </row>
    <row r="1619" spans="1:13" x14ac:dyDescent="0.2">
      <c r="A1619" s="12" t="s">
        <v>3988</v>
      </c>
      <c r="B1619" s="12" t="s">
        <v>3964</v>
      </c>
      <c r="C1619" s="12">
        <v>2514037</v>
      </c>
      <c r="D1619" s="12">
        <v>2515551</v>
      </c>
      <c r="E1619" s="12" t="s">
        <v>3943</v>
      </c>
      <c r="F1619" s="12">
        <v>2</v>
      </c>
      <c r="H1619" s="12" t="s">
        <v>5778</v>
      </c>
      <c r="I1619" s="41" t="s">
        <v>7391</v>
      </c>
      <c r="M1619" s="41" t="e">
        <f>VLOOKUP(I1619,错误mRNA总表!D:I,6,FALSE)</f>
        <v>#N/A</v>
      </c>
    </row>
    <row r="1620" spans="1:13" x14ac:dyDescent="0.2">
      <c r="A1620" s="12" t="s">
        <v>3988</v>
      </c>
      <c r="B1620" s="12" t="s">
        <v>3964</v>
      </c>
      <c r="C1620" s="12">
        <v>2514037</v>
      </c>
      <c r="D1620" s="12">
        <v>2516051</v>
      </c>
      <c r="E1620" s="12" t="s">
        <v>3943</v>
      </c>
      <c r="F1620" s="12">
        <v>3</v>
      </c>
      <c r="H1620" s="12" t="s">
        <v>5778</v>
      </c>
      <c r="I1620" s="41" t="s">
        <v>7391</v>
      </c>
      <c r="M1620" s="41" t="e">
        <f>VLOOKUP(I1620,错误mRNA总表!D:I,6,FALSE)</f>
        <v>#N/A</v>
      </c>
    </row>
    <row r="1621" spans="1:13" x14ac:dyDescent="0.2">
      <c r="A1621" s="12" t="s">
        <v>3988</v>
      </c>
      <c r="B1621" s="12" t="s">
        <v>3964</v>
      </c>
      <c r="C1621" s="12">
        <v>2514037</v>
      </c>
      <c r="D1621" s="12">
        <v>2516375</v>
      </c>
      <c r="E1621" s="12" t="s">
        <v>3940</v>
      </c>
      <c r="F1621" s="12">
        <v>1</v>
      </c>
      <c r="H1621" s="12" t="s">
        <v>5778</v>
      </c>
      <c r="I1621" s="41" t="s">
        <v>7391</v>
      </c>
      <c r="M1621" s="41" t="e">
        <f>VLOOKUP(I1621,错误mRNA总表!D:I,6,FALSE)</f>
        <v>#N/A</v>
      </c>
    </row>
    <row r="1622" spans="1:13" x14ac:dyDescent="0.2">
      <c r="A1622" s="12" t="s">
        <v>3988</v>
      </c>
      <c r="B1622" s="12" t="s">
        <v>3964</v>
      </c>
      <c r="C1622" s="12">
        <v>2514037</v>
      </c>
      <c r="D1622" s="12">
        <v>2516656</v>
      </c>
      <c r="E1622" s="12" t="s">
        <v>3943</v>
      </c>
      <c r="F1622" s="12">
        <v>3</v>
      </c>
      <c r="H1622" s="12" t="s">
        <v>5778</v>
      </c>
      <c r="I1622" s="41" t="s">
        <v>7391</v>
      </c>
      <c r="M1622" s="41" t="e">
        <f>VLOOKUP(I1622,错误mRNA总表!D:I,6,FALSE)</f>
        <v>#N/A</v>
      </c>
    </row>
    <row r="1623" spans="1:13" x14ac:dyDescent="0.2">
      <c r="A1623" s="12" t="s">
        <v>4822</v>
      </c>
      <c r="B1623" s="12" t="s">
        <v>3948</v>
      </c>
      <c r="C1623" s="12">
        <v>100450341</v>
      </c>
      <c r="D1623" s="12">
        <v>100450408</v>
      </c>
      <c r="E1623" s="12" t="s">
        <v>3940</v>
      </c>
      <c r="F1623" s="12">
        <v>1</v>
      </c>
      <c r="G1623" s="41" t="s">
        <v>40</v>
      </c>
      <c r="H1623" s="12" t="s">
        <v>6039</v>
      </c>
      <c r="I1623" s="41" t="s">
        <v>7392</v>
      </c>
      <c r="M1623" s="41" t="e">
        <f>VLOOKUP(I1623,错误mRNA总表!D:I,6,FALSE)</f>
        <v>#N/A</v>
      </c>
    </row>
    <row r="1624" spans="1:13" x14ac:dyDescent="0.2">
      <c r="A1624" s="12" t="s">
        <v>4823</v>
      </c>
      <c r="B1624" s="12" t="s">
        <v>4023</v>
      </c>
      <c r="C1624" s="12">
        <v>596066</v>
      </c>
      <c r="D1624" s="12">
        <v>759494</v>
      </c>
      <c r="E1624" s="12" t="s">
        <v>3943</v>
      </c>
      <c r="F1624" s="12">
        <v>7</v>
      </c>
      <c r="H1624" s="12" t="s">
        <v>1183</v>
      </c>
      <c r="I1624" s="41" t="s">
        <v>7393</v>
      </c>
      <c r="J1624" s="41" t="s">
        <v>3036</v>
      </c>
      <c r="K1624" s="41" t="str">
        <f>VLOOKUP(J1624,错误mRNA总表!D:J,7,FALSE)</f>
        <v/>
      </c>
      <c r="M1624" s="41" t="e">
        <f>VLOOKUP(I1624,错误mRNA总表!D:I,6,FALSE)</f>
        <v>#N/A</v>
      </c>
    </row>
    <row r="1625" spans="1:13" x14ac:dyDescent="0.2">
      <c r="A1625" s="12" t="s">
        <v>4823</v>
      </c>
      <c r="B1625" s="12" t="s">
        <v>4023</v>
      </c>
      <c r="C1625" s="12">
        <v>596066</v>
      </c>
      <c r="D1625" s="12">
        <v>760377</v>
      </c>
      <c r="E1625" s="12" t="s">
        <v>3943</v>
      </c>
      <c r="F1625" s="12">
        <v>1</v>
      </c>
      <c r="H1625" s="12" t="s">
        <v>1183</v>
      </c>
      <c r="I1625" s="41" t="s">
        <v>7393</v>
      </c>
      <c r="J1625" s="41" t="s">
        <v>3036</v>
      </c>
      <c r="K1625" s="41" t="str">
        <f>VLOOKUP(J1625,错误mRNA总表!D:J,7,FALSE)</f>
        <v/>
      </c>
      <c r="M1625" s="41" t="e">
        <f>VLOOKUP(I1625,错误mRNA总表!D:I,6,FALSE)</f>
        <v>#N/A</v>
      </c>
    </row>
    <row r="1626" spans="1:13" x14ac:dyDescent="0.2">
      <c r="A1626" s="12" t="s">
        <v>4823</v>
      </c>
      <c r="B1626" s="12" t="s">
        <v>4023</v>
      </c>
      <c r="C1626" s="12">
        <v>596066</v>
      </c>
      <c r="D1626" s="12">
        <v>760470</v>
      </c>
      <c r="E1626" s="12" t="s">
        <v>3940</v>
      </c>
      <c r="F1626" s="12">
        <v>1</v>
      </c>
      <c r="H1626" s="12" t="s">
        <v>1183</v>
      </c>
      <c r="I1626" s="41" t="s">
        <v>7393</v>
      </c>
      <c r="J1626" s="41" t="s">
        <v>3036</v>
      </c>
      <c r="K1626" s="41" t="str">
        <f>VLOOKUP(J1626,错误mRNA总表!D:J,7,FALSE)</f>
        <v/>
      </c>
      <c r="M1626" s="41" t="e">
        <f>VLOOKUP(I1626,错误mRNA总表!D:I,6,FALSE)</f>
        <v>#N/A</v>
      </c>
    </row>
    <row r="1627" spans="1:13" x14ac:dyDescent="0.2">
      <c r="A1627" s="12" t="s">
        <v>4823</v>
      </c>
      <c r="B1627" s="12" t="s">
        <v>4023</v>
      </c>
      <c r="C1627" s="12">
        <v>596066</v>
      </c>
      <c r="D1627" s="12">
        <v>760495</v>
      </c>
      <c r="E1627" s="12" t="s">
        <v>3940</v>
      </c>
      <c r="F1627" s="12">
        <v>1</v>
      </c>
      <c r="H1627" s="12" t="s">
        <v>1183</v>
      </c>
      <c r="I1627" s="41" t="s">
        <v>7393</v>
      </c>
      <c r="J1627" s="41" t="s">
        <v>3036</v>
      </c>
      <c r="K1627" s="41" t="str">
        <f>VLOOKUP(J1627,错误mRNA总表!D:J,7,FALSE)</f>
        <v/>
      </c>
      <c r="M1627" s="41" t="e">
        <f>VLOOKUP(I1627,错误mRNA总表!D:I,6,FALSE)</f>
        <v>#N/A</v>
      </c>
    </row>
    <row r="1628" spans="1:13" x14ac:dyDescent="0.2">
      <c r="A1628" s="12" t="s">
        <v>4823</v>
      </c>
      <c r="B1628" s="12" t="s">
        <v>4023</v>
      </c>
      <c r="C1628" s="12">
        <v>596066</v>
      </c>
      <c r="D1628" s="12">
        <v>760660</v>
      </c>
      <c r="E1628" s="12" t="s">
        <v>3940</v>
      </c>
      <c r="F1628" s="12">
        <v>1</v>
      </c>
      <c r="H1628" s="12" t="s">
        <v>1183</v>
      </c>
      <c r="I1628" s="41" t="s">
        <v>7393</v>
      </c>
      <c r="J1628" s="41" t="s">
        <v>3036</v>
      </c>
      <c r="K1628" s="41" t="str">
        <f>VLOOKUP(J1628,错误mRNA总表!D:J,7,FALSE)</f>
        <v/>
      </c>
      <c r="M1628" s="41" t="e">
        <f>VLOOKUP(I1628,错误mRNA总表!D:I,6,FALSE)</f>
        <v>#N/A</v>
      </c>
    </row>
    <row r="1629" spans="1:13" x14ac:dyDescent="0.2">
      <c r="A1629" s="12" t="s">
        <v>4824</v>
      </c>
      <c r="B1629" s="12" t="s">
        <v>4460</v>
      </c>
      <c r="C1629" s="12">
        <v>16258</v>
      </c>
      <c r="D1629" s="12">
        <v>34491</v>
      </c>
      <c r="E1629" s="12" t="s">
        <v>3940</v>
      </c>
      <c r="F1629" s="12">
        <v>1069</v>
      </c>
      <c r="H1629" s="12" t="s">
        <v>3626</v>
      </c>
      <c r="I1629" s="41" t="s">
        <v>7394</v>
      </c>
      <c r="M1629" s="41" t="e">
        <f>VLOOKUP(I1629,错误mRNA总表!D:I,6,FALSE)</f>
        <v>#N/A</v>
      </c>
    </row>
    <row r="1630" spans="1:13" x14ac:dyDescent="0.2">
      <c r="A1630" s="12" t="s">
        <v>4824</v>
      </c>
      <c r="B1630" s="12" t="s">
        <v>4460</v>
      </c>
      <c r="C1630" s="12">
        <v>16258</v>
      </c>
      <c r="D1630" s="12">
        <v>31372</v>
      </c>
      <c r="E1630" s="12" t="s">
        <v>3940</v>
      </c>
      <c r="F1630" s="12">
        <v>255</v>
      </c>
      <c r="H1630" s="12" t="s">
        <v>3626</v>
      </c>
      <c r="I1630" s="41" t="s">
        <v>7394</v>
      </c>
      <c r="M1630" s="41" t="e">
        <f>VLOOKUP(I1630,错误mRNA总表!D:I,6,FALSE)</f>
        <v>#N/A</v>
      </c>
    </row>
    <row r="1631" spans="1:13" x14ac:dyDescent="0.2">
      <c r="A1631" s="12" t="s">
        <v>4824</v>
      </c>
      <c r="B1631" s="12" t="s">
        <v>4460</v>
      </c>
      <c r="C1631" s="12">
        <v>16258</v>
      </c>
      <c r="D1631" s="12">
        <v>34482</v>
      </c>
      <c r="E1631" s="12" t="s">
        <v>3943</v>
      </c>
      <c r="F1631" s="12">
        <v>1</v>
      </c>
      <c r="H1631" s="12" t="s">
        <v>3626</v>
      </c>
      <c r="I1631" s="41" t="s">
        <v>7394</v>
      </c>
      <c r="M1631" s="41" t="e">
        <f>VLOOKUP(I1631,错误mRNA总表!D:I,6,FALSE)</f>
        <v>#N/A</v>
      </c>
    </row>
    <row r="1632" spans="1:13" x14ac:dyDescent="0.2">
      <c r="A1632" s="12" t="s">
        <v>4824</v>
      </c>
      <c r="B1632" s="12" t="s">
        <v>4460</v>
      </c>
      <c r="C1632" s="12">
        <v>16258</v>
      </c>
      <c r="D1632" s="12">
        <v>27998</v>
      </c>
      <c r="E1632" s="12" t="s">
        <v>3940</v>
      </c>
      <c r="F1632" s="12">
        <v>813</v>
      </c>
      <c r="H1632" s="12" t="s">
        <v>3626</v>
      </c>
      <c r="I1632" s="41" t="s">
        <v>7394</v>
      </c>
      <c r="M1632" s="41" t="e">
        <f>VLOOKUP(I1632,错误mRNA总表!D:I,6,FALSE)</f>
        <v>#N/A</v>
      </c>
    </row>
    <row r="1633" spans="1:13" x14ac:dyDescent="0.2">
      <c r="A1633" s="12" t="s">
        <v>4824</v>
      </c>
      <c r="B1633" s="12" t="s">
        <v>4460</v>
      </c>
      <c r="C1633" s="12">
        <v>16258</v>
      </c>
      <c r="D1633" s="12">
        <v>23858</v>
      </c>
      <c r="E1633" s="12" t="s">
        <v>3940</v>
      </c>
      <c r="F1633" s="12">
        <v>2129</v>
      </c>
      <c r="H1633" s="12" t="s">
        <v>3626</v>
      </c>
      <c r="I1633" s="41" t="s">
        <v>7394</v>
      </c>
      <c r="M1633" s="41" t="e">
        <f>VLOOKUP(I1633,错误mRNA总表!D:I,6,FALSE)</f>
        <v>#N/A</v>
      </c>
    </row>
    <row r="1634" spans="1:13" x14ac:dyDescent="0.2">
      <c r="A1634" s="12" t="s">
        <v>4824</v>
      </c>
      <c r="B1634" s="12" t="s">
        <v>4460</v>
      </c>
      <c r="C1634" s="12">
        <v>16258</v>
      </c>
      <c r="D1634" s="12">
        <v>27985</v>
      </c>
      <c r="E1634" s="12" t="s">
        <v>3940</v>
      </c>
      <c r="F1634" s="12">
        <v>2</v>
      </c>
      <c r="H1634" s="12" t="s">
        <v>3626</v>
      </c>
      <c r="I1634" s="41" t="s">
        <v>7394</v>
      </c>
      <c r="M1634" s="41" t="e">
        <f>VLOOKUP(I1634,错误mRNA总表!D:I,6,FALSE)</f>
        <v>#N/A</v>
      </c>
    </row>
    <row r="1635" spans="1:13" x14ac:dyDescent="0.2">
      <c r="A1635" s="12" t="s">
        <v>4824</v>
      </c>
      <c r="B1635" s="12" t="s">
        <v>4460</v>
      </c>
      <c r="C1635" s="12">
        <v>16258</v>
      </c>
      <c r="D1635" s="12">
        <v>21988</v>
      </c>
      <c r="E1635" s="12" t="s">
        <v>3940</v>
      </c>
      <c r="F1635" s="12">
        <v>557</v>
      </c>
      <c r="H1635" s="12" t="s">
        <v>3626</v>
      </c>
      <c r="I1635" s="41" t="s">
        <v>7394</v>
      </c>
      <c r="M1635" s="41" t="e">
        <f>VLOOKUP(I1635,错误mRNA总表!D:I,6,FALSE)</f>
        <v>#N/A</v>
      </c>
    </row>
    <row r="1636" spans="1:13" x14ac:dyDescent="0.2">
      <c r="A1636" s="12" t="s">
        <v>4824</v>
      </c>
      <c r="B1636" s="12" t="s">
        <v>4460</v>
      </c>
      <c r="C1636" s="12">
        <v>16258</v>
      </c>
      <c r="D1636" s="12">
        <v>23850</v>
      </c>
      <c r="E1636" s="12" t="s">
        <v>3943</v>
      </c>
      <c r="F1636" s="12">
        <v>1</v>
      </c>
      <c r="H1636" s="12" t="s">
        <v>3626</v>
      </c>
      <c r="I1636" s="41" t="s">
        <v>7394</v>
      </c>
      <c r="M1636" s="41" t="e">
        <f>VLOOKUP(I1636,错误mRNA总表!D:I,6,FALSE)</f>
        <v>#N/A</v>
      </c>
    </row>
    <row r="1637" spans="1:13" x14ac:dyDescent="0.2">
      <c r="A1637" s="12" t="s">
        <v>4824</v>
      </c>
      <c r="B1637" s="12" t="s">
        <v>4460</v>
      </c>
      <c r="C1637" s="12">
        <v>16258</v>
      </c>
      <c r="D1637" s="12">
        <v>16564</v>
      </c>
      <c r="E1637" s="12" t="s">
        <v>3940</v>
      </c>
      <c r="F1637" s="12">
        <v>1810</v>
      </c>
      <c r="H1637" s="12" t="s">
        <v>3626</v>
      </c>
      <c r="I1637" s="41" t="s">
        <v>7394</v>
      </c>
      <c r="M1637" s="41" t="e">
        <f>VLOOKUP(I1637,错误mRNA总表!D:I,6,FALSE)</f>
        <v>#N/A</v>
      </c>
    </row>
    <row r="1638" spans="1:13" x14ac:dyDescent="0.2">
      <c r="A1638" s="12" t="s">
        <v>4824</v>
      </c>
      <c r="B1638" s="12" t="s">
        <v>4460</v>
      </c>
      <c r="C1638" s="12">
        <v>16258</v>
      </c>
      <c r="D1638" s="12">
        <v>21941</v>
      </c>
      <c r="E1638" s="12" t="s">
        <v>3940</v>
      </c>
      <c r="F1638" s="12">
        <v>2</v>
      </c>
      <c r="H1638" s="12" t="s">
        <v>3626</v>
      </c>
      <c r="I1638" s="41" t="s">
        <v>7394</v>
      </c>
      <c r="M1638" s="41" t="e">
        <f>VLOOKUP(I1638,错误mRNA总表!D:I,6,FALSE)</f>
        <v>#N/A</v>
      </c>
    </row>
    <row r="1639" spans="1:13" x14ac:dyDescent="0.2">
      <c r="A1639" s="12" t="s">
        <v>4824</v>
      </c>
      <c r="B1639" s="12" t="s">
        <v>4460</v>
      </c>
      <c r="C1639" s="12">
        <v>16258</v>
      </c>
      <c r="D1639" s="12">
        <v>16270</v>
      </c>
      <c r="E1639" s="12" t="s">
        <v>3940</v>
      </c>
      <c r="F1639" s="12">
        <v>2</v>
      </c>
      <c r="H1639" s="12" t="s">
        <v>3626</v>
      </c>
      <c r="I1639" s="41" t="s">
        <v>7394</v>
      </c>
      <c r="M1639" s="41" t="e">
        <f>VLOOKUP(I1639,错误mRNA总表!D:I,6,FALSE)</f>
        <v>#N/A</v>
      </c>
    </row>
    <row r="1640" spans="1:13" x14ac:dyDescent="0.2">
      <c r="A1640" s="12" t="s">
        <v>4824</v>
      </c>
      <c r="B1640" s="12" t="s">
        <v>4460</v>
      </c>
      <c r="C1640" s="12">
        <v>16258</v>
      </c>
      <c r="D1640" s="12">
        <v>16301</v>
      </c>
      <c r="E1640" s="12" t="s">
        <v>3943</v>
      </c>
      <c r="F1640" s="12">
        <v>1</v>
      </c>
      <c r="H1640" s="12" t="s">
        <v>3626</v>
      </c>
      <c r="I1640" s="41" t="s">
        <v>7394</v>
      </c>
      <c r="M1640" s="41" t="e">
        <f>VLOOKUP(I1640,错误mRNA总表!D:I,6,FALSE)</f>
        <v>#N/A</v>
      </c>
    </row>
    <row r="1641" spans="1:13" x14ac:dyDescent="0.2">
      <c r="A1641" s="12" t="s">
        <v>4824</v>
      </c>
      <c r="B1641" s="12" t="s">
        <v>4460</v>
      </c>
      <c r="C1641" s="12">
        <v>16258</v>
      </c>
      <c r="D1641" s="12">
        <v>16433</v>
      </c>
      <c r="E1641" s="12" t="s">
        <v>3940</v>
      </c>
      <c r="F1641" s="12">
        <v>2</v>
      </c>
      <c r="H1641" s="12" t="s">
        <v>3626</v>
      </c>
      <c r="I1641" s="41" t="s">
        <v>7394</v>
      </c>
      <c r="M1641" s="41" t="e">
        <f>VLOOKUP(I1641,错误mRNA总表!D:I,6,FALSE)</f>
        <v>#N/A</v>
      </c>
    </row>
    <row r="1642" spans="1:13" x14ac:dyDescent="0.2">
      <c r="A1642" s="12" t="s">
        <v>4429</v>
      </c>
      <c r="B1642" s="12" t="s">
        <v>3994</v>
      </c>
      <c r="C1642" s="12">
        <v>1149832</v>
      </c>
      <c r="D1642" s="12">
        <v>1149874</v>
      </c>
      <c r="E1642" s="12" t="s">
        <v>3940</v>
      </c>
      <c r="F1642" s="12">
        <v>6</v>
      </c>
      <c r="H1642" s="12" t="s">
        <v>6398</v>
      </c>
      <c r="I1642" s="41" t="s">
        <v>7395</v>
      </c>
      <c r="M1642" s="41" t="e">
        <f>VLOOKUP(I1642,错误mRNA总表!D:I,6,FALSE)</f>
        <v>#N/A</v>
      </c>
    </row>
    <row r="1643" spans="1:13" x14ac:dyDescent="0.2">
      <c r="A1643" s="12" t="s">
        <v>4028</v>
      </c>
      <c r="B1643" s="12" t="s">
        <v>4098</v>
      </c>
      <c r="C1643" s="12">
        <v>134946</v>
      </c>
      <c r="D1643" s="12">
        <v>147927</v>
      </c>
      <c r="E1643" s="12" t="s">
        <v>3940</v>
      </c>
      <c r="F1643" s="12">
        <v>1</v>
      </c>
      <c r="H1643" s="12" t="s">
        <v>3649</v>
      </c>
      <c r="I1643" s="41" t="s">
        <v>6633</v>
      </c>
      <c r="M1643" s="41" t="e">
        <f>VLOOKUP(I1643,错误mRNA总表!D:I,6,FALSE)</f>
        <v>#N/A</v>
      </c>
    </row>
    <row r="1644" spans="1:13" x14ac:dyDescent="0.2">
      <c r="A1644" s="12" t="s">
        <v>4028</v>
      </c>
      <c r="B1644" s="12" t="s">
        <v>4098</v>
      </c>
      <c r="C1644" s="12">
        <v>134946</v>
      </c>
      <c r="D1644" s="12">
        <v>135009</v>
      </c>
      <c r="E1644" s="12" t="s">
        <v>3940</v>
      </c>
      <c r="F1644" s="12">
        <v>1</v>
      </c>
      <c r="H1644" s="12" t="s">
        <v>3649</v>
      </c>
      <c r="I1644" s="41" t="s">
        <v>6633</v>
      </c>
      <c r="M1644" s="41" t="e">
        <f>VLOOKUP(I1644,错误mRNA总表!D:I,6,FALSE)</f>
        <v>#N/A</v>
      </c>
    </row>
    <row r="1645" spans="1:13" x14ac:dyDescent="0.2">
      <c r="A1645" s="12" t="s">
        <v>4825</v>
      </c>
      <c r="B1645" s="12" t="s">
        <v>3957</v>
      </c>
      <c r="C1645" s="12">
        <v>112831969</v>
      </c>
      <c r="D1645" s="12">
        <v>112832308</v>
      </c>
      <c r="E1645" s="12" t="s">
        <v>3940</v>
      </c>
      <c r="F1645" s="12">
        <v>1</v>
      </c>
      <c r="G1645" s="41" t="s">
        <v>36</v>
      </c>
      <c r="H1645" s="12" t="s">
        <v>983</v>
      </c>
      <c r="I1645" s="41" t="s">
        <v>3363</v>
      </c>
      <c r="J1645" s="41" t="s">
        <v>3363</v>
      </c>
      <c r="K1645" s="41" t="str">
        <f>VLOOKUP(J1645,错误mRNA总表!D:J,7,FALSE)</f>
        <v>纠后正确</v>
      </c>
      <c r="L1645" s="41" t="s">
        <v>3763</v>
      </c>
      <c r="M1645" s="41">
        <f>VLOOKUP(I1645,错误mRNA总表!D:I,6,FALSE)</f>
        <v>0</v>
      </c>
    </row>
    <row r="1646" spans="1:13" x14ac:dyDescent="0.2">
      <c r="A1646" s="12" t="s">
        <v>4825</v>
      </c>
      <c r="B1646" s="12" t="s">
        <v>3957</v>
      </c>
      <c r="C1646" s="12">
        <v>112831969</v>
      </c>
      <c r="D1646" s="12">
        <v>112832339</v>
      </c>
      <c r="E1646" s="12" t="s">
        <v>3943</v>
      </c>
      <c r="F1646" s="12">
        <v>1</v>
      </c>
      <c r="G1646" s="41" t="s">
        <v>36</v>
      </c>
      <c r="H1646" s="12" t="s">
        <v>983</v>
      </c>
      <c r="I1646" s="41" t="s">
        <v>3363</v>
      </c>
      <c r="J1646" s="41" t="s">
        <v>3363</v>
      </c>
      <c r="K1646" s="41" t="str">
        <f>VLOOKUP(J1646,错误mRNA总表!D:J,7,FALSE)</f>
        <v>纠后正确</v>
      </c>
      <c r="L1646" s="41" t="s">
        <v>3763</v>
      </c>
      <c r="M1646" s="41">
        <f>VLOOKUP(I1646,错误mRNA总表!D:I,6,FALSE)</f>
        <v>0</v>
      </c>
    </row>
    <row r="1647" spans="1:13" x14ac:dyDescent="0.2">
      <c r="A1647" s="12" t="s">
        <v>4826</v>
      </c>
      <c r="B1647" s="12" t="s">
        <v>3942</v>
      </c>
      <c r="C1647" s="12">
        <v>175810940</v>
      </c>
      <c r="D1647" s="12">
        <v>175811094</v>
      </c>
      <c r="E1647" s="12" t="s">
        <v>3940</v>
      </c>
      <c r="F1647" s="12">
        <v>2</v>
      </c>
      <c r="G1647" s="41" t="s">
        <v>186</v>
      </c>
      <c r="H1647" s="12" t="s">
        <v>6040</v>
      </c>
      <c r="I1647" s="41" t="s">
        <v>7396</v>
      </c>
      <c r="M1647" s="41" t="e">
        <f>VLOOKUP(I1647,错误mRNA总表!D:I,6,FALSE)</f>
        <v>#N/A</v>
      </c>
    </row>
    <row r="1648" spans="1:13" x14ac:dyDescent="0.2">
      <c r="A1648" s="12" t="s">
        <v>4757</v>
      </c>
      <c r="B1648" s="12" t="s">
        <v>4061</v>
      </c>
      <c r="C1648" s="12">
        <v>777980</v>
      </c>
      <c r="D1648" s="12">
        <v>788058</v>
      </c>
      <c r="E1648" s="12" t="s">
        <v>3940</v>
      </c>
      <c r="F1648" s="12">
        <v>1</v>
      </c>
      <c r="H1648" s="12" t="s">
        <v>96</v>
      </c>
      <c r="I1648" s="41" t="s">
        <v>7397</v>
      </c>
      <c r="J1648" s="41" t="s">
        <v>2104</v>
      </c>
      <c r="K1648" s="41" t="str">
        <f>VLOOKUP(J1648,错误mRNA总表!D:J,7,FALSE)</f>
        <v>纠后与rs号一致,Browers与NCBIrs(rs774287963)不一致,chr19:55325146-55325566</v>
      </c>
      <c r="M1648" s="41" t="e">
        <f>VLOOKUP(I1648,错误mRNA总表!D:I,6,FALSE)</f>
        <v>#N/A</v>
      </c>
    </row>
    <row r="1649" spans="1:13" x14ac:dyDescent="0.2">
      <c r="A1649" s="12" t="s">
        <v>4827</v>
      </c>
      <c r="B1649" s="12" t="s">
        <v>4018</v>
      </c>
      <c r="C1649" s="12">
        <v>17907892</v>
      </c>
      <c r="D1649" s="12">
        <v>17981988</v>
      </c>
      <c r="E1649" s="12" t="s">
        <v>3940</v>
      </c>
      <c r="F1649" s="12">
        <v>1</v>
      </c>
      <c r="G1649" s="41" t="s">
        <v>241</v>
      </c>
      <c r="H1649" s="12" t="s">
        <v>6041</v>
      </c>
      <c r="I1649" s="41" t="s">
        <v>7398</v>
      </c>
      <c r="M1649" s="41" t="e">
        <f>VLOOKUP(I1649,错误mRNA总表!D:I,6,FALSE)</f>
        <v>#N/A</v>
      </c>
    </row>
    <row r="1650" spans="1:13" x14ac:dyDescent="0.2">
      <c r="A1650" s="12" t="s">
        <v>4828</v>
      </c>
      <c r="B1650" s="12" t="s">
        <v>3978</v>
      </c>
      <c r="C1650" s="12">
        <v>121796696</v>
      </c>
      <c r="D1650" s="12">
        <v>121838797</v>
      </c>
      <c r="E1650" s="12" t="s">
        <v>3943</v>
      </c>
      <c r="F1650" s="12">
        <v>2</v>
      </c>
      <c r="G1650" s="41" t="s">
        <v>86</v>
      </c>
      <c r="H1650" s="12" t="s">
        <v>543</v>
      </c>
      <c r="I1650" s="41" t="s">
        <v>2494</v>
      </c>
      <c r="J1650" s="41" t="s">
        <v>2494</v>
      </c>
      <c r="K1650" s="41" t="str">
        <f>VLOOKUP(J1650,错误mRNA总表!D:J,7,FALSE)</f>
        <v>无变化</v>
      </c>
      <c r="L1650" s="41" t="s">
        <v>3762</v>
      </c>
      <c r="M1650" s="41">
        <f>VLOOKUP(I1650,错误mRNA总表!D:I,6,FALSE)</f>
        <v>0</v>
      </c>
    </row>
    <row r="1651" spans="1:13" x14ac:dyDescent="0.2">
      <c r="A1651" s="12" t="s">
        <v>4829</v>
      </c>
      <c r="B1651" s="12" t="s">
        <v>3986</v>
      </c>
      <c r="C1651" s="12">
        <v>53935227</v>
      </c>
      <c r="D1651" s="12">
        <v>53952888</v>
      </c>
      <c r="E1651" s="12" t="s">
        <v>3943</v>
      </c>
      <c r="F1651" s="12">
        <v>1</v>
      </c>
      <c r="G1651" s="41" t="s">
        <v>50</v>
      </c>
      <c r="H1651" s="12" t="s">
        <v>6042</v>
      </c>
      <c r="I1651" s="41" t="s">
        <v>7399</v>
      </c>
      <c r="M1651" s="41" t="e">
        <f>VLOOKUP(I1651,错误mRNA总表!D:I,6,FALSE)</f>
        <v>#N/A</v>
      </c>
    </row>
    <row r="1652" spans="1:13" x14ac:dyDescent="0.2">
      <c r="A1652" s="12" t="s">
        <v>4830</v>
      </c>
      <c r="B1652" s="12" t="s">
        <v>3986</v>
      </c>
      <c r="C1652" s="12">
        <v>51461887</v>
      </c>
      <c r="D1652" s="12">
        <v>51471814</v>
      </c>
      <c r="E1652" s="12" t="s">
        <v>3940</v>
      </c>
      <c r="F1652" s="12">
        <v>1</v>
      </c>
      <c r="G1652" s="41" t="s">
        <v>50</v>
      </c>
      <c r="H1652" s="12" t="s">
        <v>6523</v>
      </c>
      <c r="I1652" s="41" t="s">
        <v>7400</v>
      </c>
      <c r="M1652" s="41" t="e">
        <f>VLOOKUP(I1652,错误mRNA总表!D:I,6,FALSE)</f>
        <v>#N/A</v>
      </c>
    </row>
    <row r="1653" spans="1:13" x14ac:dyDescent="0.2">
      <c r="A1653" s="12" t="s">
        <v>4831</v>
      </c>
      <c r="B1653" s="12" t="s">
        <v>4042</v>
      </c>
      <c r="C1653" s="12">
        <v>101886947</v>
      </c>
      <c r="D1653" s="12">
        <v>102029685</v>
      </c>
      <c r="E1653" s="12" t="s">
        <v>3940</v>
      </c>
      <c r="F1653" s="12">
        <v>2</v>
      </c>
      <c r="G1653" s="41" t="s">
        <v>113</v>
      </c>
      <c r="H1653" s="12" t="s">
        <v>116</v>
      </c>
      <c r="I1653" s="41" t="s">
        <v>2116</v>
      </c>
      <c r="J1653" s="41" t="s">
        <v>2116</v>
      </c>
      <c r="K1653" s="41" t="str">
        <f>VLOOKUP(J1653,错误mRNA总表!D:J,7,FALSE)</f>
        <v>纠后正确</v>
      </c>
      <c r="L1653" s="41" t="s">
        <v>3763</v>
      </c>
      <c r="M1653" s="41">
        <f>VLOOKUP(I1653,错误mRNA总表!D:I,6,FALSE)</f>
        <v>0</v>
      </c>
    </row>
    <row r="1654" spans="1:13" x14ac:dyDescent="0.2">
      <c r="A1654" s="12" t="s">
        <v>4463</v>
      </c>
      <c r="B1654" s="12" t="s">
        <v>4045</v>
      </c>
      <c r="C1654" s="12">
        <v>44262</v>
      </c>
      <c r="D1654" s="12">
        <v>50700</v>
      </c>
      <c r="E1654" s="12" t="s">
        <v>3943</v>
      </c>
      <c r="F1654" s="12">
        <v>16</v>
      </c>
      <c r="H1654" s="12" t="s">
        <v>5909</v>
      </c>
      <c r="I1654" s="41" t="s">
        <v>7048</v>
      </c>
      <c r="M1654" s="41" t="e">
        <f>VLOOKUP(I1654,错误mRNA总表!D:I,6,FALSE)</f>
        <v>#N/A</v>
      </c>
    </row>
    <row r="1655" spans="1:13" x14ac:dyDescent="0.2">
      <c r="A1655" s="12" t="s">
        <v>4159</v>
      </c>
      <c r="B1655" s="12" t="s">
        <v>3984</v>
      </c>
      <c r="C1655" s="12">
        <v>2427966</v>
      </c>
      <c r="D1655" s="12">
        <v>2429980</v>
      </c>
      <c r="E1655" s="12" t="s">
        <v>3943</v>
      </c>
      <c r="F1655" s="12">
        <v>3</v>
      </c>
      <c r="H1655" s="12" t="s">
        <v>671</v>
      </c>
      <c r="I1655" s="41" t="s">
        <v>7401</v>
      </c>
      <c r="J1655" s="41" t="s">
        <v>2608</v>
      </c>
      <c r="K1655" s="41" t="str">
        <f>VLOOKUP(J1655,错误mRNA总表!D:J,7,FALSE)</f>
        <v/>
      </c>
      <c r="M1655" s="41" t="e">
        <f>VLOOKUP(I1655,错误mRNA总表!D:I,6,FALSE)</f>
        <v>#N/A</v>
      </c>
    </row>
    <row r="1656" spans="1:13" x14ac:dyDescent="0.2">
      <c r="A1656" s="12" t="s">
        <v>4159</v>
      </c>
      <c r="B1656" s="12" t="s">
        <v>3984</v>
      </c>
      <c r="C1656" s="12">
        <v>2427966</v>
      </c>
      <c r="D1656" s="12">
        <v>2430304</v>
      </c>
      <c r="E1656" s="12" t="s">
        <v>3940</v>
      </c>
      <c r="F1656" s="12">
        <v>1</v>
      </c>
      <c r="H1656" s="12" t="s">
        <v>671</v>
      </c>
      <c r="I1656" s="41" t="s">
        <v>7401</v>
      </c>
      <c r="J1656" s="41" t="s">
        <v>2608</v>
      </c>
      <c r="K1656" s="41" t="str">
        <f>VLOOKUP(J1656,错误mRNA总表!D:J,7,FALSE)</f>
        <v/>
      </c>
      <c r="M1656" s="41" t="e">
        <f>VLOOKUP(I1656,错误mRNA总表!D:I,6,FALSE)</f>
        <v>#N/A</v>
      </c>
    </row>
    <row r="1657" spans="1:13" x14ac:dyDescent="0.2">
      <c r="A1657" s="12" t="s">
        <v>4159</v>
      </c>
      <c r="B1657" s="12" t="s">
        <v>3984</v>
      </c>
      <c r="C1657" s="12">
        <v>2427966</v>
      </c>
      <c r="D1657" s="12">
        <v>2430585</v>
      </c>
      <c r="E1657" s="12" t="s">
        <v>3943</v>
      </c>
      <c r="F1657" s="12">
        <v>3</v>
      </c>
      <c r="H1657" s="12" t="s">
        <v>671</v>
      </c>
      <c r="I1657" s="41" t="s">
        <v>7401</v>
      </c>
      <c r="J1657" s="41" t="s">
        <v>2608</v>
      </c>
      <c r="K1657" s="41" t="str">
        <f>VLOOKUP(J1657,错误mRNA总表!D:J,7,FALSE)</f>
        <v/>
      </c>
      <c r="M1657" s="41" t="e">
        <f>VLOOKUP(I1657,错误mRNA总表!D:I,6,FALSE)</f>
        <v>#N/A</v>
      </c>
    </row>
    <row r="1658" spans="1:13" x14ac:dyDescent="0.2">
      <c r="A1658" s="12" t="s">
        <v>4832</v>
      </c>
      <c r="B1658" s="12" t="s">
        <v>3948</v>
      </c>
      <c r="C1658" s="12">
        <v>130295818</v>
      </c>
      <c r="D1658" s="12">
        <v>130295823</v>
      </c>
      <c r="E1658" s="12" t="s">
        <v>3940</v>
      </c>
      <c r="F1658" s="12">
        <v>4</v>
      </c>
      <c r="G1658" s="41" t="s">
        <v>40</v>
      </c>
      <c r="H1658" s="12" t="s">
        <v>6043</v>
      </c>
      <c r="I1658" s="41" t="s">
        <v>7402</v>
      </c>
      <c r="M1658" s="41" t="e">
        <f>VLOOKUP(I1658,错误mRNA总表!D:I,6,FALSE)</f>
        <v>#N/A</v>
      </c>
    </row>
    <row r="1659" spans="1:13" x14ac:dyDescent="0.2">
      <c r="A1659" s="12" t="s">
        <v>4833</v>
      </c>
      <c r="B1659" s="12" t="s">
        <v>4047</v>
      </c>
      <c r="C1659" s="12">
        <v>21212994</v>
      </c>
      <c r="D1659" s="12">
        <v>21234870</v>
      </c>
      <c r="E1659" s="12" t="s">
        <v>3940</v>
      </c>
      <c r="F1659" s="12">
        <v>4</v>
      </c>
      <c r="G1659" s="41" t="s">
        <v>1409</v>
      </c>
      <c r="H1659" s="12" t="s">
        <v>6421</v>
      </c>
      <c r="I1659" s="41" t="s">
        <v>7005</v>
      </c>
      <c r="M1659" s="41" t="e">
        <f>VLOOKUP(I1659,错误mRNA总表!D:I,6,FALSE)</f>
        <v>#N/A</v>
      </c>
    </row>
    <row r="1660" spans="1:13" x14ac:dyDescent="0.2">
      <c r="A1660" s="12" t="s">
        <v>4833</v>
      </c>
      <c r="B1660" s="12" t="s">
        <v>4047</v>
      </c>
      <c r="C1660" s="12">
        <v>21212994</v>
      </c>
      <c r="D1660" s="12">
        <v>21220450</v>
      </c>
      <c r="E1660" s="12" t="s">
        <v>3943</v>
      </c>
      <c r="F1660" s="12">
        <v>2</v>
      </c>
      <c r="G1660" s="41" t="s">
        <v>1409</v>
      </c>
      <c r="H1660" s="12" t="s">
        <v>6421</v>
      </c>
      <c r="I1660" s="41" t="s">
        <v>7005</v>
      </c>
      <c r="M1660" s="41" t="e">
        <f>VLOOKUP(I1660,错误mRNA总表!D:I,6,FALSE)</f>
        <v>#N/A</v>
      </c>
    </row>
    <row r="1661" spans="1:13" x14ac:dyDescent="0.2">
      <c r="A1661" s="12" t="s">
        <v>4833</v>
      </c>
      <c r="B1661" s="12" t="s">
        <v>4047</v>
      </c>
      <c r="C1661" s="12">
        <v>21212994</v>
      </c>
      <c r="D1661" s="12">
        <v>21213336</v>
      </c>
      <c r="E1661" s="12" t="s">
        <v>3943</v>
      </c>
      <c r="F1661" s="12">
        <v>1</v>
      </c>
      <c r="G1661" s="41" t="s">
        <v>1409</v>
      </c>
      <c r="H1661" s="12" t="s">
        <v>6421</v>
      </c>
      <c r="I1661" s="41" t="s">
        <v>7005</v>
      </c>
      <c r="M1661" s="41" t="e">
        <f>VLOOKUP(I1661,错误mRNA总表!D:I,6,FALSE)</f>
        <v>#N/A</v>
      </c>
    </row>
    <row r="1662" spans="1:13" x14ac:dyDescent="0.2">
      <c r="A1662" s="12" t="s">
        <v>4834</v>
      </c>
      <c r="B1662" s="12" t="s">
        <v>4835</v>
      </c>
      <c r="C1662" s="12">
        <v>136347</v>
      </c>
      <c r="D1662" s="12">
        <v>278827</v>
      </c>
      <c r="E1662" s="12" t="s">
        <v>3940</v>
      </c>
      <c r="F1662" s="12">
        <v>271</v>
      </c>
      <c r="H1662" s="12" t="s">
        <v>3606</v>
      </c>
      <c r="I1662" s="41" t="s">
        <v>7403</v>
      </c>
      <c r="M1662" s="41" t="e">
        <f>VLOOKUP(I1662,错误mRNA总表!D:I,6,FALSE)</f>
        <v>#N/A</v>
      </c>
    </row>
    <row r="1663" spans="1:13" x14ac:dyDescent="0.2">
      <c r="A1663" s="12" t="s">
        <v>4834</v>
      </c>
      <c r="B1663" s="12" t="s">
        <v>4835</v>
      </c>
      <c r="C1663" s="12">
        <v>136347</v>
      </c>
      <c r="D1663" s="12">
        <v>278810</v>
      </c>
      <c r="E1663" s="12" t="s">
        <v>3943</v>
      </c>
      <c r="F1663" s="12">
        <v>2</v>
      </c>
      <c r="H1663" s="12" t="s">
        <v>3606</v>
      </c>
      <c r="I1663" s="41" t="s">
        <v>7403</v>
      </c>
      <c r="M1663" s="41" t="e">
        <f>VLOOKUP(I1663,错误mRNA总表!D:I,6,FALSE)</f>
        <v>#N/A</v>
      </c>
    </row>
    <row r="1664" spans="1:13" x14ac:dyDescent="0.2">
      <c r="A1664" s="12" t="s">
        <v>4834</v>
      </c>
      <c r="B1664" s="12" t="s">
        <v>4835</v>
      </c>
      <c r="C1664" s="12">
        <v>136347</v>
      </c>
      <c r="D1664" s="12">
        <v>278816</v>
      </c>
      <c r="E1664" s="12" t="s">
        <v>3943</v>
      </c>
      <c r="F1664" s="12">
        <v>4</v>
      </c>
      <c r="H1664" s="12" t="s">
        <v>3606</v>
      </c>
      <c r="I1664" s="41" t="s">
        <v>7403</v>
      </c>
      <c r="M1664" s="41" t="e">
        <f>VLOOKUP(I1664,错误mRNA总表!D:I,6,FALSE)</f>
        <v>#N/A</v>
      </c>
    </row>
    <row r="1665" spans="1:13" x14ac:dyDescent="0.2">
      <c r="A1665" s="12" t="s">
        <v>4834</v>
      </c>
      <c r="B1665" s="12" t="s">
        <v>4835</v>
      </c>
      <c r="C1665" s="12">
        <v>136347</v>
      </c>
      <c r="D1665" s="12">
        <v>283539</v>
      </c>
      <c r="E1665" s="12" t="s">
        <v>3940</v>
      </c>
      <c r="F1665" s="12">
        <v>3</v>
      </c>
      <c r="H1665" s="12" t="s">
        <v>3606</v>
      </c>
      <c r="I1665" s="41" t="s">
        <v>7403</v>
      </c>
      <c r="M1665" s="41" t="e">
        <f>VLOOKUP(I1665,错误mRNA总表!D:I,6,FALSE)</f>
        <v>#N/A</v>
      </c>
    </row>
    <row r="1666" spans="1:13" x14ac:dyDescent="0.2">
      <c r="A1666" s="12" t="s">
        <v>4015</v>
      </c>
      <c r="B1666" s="12" t="s">
        <v>3996</v>
      </c>
      <c r="C1666" s="12">
        <v>3135693</v>
      </c>
      <c r="D1666" s="12">
        <v>3136163</v>
      </c>
      <c r="E1666" s="12" t="s">
        <v>3943</v>
      </c>
      <c r="F1666" s="12">
        <v>1</v>
      </c>
      <c r="H1666" s="12" t="s">
        <v>3564</v>
      </c>
      <c r="I1666" s="41" t="s">
        <v>7404</v>
      </c>
      <c r="M1666" s="41" t="e">
        <f>VLOOKUP(I1666,错误mRNA总表!D:I,6,FALSE)</f>
        <v>#N/A</v>
      </c>
    </row>
    <row r="1667" spans="1:13" x14ac:dyDescent="0.2">
      <c r="A1667" s="12" t="s">
        <v>4019</v>
      </c>
      <c r="B1667" s="12" t="s">
        <v>3964</v>
      </c>
      <c r="C1667" s="12">
        <v>2514037</v>
      </c>
      <c r="D1667" s="12">
        <v>2516375</v>
      </c>
      <c r="E1667" s="12" t="s">
        <v>3940</v>
      </c>
      <c r="F1667" s="12">
        <v>1</v>
      </c>
      <c r="H1667" s="12" t="s">
        <v>670</v>
      </c>
      <c r="I1667" s="41" t="s">
        <v>6953</v>
      </c>
      <c r="J1667" s="41" t="s">
        <v>2607</v>
      </c>
      <c r="K1667" s="41" t="str">
        <f>VLOOKUP(J1667,错误mRNA总表!D:J,7,FALSE)</f>
        <v/>
      </c>
      <c r="M1667" s="41" t="e">
        <f>VLOOKUP(I1667,错误mRNA总表!D:I,6,FALSE)</f>
        <v>#N/A</v>
      </c>
    </row>
    <row r="1668" spans="1:13" x14ac:dyDescent="0.2">
      <c r="A1668" s="12" t="s">
        <v>4019</v>
      </c>
      <c r="B1668" s="12" t="s">
        <v>3964</v>
      </c>
      <c r="C1668" s="12">
        <v>2514037</v>
      </c>
      <c r="D1668" s="12">
        <v>2516656</v>
      </c>
      <c r="E1668" s="12" t="s">
        <v>3943</v>
      </c>
      <c r="F1668" s="12">
        <v>3</v>
      </c>
      <c r="H1668" s="12" t="s">
        <v>670</v>
      </c>
      <c r="I1668" s="41" t="s">
        <v>6953</v>
      </c>
      <c r="J1668" s="41" t="s">
        <v>2607</v>
      </c>
      <c r="K1668" s="41" t="str">
        <f>VLOOKUP(J1668,错误mRNA总表!D:J,7,FALSE)</f>
        <v/>
      </c>
      <c r="M1668" s="41" t="e">
        <f>VLOOKUP(I1668,错误mRNA总表!D:I,6,FALSE)</f>
        <v>#N/A</v>
      </c>
    </row>
    <row r="1669" spans="1:13" x14ac:dyDescent="0.2">
      <c r="A1669" s="12" t="s">
        <v>4836</v>
      </c>
      <c r="B1669" s="12" t="s">
        <v>4042</v>
      </c>
      <c r="C1669" s="12">
        <v>22051853</v>
      </c>
      <c r="D1669" s="12">
        <v>22082652</v>
      </c>
      <c r="E1669" s="12" t="s">
        <v>3940</v>
      </c>
      <c r="F1669" s="12">
        <v>111</v>
      </c>
      <c r="G1669" s="41" t="s">
        <v>113</v>
      </c>
      <c r="H1669" s="12" t="s">
        <v>3625</v>
      </c>
      <c r="I1669" s="41" t="s">
        <v>7405</v>
      </c>
      <c r="M1669" s="41" t="e">
        <f>VLOOKUP(I1669,错误mRNA总表!D:I,6,FALSE)</f>
        <v>#N/A</v>
      </c>
    </row>
    <row r="1670" spans="1:13" x14ac:dyDescent="0.2">
      <c r="A1670" s="12" t="s">
        <v>4837</v>
      </c>
      <c r="B1670" s="12" t="s">
        <v>3989</v>
      </c>
      <c r="C1670" s="12">
        <v>4224129</v>
      </c>
      <c r="D1670" s="12">
        <v>4226445</v>
      </c>
      <c r="E1670" s="12" t="s">
        <v>3940</v>
      </c>
      <c r="F1670" s="12">
        <v>177</v>
      </c>
      <c r="H1670" s="12" t="s">
        <v>672</v>
      </c>
      <c r="I1670" s="41" t="s">
        <v>7406</v>
      </c>
      <c r="J1670" s="41" t="s">
        <v>3234</v>
      </c>
      <c r="K1670" s="41" t="str">
        <f>VLOOKUP(J1670,错误mRNA总表!D:J,7,FALSE)</f>
        <v/>
      </c>
      <c r="M1670" s="41" t="e">
        <f>VLOOKUP(I1670,错误mRNA总表!D:I,6,FALSE)</f>
        <v>#N/A</v>
      </c>
    </row>
    <row r="1671" spans="1:13" x14ac:dyDescent="0.2">
      <c r="A1671" s="12" t="s">
        <v>4837</v>
      </c>
      <c r="B1671" s="12" t="s">
        <v>3989</v>
      </c>
      <c r="C1671" s="12">
        <v>4224129</v>
      </c>
      <c r="D1671" s="12">
        <v>4227218</v>
      </c>
      <c r="E1671" s="12" t="s">
        <v>3943</v>
      </c>
      <c r="F1671" s="12">
        <v>10</v>
      </c>
      <c r="H1671" s="12" t="s">
        <v>672</v>
      </c>
      <c r="I1671" s="41" t="s">
        <v>7406</v>
      </c>
      <c r="J1671" s="41" t="s">
        <v>3234</v>
      </c>
      <c r="K1671" s="41" t="str">
        <f>VLOOKUP(J1671,错误mRNA总表!D:J,7,FALSE)</f>
        <v/>
      </c>
      <c r="M1671" s="41" t="e">
        <f>VLOOKUP(I1671,错误mRNA总表!D:I,6,FALSE)</f>
        <v>#N/A</v>
      </c>
    </row>
    <row r="1672" spans="1:13" x14ac:dyDescent="0.2">
      <c r="A1672" s="12" t="s">
        <v>4838</v>
      </c>
      <c r="B1672" s="12" t="s">
        <v>4023</v>
      </c>
      <c r="C1672" s="12">
        <v>1524848</v>
      </c>
      <c r="D1672" s="12">
        <v>1577426</v>
      </c>
      <c r="E1672" s="12" t="s">
        <v>3943</v>
      </c>
      <c r="F1672" s="12">
        <v>3</v>
      </c>
      <c r="H1672" s="12" t="s">
        <v>3469</v>
      </c>
      <c r="I1672" s="41" t="s">
        <v>7407</v>
      </c>
      <c r="M1672" s="41" t="e">
        <f>VLOOKUP(I1672,错误mRNA总表!D:I,6,FALSE)</f>
        <v>#N/A</v>
      </c>
    </row>
    <row r="1673" spans="1:13" x14ac:dyDescent="0.2">
      <c r="A1673" s="12" t="s">
        <v>4839</v>
      </c>
      <c r="B1673" s="12" t="s">
        <v>3986</v>
      </c>
      <c r="C1673" s="12">
        <v>21264953</v>
      </c>
      <c r="D1673" s="12">
        <v>21299776</v>
      </c>
      <c r="E1673" s="12" t="s">
        <v>3940</v>
      </c>
      <c r="F1673" s="12">
        <v>3</v>
      </c>
      <c r="G1673" s="41" t="s">
        <v>50</v>
      </c>
      <c r="H1673" s="12" t="s">
        <v>6044</v>
      </c>
      <c r="I1673" s="41" t="s">
        <v>7408</v>
      </c>
      <c r="M1673" s="41" t="e">
        <f>VLOOKUP(I1673,错误mRNA总表!D:I,6,FALSE)</f>
        <v>#N/A</v>
      </c>
    </row>
    <row r="1674" spans="1:13" x14ac:dyDescent="0.2">
      <c r="A1674" s="12" t="s">
        <v>4134</v>
      </c>
      <c r="B1674" s="12" t="s">
        <v>3969</v>
      </c>
      <c r="C1674" s="12">
        <v>928111</v>
      </c>
      <c r="D1674" s="12">
        <v>943463</v>
      </c>
      <c r="E1674" s="12" t="s">
        <v>3943</v>
      </c>
      <c r="F1674" s="12">
        <v>4</v>
      </c>
      <c r="H1674" s="12" t="s">
        <v>3524</v>
      </c>
      <c r="I1674" s="41" t="s">
        <v>7409</v>
      </c>
      <c r="M1674" s="41" t="e">
        <f>VLOOKUP(I1674,错误mRNA总表!D:I,6,FALSE)</f>
        <v>#N/A</v>
      </c>
    </row>
    <row r="1675" spans="1:13" x14ac:dyDescent="0.2">
      <c r="A1675" s="12" t="s">
        <v>4840</v>
      </c>
      <c r="B1675" s="12" t="s">
        <v>4841</v>
      </c>
      <c r="C1675" s="12">
        <v>5099</v>
      </c>
      <c r="D1675" s="12">
        <v>5405</v>
      </c>
      <c r="E1675" s="12" t="s">
        <v>3940</v>
      </c>
      <c r="F1675" s="12">
        <v>2625</v>
      </c>
      <c r="H1675" s="12" t="s">
        <v>3667</v>
      </c>
      <c r="I1675" s="41" t="s">
        <v>7410</v>
      </c>
      <c r="M1675" s="41" t="e">
        <f>VLOOKUP(I1675,错误mRNA总表!D:I,6,FALSE)</f>
        <v>#N/A</v>
      </c>
    </row>
    <row r="1676" spans="1:13" x14ac:dyDescent="0.2">
      <c r="A1676" s="12" t="s">
        <v>4840</v>
      </c>
      <c r="B1676" s="12" t="s">
        <v>4841</v>
      </c>
      <c r="C1676" s="12">
        <v>5099</v>
      </c>
      <c r="D1676" s="12">
        <v>5104</v>
      </c>
      <c r="E1676" s="12" t="s">
        <v>3943</v>
      </c>
      <c r="F1676" s="12">
        <v>5</v>
      </c>
      <c r="H1676" s="12" t="s">
        <v>3667</v>
      </c>
      <c r="I1676" s="41" t="s">
        <v>7410</v>
      </c>
      <c r="M1676" s="41" t="e">
        <f>VLOOKUP(I1676,错误mRNA总表!D:I,6,FALSE)</f>
        <v>#N/A</v>
      </c>
    </row>
    <row r="1677" spans="1:13" x14ac:dyDescent="0.2">
      <c r="A1677" s="12" t="s">
        <v>4840</v>
      </c>
      <c r="B1677" s="12" t="s">
        <v>4841</v>
      </c>
      <c r="C1677" s="12">
        <v>5099</v>
      </c>
      <c r="D1677" s="12">
        <v>5167</v>
      </c>
      <c r="E1677" s="12" t="s">
        <v>3940</v>
      </c>
      <c r="F1677" s="12">
        <v>6</v>
      </c>
      <c r="H1677" s="12" t="s">
        <v>3667</v>
      </c>
      <c r="I1677" s="41" t="s">
        <v>7410</v>
      </c>
      <c r="M1677" s="41" t="e">
        <f>VLOOKUP(I1677,错误mRNA总表!D:I,6,FALSE)</f>
        <v>#N/A</v>
      </c>
    </row>
    <row r="1678" spans="1:13" x14ac:dyDescent="0.2">
      <c r="A1678" s="12" t="s">
        <v>4840</v>
      </c>
      <c r="B1678" s="12" t="s">
        <v>4841</v>
      </c>
      <c r="C1678" s="12">
        <v>5099</v>
      </c>
      <c r="D1678" s="12">
        <v>5229</v>
      </c>
      <c r="E1678" s="12" t="s">
        <v>3940</v>
      </c>
      <c r="F1678" s="12">
        <v>1</v>
      </c>
      <c r="H1678" s="12" t="s">
        <v>3667</v>
      </c>
      <c r="I1678" s="41" t="s">
        <v>7410</v>
      </c>
      <c r="M1678" s="41" t="e">
        <f>VLOOKUP(I1678,错误mRNA总表!D:I,6,FALSE)</f>
        <v>#N/A</v>
      </c>
    </row>
    <row r="1679" spans="1:13" x14ac:dyDescent="0.2">
      <c r="A1679" s="12" t="s">
        <v>4840</v>
      </c>
      <c r="B1679" s="12" t="s">
        <v>4841</v>
      </c>
      <c r="C1679" s="12">
        <v>5099</v>
      </c>
      <c r="D1679" s="12">
        <v>5286</v>
      </c>
      <c r="E1679" s="12" t="s">
        <v>3940</v>
      </c>
      <c r="F1679" s="12">
        <v>1</v>
      </c>
      <c r="H1679" s="12" t="s">
        <v>3667</v>
      </c>
      <c r="I1679" s="41" t="s">
        <v>7410</v>
      </c>
      <c r="M1679" s="41" t="e">
        <f>VLOOKUP(I1679,错误mRNA总表!D:I,6,FALSE)</f>
        <v>#N/A</v>
      </c>
    </row>
    <row r="1680" spans="1:13" x14ac:dyDescent="0.2">
      <c r="A1680" s="12" t="s">
        <v>4840</v>
      </c>
      <c r="B1680" s="12" t="s">
        <v>4841</v>
      </c>
      <c r="C1680" s="12">
        <v>5099</v>
      </c>
      <c r="D1680" s="12">
        <v>5381</v>
      </c>
      <c r="E1680" s="12" t="s">
        <v>3943</v>
      </c>
      <c r="F1680" s="12">
        <v>3</v>
      </c>
      <c r="H1680" s="12" t="s">
        <v>3667</v>
      </c>
      <c r="I1680" s="41" t="s">
        <v>7410</v>
      </c>
      <c r="M1680" s="41" t="e">
        <f>VLOOKUP(I1680,错误mRNA总表!D:I,6,FALSE)</f>
        <v>#N/A</v>
      </c>
    </row>
    <row r="1681" spans="1:13" x14ac:dyDescent="0.2">
      <c r="A1681" s="12" t="s">
        <v>4840</v>
      </c>
      <c r="B1681" s="12" t="s">
        <v>4841</v>
      </c>
      <c r="C1681" s="12">
        <v>5099</v>
      </c>
      <c r="D1681" s="12">
        <v>5399</v>
      </c>
      <c r="E1681" s="12" t="s">
        <v>3940</v>
      </c>
      <c r="F1681" s="12">
        <v>4</v>
      </c>
      <c r="H1681" s="12" t="s">
        <v>3667</v>
      </c>
      <c r="I1681" s="41" t="s">
        <v>7410</v>
      </c>
      <c r="M1681" s="41" t="e">
        <f>VLOOKUP(I1681,错误mRNA总表!D:I,6,FALSE)</f>
        <v>#N/A</v>
      </c>
    </row>
    <row r="1682" spans="1:13" x14ac:dyDescent="0.2">
      <c r="A1682" s="12" t="s">
        <v>4842</v>
      </c>
      <c r="B1682" s="12" t="s">
        <v>4124</v>
      </c>
      <c r="C1682" s="12">
        <v>55774428</v>
      </c>
      <c r="D1682" s="12">
        <v>55844616</v>
      </c>
      <c r="E1682" s="12" t="s">
        <v>3940</v>
      </c>
      <c r="F1682" s="12">
        <v>1</v>
      </c>
      <c r="G1682" s="41" t="s">
        <v>1</v>
      </c>
      <c r="H1682" s="12" t="s">
        <v>6422</v>
      </c>
      <c r="I1682" s="41" t="s">
        <v>7411</v>
      </c>
      <c r="M1682" s="41" t="e">
        <f>VLOOKUP(I1682,错误mRNA总表!D:I,6,FALSE)</f>
        <v>#N/A</v>
      </c>
    </row>
    <row r="1683" spans="1:13" x14ac:dyDescent="0.2">
      <c r="A1683" s="12" t="s">
        <v>4843</v>
      </c>
      <c r="B1683" s="12" t="s">
        <v>3994</v>
      </c>
      <c r="C1683" s="12">
        <v>2713997</v>
      </c>
      <c r="D1683" s="12">
        <v>2726589</v>
      </c>
      <c r="E1683" s="12" t="s">
        <v>3943</v>
      </c>
      <c r="F1683" s="12">
        <v>2</v>
      </c>
      <c r="H1683" s="12" t="s">
        <v>6045</v>
      </c>
      <c r="I1683" s="41" t="s">
        <v>7412</v>
      </c>
      <c r="M1683" s="41" t="e">
        <f>VLOOKUP(I1683,错误mRNA总表!D:I,6,FALSE)</f>
        <v>#N/A</v>
      </c>
    </row>
    <row r="1684" spans="1:13" x14ac:dyDescent="0.2">
      <c r="A1684" s="12" t="s">
        <v>4844</v>
      </c>
      <c r="B1684" s="12" t="s">
        <v>3946</v>
      </c>
      <c r="C1684" s="12">
        <v>43340488</v>
      </c>
      <c r="D1684" s="12">
        <v>43364293</v>
      </c>
      <c r="E1684" s="12" t="s">
        <v>3940</v>
      </c>
      <c r="F1684" s="12">
        <v>1</v>
      </c>
      <c r="G1684" s="41" t="s">
        <v>47</v>
      </c>
      <c r="H1684" s="12" t="s">
        <v>202</v>
      </c>
      <c r="I1684" s="41" t="s">
        <v>2174</v>
      </c>
      <c r="J1684" s="41" t="s">
        <v>2174</v>
      </c>
      <c r="K1684" s="41" t="str">
        <f>VLOOKUP(J1684,错误mRNA总表!D:J,7,FALSE)</f>
        <v>纠后正确</v>
      </c>
      <c r="L1684" s="41" t="s">
        <v>3763</v>
      </c>
      <c r="M1684" s="41">
        <f>VLOOKUP(I1684,错误mRNA总表!D:I,6,FALSE)</f>
        <v>0</v>
      </c>
    </row>
    <row r="1685" spans="1:13" x14ac:dyDescent="0.2">
      <c r="A1685" s="12" t="s">
        <v>4845</v>
      </c>
      <c r="B1685" s="12" t="s">
        <v>3948</v>
      </c>
      <c r="C1685" s="12">
        <v>100331249</v>
      </c>
      <c r="D1685" s="12">
        <v>100371476</v>
      </c>
      <c r="E1685" s="12" t="s">
        <v>3940</v>
      </c>
      <c r="F1685" s="12">
        <v>1</v>
      </c>
      <c r="G1685" s="41" t="s">
        <v>40</v>
      </c>
      <c r="H1685" s="12" t="s">
        <v>747</v>
      </c>
      <c r="I1685" s="41" t="s">
        <v>3350</v>
      </c>
      <c r="J1685" s="41" t="s">
        <v>3350</v>
      </c>
      <c r="K1685" s="41" t="str">
        <f>VLOOKUP(J1685,错误mRNA总表!D:J,7,FALSE)</f>
        <v>纠后正确</v>
      </c>
      <c r="L1685" s="41" t="s">
        <v>3763</v>
      </c>
      <c r="M1685" s="41">
        <f>VLOOKUP(I1685,错误mRNA总表!D:I,6,FALSE)</f>
        <v>0</v>
      </c>
    </row>
    <row r="1686" spans="1:13" x14ac:dyDescent="0.2">
      <c r="A1686" s="12" t="s">
        <v>4846</v>
      </c>
      <c r="B1686" s="12" t="s">
        <v>4001</v>
      </c>
      <c r="C1686" s="12">
        <v>1938870</v>
      </c>
      <c r="D1686" s="12">
        <v>1938871</v>
      </c>
      <c r="E1686" s="12" t="s">
        <v>3940</v>
      </c>
      <c r="F1686" s="12">
        <v>1</v>
      </c>
      <c r="H1686" s="12" t="s">
        <v>3545</v>
      </c>
      <c r="I1686" s="41" t="s">
        <v>7413</v>
      </c>
      <c r="M1686" s="41" t="e">
        <f>VLOOKUP(I1686,错误mRNA总表!D:I,6,FALSE)</f>
        <v>#N/A</v>
      </c>
    </row>
    <row r="1687" spans="1:13" x14ac:dyDescent="0.2">
      <c r="A1687" s="12" t="s">
        <v>4846</v>
      </c>
      <c r="B1687" s="12" t="s">
        <v>4001</v>
      </c>
      <c r="C1687" s="12">
        <v>1938870</v>
      </c>
      <c r="D1687" s="12">
        <v>1938889</v>
      </c>
      <c r="E1687" s="12" t="s">
        <v>3943</v>
      </c>
      <c r="F1687" s="12">
        <v>1</v>
      </c>
      <c r="H1687" s="12" t="s">
        <v>3545</v>
      </c>
      <c r="I1687" s="41" t="s">
        <v>7413</v>
      </c>
      <c r="M1687" s="41" t="e">
        <f>VLOOKUP(I1687,错误mRNA总表!D:I,6,FALSE)</f>
        <v>#N/A</v>
      </c>
    </row>
    <row r="1688" spans="1:13" x14ac:dyDescent="0.2">
      <c r="A1688" s="12" t="s">
        <v>4847</v>
      </c>
      <c r="B1688" s="12" t="s">
        <v>3957</v>
      </c>
      <c r="C1688" s="12">
        <v>125439283</v>
      </c>
      <c r="D1688" s="12">
        <v>125452303</v>
      </c>
      <c r="E1688" s="12" t="s">
        <v>3940</v>
      </c>
      <c r="F1688" s="12">
        <v>1</v>
      </c>
      <c r="G1688" s="41" t="s">
        <v>36</v>
      </c>
      <c r="H1688" s="12" t="s">
        <v>6046</v>
      </c>
      <c r="I1688" s="41" t="s">
        <v>7414</v>
      </c>
      <c r="M1688" s="41" t="e">
        <f>VLOOKUP(I1688,错误mRNA总表!D:I,6,FALSE)</f>
        <v>#N/A</v>
      </c>
    </row>
    <row r="1689" spans="1:13" x14ac:dyDescent="0.2">
      <c r="A1689" s="12" t="s">
        <v>4450</v>
      </c>
      <c r="B1689" s="12" t="s">
        <v>3994</v>
      </c>
      <c r="C1689" s="12">
        <v>2816268</v>
      </c>
      <c r="D1689" s="12">
        <v>2816272</v>
      </c>
      <c r="E1689" s="12" t="s">
        <v>3943</v>
      </c>
      <c r="F1689" s="12">
        <v>2</v>
      </c>
      <c r="H1689" s="12" t="s">
        <v>5904</v>
      </c>
      <c r="I1689" s="41" t="s">
        <v>7415</v>
      </c>
      <c r="M1689" s="41" t="e">
        <f>VLOOKUP(I1689,错误mRNA总表!D:I,6,FALSE)</f>
        <v>#N/A</v>
      </c>
    </row>
    <row r="1690" spans="1:13" x14ac:dyDescent="0.2">
      <c r="A1690" s="12" t="s">
        <v>4450</v>
      </c>
      <c r="B1690" s="12" t="s">
        <v>3994</v>
      </c>
      <c r="C1690" s="12">
        <v>2816268</v>
      </c>
      <c r="D1690" s="12">
        <v>2816301</v>
      </c>
      <c r="E1690" s="12" t="s">
        <v>3940</v>
      </c>
      <c r="F1690" s="12">
        <v>5</v>
      </c>
      <c r="H1690" s="12" t="s">
        <v>5904</v>
      </c>
      <c r="I1690" s="41" t="s">
        <v>7415</v>
      </c>
      <c r="M1690" s="41" t="e">
        <f>VLOOKUP(I1690,错误mRNA总表!D:I,6,FALSE)</f>
        <v>#N/A</v>
      </c>
    </row>
    <row r="1691" spans="1:13" x14ac:dyDescent="0.2">
      <c r="A1691" s="12" t="s">
        <v>4450</v>
      </c>
      <c r="B1691" s="12" t="s">
        <v>3994</v>
      </c>
      <c r="C1691" s="12">
        <v>2816268</v>
      </c>
      <c r="D1691" s="12">
        <v>2816304</v>
      </c>
      <c r="E1691" s="12" t="s">
        <v>3940</v>
      </c>
      <c r="F1691" s="12">
        <v>5</v>
      </c>
      <c r="H1691" s="12" t="s">
        <v>5904</v>
      </c>
      <c r="I1691" s="41" t="s">
        <v>7415</v>
      </c>
      <c r="M1691" s="41" t="e">
        <f>VLOOKUP(I1691,错误mRNA总表!D:I,6,FALSE)</f>
        <v>#N/A</v>
      </c>
    </row>
    <row r="1692" spans="1:13" x14ac:dyDescent="0.2">
      <c r="A1692" s="12" t="s">
        <v>4450</v>
      </c>
      <c r="B1692" s="12" t="s">
        <v>3994</v>
      </c>
      <c r="C1692" s="12">
        <v>2816268</v>
      </c>
      <c r="D1692" s="12">
        <v>2816308</v>
      </c>
      <c r="E1692" s="12" t="s">
        <v>3943</v>
      </c>
      <c r="F1692" s="12">
        <v>4</v>
      </c>
      <c r="H1692" s="12" t="s">
        <v>5904</v>
      </c>
      <c r="I1692" s="41" t="s">
        <v>7415</v>
      </c>
      <c r="M1692" s="41" t="e">
        <f>VLOOKUP(I1692,错误mRNA总表!D:I,6,FALSE)</f>
        <v>#N/A</v>
      </c>
    </row>
    <row r="1693" spans="1:13" x14ac:dyDescent="0.2">
      <c r="A1693" s="12" t="s">
        <v>4450</v>
      </c>
      <c r="B1693" s="12" t="s">
        <v>3994</v>
      </c>
      <c r="C1693" s="12">
        <v>2816268</v>
      </c>
      <c r="D1693" s="12">
        <v>2820691</v>
      </c>
      <c r="E1693" s="12" t="s">
        <v>3940</v>
      </c>
      <c r="F1693" s="12">
        <v>2</v>
      </c>
      <c r="H1693" s="12" t="s">
        <v>5904</v>
      </c>
      <c r="I1693" s="41" t="s">
        <v>7415</v>
      </c>
      <c r="M1693" s="41" t="e">
        <f>VLOOKUP(I1693,错误mRNA总表!D:I,6,FALSE)</f>
        <v>#N/A</v>
      </c>
    </row>
    <row r="1694" spans="1:13" x14ac:dyDescent="0.2">
      <c r="A1694" s="12" t="s">
        <v>4848</v>
      </c>
      <c r="B1694" s="12" t="s">
        <v>3978</v>
      </c>
      <c r="C1694" s="12">
        <v>4938493</v>
      </c>
      <c r="D1694" s="12">
        <v>4940288</v>
      </c>
      <c r="E1694" s="12" t="s">
        <v>3943</v>
      </c>
      <c r="F1694" s="12">
        <v>1</v>
      </c>
      <c r="G1694" s="41" t="s">
        <v>86</v>
      </c>
      <c r="H1694" s="12" t="s">
        <v>6047</v>
      </c>
      <c r="I1694" s="41" t="s">
        <v>7416</v>
      </c>
      <c r="M1694" s="41" t="e">
        <f>VLOOKUP(I1694,错误mRNA总表!D:I,6,FALSE)</f>
        <v>#N/A</v>
      </c>
    </row>
    <row r="1695" spans="1:13" x14ac:dyDescent="0.2">
      <c r="A1695" s="12" t="s">
        <v>4849</v>
      </c>
      <c r="B1695" s="12" t="s">
        <v>3950</v>
      </c>
      <c r="C1695" s="12">
        <v>438900</v>
      </c>
      <c r="D1695" s="12">
        <v>451563</v>
      </c>
      <c r="E1695" s="12" t="s">
        <v>3940</v>
      </c>
      <c r="F1695" s="12">
        <v>76</v>
      </c>
      <c r="H1695" s="12" t="s">
        <v>6048</v>
      </c>
      <c r="I1695" s="41" t="s">
        <v>7417</v>
      </c>
      <c r="M1695" s="41" t="e">
        <f>VLOOKUP(I1695,错误mRNA总表!D:I,6,FALSE)</f>
        <v>#N/A</v>
      </c>
    </row>
    <row r="1696" spans="1:13" x14ac:dyDescent="0.2">
      <c r="A1696" s="12" t="s">
        <v>4849</v>
      </c>
      <c r="B1696" s="12" t="s">
        <v>3950</v>
      </c>
      <c r="C1696" s="12">
        <v>438900</v>
      </c>
      <c r="D1696" s="12">
        <v>451496</v>
      </c>
      <c r="E1696" s="12" t="s">
        <v>3940</v>
      </c>
      <c r="F1696" s="12">
        <v>3</v>
      </c>
      <c r="H1696" s="12" t="s">
        <v>6048</v>
      </c>
      <c r="I1696" s="41" t="s">
        <v>7417</v>
      </c>
      <c r="M1696" s="41" t="e">
        <f>VLOOKUP(I1696,错误mRNA总表!D:I,6,FALSE)</f>
        <v>#N/A</v>
      </c>
    </row>
    <row r="1697" spans="1:13" x14ac:dyDescent="0.2">
      <c r="A1697" s="12" t="s">
        <v>4850</v>
      </c>
      <c r="B1697" s="12" t="s">
        <v>4851</v>
      </c>
      <c r="C1697" s="12">
        <v>246639</v>
      </c>
      <c r="D1697" s="12">
        <v>247772</v>
      </c>
      <c r="E1697" s="12" t="s">
        <v>3943</v>
      </c>
      <c r="F1697" s="12">
        <v>1</v>
      </c>
      <c r="H1697" s="12" t="s">
        <v>6423</v>
      </c>
      <c r="I1697" s="41" t="s">
        <v>7418</v>
      </c>
      <c r="M1697" s="41" t="e">
        <f>VLOOKUP(I1697,错误mRNA总表!D:I,6,FALSE)</f>
        <v>#N/A</v>
      </c>
    </row>
    <row r="1698" spans="1:13" x14ac:dyDescent="0.2">
      <c r="A1698" s="12" t="s">
        <v>4852</v>
      </c>
      <c r="B1698" s="12" t="s">
        <v>3946</v>
      </c>
      <c r="C1698" s="12">
        <v>8706041</v>
      </c>
      <c r="D1698" s="12">
        <v>8725214</v>
      </c>
      <c r="E1698" s="12" t="s">
        <v>3940</v>
      </c>
      <c r="F1698" s="12">
        <v>1</v>
      </c>
      <c r="G1698" s="41" t="s">
        <v>47</v>
      </c>
      <c r="H1698" s="12" t="s">
        <v>6049</v>
      </c>
      <c r="I1698" s="41" t="s">
        <v>7419</v>
      </c>
      <c r="M1698" s="41" t="e">
        <f>VLOOKUP(I1698,错误mRNA总表!D:I,6,FALSE)</f>
        <v>#N/A</v>
      </c>
    </row>
    <row r="1699" spans="1:13" x14ac:dyDescent="0.2">
      <c r="A1699" s="12" t="s">
        <v>4853</v>
      </c>
      <c r="B1699" s="12" t="s">
        <v>3939</v>
      </c>
      <c r="C1699" s="12">
        <v>153146127</v>
      </c>
      <c r="D1699" s="12">
        <v>153149708</v>
      </c>
      <c r="E1699" s="12" t="s">
        <v>3940</v>
      </c>
      <c r="F1699" s="12">
        <v>1</v>
      </c>
      <c r="G1699" s="41" t="s">
        <v>73</v>
      </c>
      <c r="H1699" s="12" t="s">
        <v>6050</v>
      </c>
      <c r="I1699" s="41" t="s">
        <v>7420</v>
      </c>
      <c r="M1699" s="41" t="e">
        <f>VLOOKUP(I1699,错误mRNA总表!D:I,6,FALSE)</f>
        <v>#N/A</v>
      </c>
    </row>
    <row r="1700" spans="1:13" x14ac:dyDescent="0.2">
      <c r="A1700" s="12" t="s">
        <v>4854</v>
      </c>
      <c r="B1700" s="12" t="s">
        <v>3957</v>
      </c>
      <c r="C1700" s="12">
        <v>46638826</v>
      </c>
      <c r="D1700" s="12">
        <v>46694313</v>
      </c>
      <c r="E1700" s="12" t="s">
        <v>3943</v>
      </c>
      <c r="F1700" s="12">
        <v>2</v>
      </c>
      <c r="G1700" s="41" t="s">
        <v>36</v>
      </c>
      <c r="H1700" s="12" t="s">
        <v>6051</v>
      </c>
      <c r="I1700" s="41" t="s">
        <v>7421</v>
      </c>
      <c r="M1700" s="41" t="e">
        <f>VLOOKUP(I1700,错误mRNA总表!D:I,6,FALSE)</f>
        <v>#N/A</v>
      </c>
    </row>
    <row r="1701" spans="1:13" x14ac:dyDescent="0.2">
      <c r="A1701" s="12" t="s">
        <v>4855</v>
      </c>
      <c r="B1701" s="12" t="s">
        <v>4055</v>
      </c>
      <c r="C1701" s="12">
        <v>9980077</v>
      </c>
      <c r="D1701" s="12">
        <v>9994449</v>
      </c>
      <c r="E1701" s="12" t="s">
        <v>3943</v>
      </c>
      <c r="F1701" s="12">
        <v>3</v>
      </c>
      <c r="G1701" s="41" t="s">
        <v>212</v>
      </c>
      <c r="H1701" s="12" t="s">
        <v>1008</v>
      </c>
      <c r="I1701" s="41" t="s">
        <v>2270</v>
      </c>
      <c r="J1701" s="41" t="s">
        <v>2270</v>
      </c>
      <c r="K1701" s="41" t="str">
        <f>VLOOKUP(J1701,错误mRNA总表!D:J,7,FALSE)</f>
        <v>纠后正确，少1个氨基酸chr12:9994450-9997125</v>
      </c>
      <c r="L1701" s="41" t="s">
        <v>8348</v>
      </c>
      <c r="M1701" s="41">
        <f>VLOOKUP(I1701,错误mRNA总表!D:I,6,FALSE)</f>
        <v>0</v>
      </c>
    </row>
    <row r="1702" spans="1:13" x14ac:dyDescent="0.2">
      <c r="A1702" s="12" t="s">
        <v>4086</v>
      </c>
      <c r="B1702" s="12" t="s">
        <v>3994</v>
      </c>
      <c r="C1702" s="12">
        <v>1186623</v>
      </c>
      <c r="D1702" s="12">
        <v>1187901</v>
      </c>
      <c r="E1702" s="12" t="s">
        <v>3940</v>
      </c>
      <c r="F1702" s="12">
        <v>38</v>
      </c>
      <c r="H1702" s="12" t="s">
        <v>6374</v>
      </c>
      <c r="I1702" s="41" t="s">
        <v>7280</v>
      </c>
      <c r="M1702" s="41" t="e">
        <f>VLOOKUP(I1702,错误mRNA总表!D:I,6,FALSE)</f>
        <v>#N/A</v>
      </c>
    </row>
    <row r="1703" spans="1:13" x14ac:dyDescent="0.2">
      <c r="A1703" s="12" t="s">
        <v>4086</v>
      </c>
      <c r="B1703" s="12" t="s">
        <v>3994</v>
      </c>
      <c r="C1703" s="12">
        <v>1186623</v>
      </c>
      <c r="D1703" s="12">
        <v>1186701</v>
      </c>
      <c r="E1703" s="12" t="s">
        <v>3940</v>
      </c>
      <c r="F1703" s="12">
        <v>1</v>
      </c>
      <c r="H1703" s="12" t="s">
        <v>6374</v>
      </c>
      <c r="I1703" s="41" t="s">
        <v>7280</v>
      </c>
      <c r="M1703" s="41" t="e">
        <f>VLOOKUP(I1703,错误mRNA总表!D:I,6,FALSE)</f>
        <v>#N/A</v>
      </c>
    </row>
    <row r="1704" spans="1:13" x14ac:dyDescent="0.2">
      <c r="A1704" s="12" t="s">
        <v>4086</v>
      </c>
      <c r="B1704" s="12" t="s">
        <v>3994</v>
      </c>
      <c r="C1704" s="12">
        <v>1186623</v>
      </c>
      <c r="D1704" s="12">
        <v>1186824</v>
      </c>
      <c r="E1704" s="12" t="s">
        <v>3943</v>
      </c>
      <c r="F1704" s="12">
        <v>4</v>
      </c>
      <c r="H1704" s="12" t="s">
        <v>6374</v>
      </c>
      <c r="I1704" s="41" t="s">
        <v>7280</v>
      </c>
      <c r="M1704" s="41" t="e">
        <f>VLOOKUP(I1704,错误mRNA总表!D:I,6,FALSE)</f>
        <v>#N/A</v>
      </c>
    </row>
    <row r="1705" spans="1:13" x14ac:dyDescent="0.2">
      <c r="A1705" s="12" t="s">
        <v>4086</v>
      </c>
      <c r="B1705" s="12" t="s">
        <v>3994</v>
      </c>
      <c r="C1705" s="12">
        <v>1186623</v>
      </c>
      <c r="D1705" s="12">
        <v>1187191</v>
      </c>
      <c r="E1705" s="12" t="s">
        <v>3940</v>
      </c>
      <c r="F1705" s="12">
        <v>8</v>
      </c>
      <c r="H1705" s="12" t="s">
        <v>6374</v>
      </c>
      <c r="I1705" s="41" t="s">
        <v>7280</v>
      </c>
      <c r="M1705" s="41" t="e">
        <f>VLOOKUP(I1705,错误mRNA总表!D:I,6,FALSE)</f>
        <v>#N/A</v>
      </c>
    </row>
    <row r="1706" spans="1:13" x14ac:dyDescent="0.2">
      <c r="A1706" s="12" t="s">
        <v>4086</v>
      </c>
      <c r="B1706" s="12" t="s">
        <v>3994</v>
      </c>
      <c r="C1706" s="12">
        <v>1186623</v>
      </c>
      <c r="D1706" s="12">
        <v>1187261</v>
      </c>
      <c r="E1706" s="12" t="s">
        <v>3943</v>
      </c>
      <c r="F1706" s="12">
        <v>1</v>
      </c>
      <c r="H1706" s="12" t="s">
        <v>6374</v>
      </c>
      <c r="I1706" s="41" t="s">
        <v>7280</v>
      </c>
      <c r="M1706" s="41" t="e">
        <f>VLOOKUP(I1706,错误mRNA总表!D:I,6,FALSE)</f>
        <v>#N/A</v>
      </c>
    </row>
    <row r="1707" spans="1:13" x14ac:dyDescent="0.2">
      <c r="A1707" s="12" t="s">
        <v>4086</v>
      </c>
      <c r="B1707" s="12" t="s">
        <v>3994</v>
      </c>
      <c r="C1707" s="12">
        <v>1186623</v>
      </c>
      <c r="D1707" s="12">
        <v>1187732</v>
      </c>
      <c r="E1707" s="12" t="s">
        <v>3940</v>
      </c>
      <c r="F1707" s="12">
        <v>1</v>
      </c>
      <c r="H1707" s="12" t="s">
        <v>6374</v>
      </c>
      <c r="I1707" s="41" t="s">
        <v>7280</v>
      </c>
      <c r="M1707" s="41" t="e">
        <f>VLOOKUP(I1707,错误mRNA总表!D:I,6,FALSE)</f>
        <v>#N/A</v>
      </c>
    </row>
    <row r="1708" spans="1:13" x14ac:dyDescent="0.2">
      <c r="A1708" s="12" t="s">
        <v>4086</v>
      </c>
      <c r="B1708" s="12" t="s">
        <v>3994</v>
      </c>
      <c r="C1708" s="12">
        <v>1186623</v>
      </c>
      <c r="D1708" s="12">
        <v>1187798</v>
      </c>
      <c r="E1708" s="12" t="s">
        <v>3940</v>
      </c>
      <c r="F1708" s="12">
        <v>4</v>
      </c>
      <c r="H1708" s="12" t="s">
        <v>6374</v>
      </c>
      <c r="I1708" s="41" t="s">
        <v>7280</v>
      </c>
      <c r="M1708" s="41" t="e">
        <f>VLOOKUP(I1708,错误mRNA总表!D:I,6,FALSE)</f>
        <v>#N/A</v>
      </c>
    </row>
    <row r="1709" spans="1:13" x14ac:dyDescent="0.2">
      <c r="A1709" s="12" t="s">
        <v>4856</v>
      </c>
      <c r="B1709" s="12" t="s">
        <v>4023</v>
      </c>
      <c r="C1709" s="12">
        <v>762280</v>
      </c>
      <c r="D1709" s="12">
        <v>895550</v>
      </c>
      <c r="E1709" s="12" t="s">
        <v>3940</v>
      </c>
      <c r="F1709" s="12">
        <v>1</v>
      </c>
      <c r="H1709" s="12" t="s">
        <v>3638</v>
      </c>
      <c r="I1709" s="41" t="s">
        <v>7422</v>
      </c>
      <c r="M1709" s="41" t="e">
        <f>VLOOKUP(I1709,错误mRNA总表!D:I,6,FALSE)</f>
        <v>#N/A</v>
      </c>
    </row>
    <row r="1710" spans="1:13" x14ac:dyDescent="0.2">
      <c r="A1710" s="12" t="s">
        <v>4856</v>
      </c>
      <c r="B1710" s="12" t="s">
        <v>4023</v>
      </c>
      <c r="C1710" s="12">
        <v>762280</v>
      </c>
      <c r="D1710" s="12">
        <v>763397</v>
      </c>
      <c r="E1710" s="12" t="s">
        <v>3940</v>
      </c>
      <c r="F1710" s="12">
        <v>3</v>
      </c>
      <c r="H1710" s="12" t="s">
        <v>3638</v>
      </c>
      <c r="I1710" s="41" t="s">
        <v>7422</v>
      </c>
      <c r="M1710" s="41" t="e">
        <f>VLOOKUP(I1710,错误mRNA总表!D:I,6,FALSE)</f>
        <v>#N/A</v>
      </c>
    </row>
    <row r="1711" spans="1:13" x14ac:dyDescent="0.2">
      <c r="A1711" s="12" t="s">
        <v>4856</v>
      </c>
      <c r="B1711" s="12" t="s">
        <v>4023</v>
      </c>
      <c r="C1711" s="12">
        <v>762280</v>
      </c>
      <c r="D1711" s="12">
        <v>763561</v>
      </c>
      <c r="E1711" s="12" t="s">
        <v>3940</v>
      </c>
      <c r="F1711" s="12">
        <v>3</v>
      </c>
      <c r="H1711" s="12" t="s">
        <v>3638</v>
      </c>
      <c r="I1711" s="41" t="s">
        <v>7422</v>
      </c>
      <c r="M1711" s="41" t="e">
        <f>VLOOKUP(I1711,错误mRNA总表!D:I,6,FALSE)</f>
        <v>#N/A</v>
      </c>
    </row>
    <row r="1712" spans="1:13" x14ac:dyDescent="0.2">
      <c r="A1712" s="12" t="s">
        <v>4856</v>
      </c>
      <c r="B1712" s="12" t="s">
        <v>4023</v>
      </c>
      <c r="C1712" s="12">
        <v>762280</v>
      </c>
      <c r="D1712" s="12">
        <v>763693</v>
      </c>
      <c r="E1712" s="12" t="s">
        <v>3940</v>
      </c>
      <c r="F1712" s="12">
        <v>1</v>
      </c>
      <c r="H1712" s="12" t="s">
        <v>3638</v>
      </c>
      <c r="I1712" s="41" t="s">
        <v>7422</v>
      </c>
      <c r="M1712" s="41" t="e">
        <f>VLOOKUP(I1712,错误mRNA总表!D:I,6,FALSE)</f>
        <v>#N/A</v>
      </c>
    </row>
    <row r="1713" spans="1:13" x14ac:dyDescent="0.2">
      <c r="A1713" s="12" t="s">
        <v>4856</v>
      </c>
      <c r="B1713" s="12" t="s">
        <v>4023</v>
      </c>
      <c r="C1713" s="12">
        <v>762280</v>
      </c>
      <c r="D1713" s="12">
        <v>764045</v>
      </c>
      <c r="E1713" s="12" t="s">
        <v>3943</v>
      </c>
      <c r="F1713" s="12">
        <v>1</v>
      </c>
      <c r="H1713" s="12" t="s">
        <v>3638</v>
      </c>
      <c r="I1713" s="41" t="s">
        <v>7422</v>
      </c>
      <c r="M1713" s="41" t="e">
        <f>VLOOKUP(I1713,错误mRNA总表!D:I,6,FALSE)</f>
        <v>#N/A</v>
      </c>
    </row>
    <row r="1714" spans="1:13" x14ac:dyDescent="0.2">
      <c r="A1714" s="12" t="s">
        <v>4856</v>
      </c>
      <c r="B1714" s="12" t="s">
        <v>4023</v>
      </c>
      <c r="C1714" s="12">
        <v>762280</v>
      </c>
      <c r="D1714" s="12">
        <v>764501</v>
      </c>
      <c r="E1714" s="12" t="s">
        <v>3943</v>
      </c>
      <c r="F1714" s="12">
        <v>1</v>
      </c>
      <c r="H1714" s="12" t="s">
        <v>3638</v>
      </c>
      <c r="I1714" s="41" t="s">
        <v>7422</v>
      </c>
      <c r="M1714" s="41" t="e">
        <f>VLOOKUP(I1714,错误mRNA总表!D:I,6,FALSE)</f>
        <v>#N/A</v>
      </c>
    </row>
    <row r="1715" spans="1:13" x14ac:dyDescent="0.2">
      <c r="A1715" s="12" t="s">
        <v>4856</v>
      </c>
      <c r="B1715" s="12" t="s">
        <v>4023</v>
      </c>
      <c r="C1715" s="12">
        <v>762280</v>
      </c>
      <c r="D1715" s="12">
        <v>765228</v>
      </c>
      <c r="E1715" s="12" t="s">
        <v>3940</v>
      </c>
      <c r="F1715" s="12">
        <v>2</v>
      </c>
      <c r="H1715" s="12" t="s">
        <v>3638</v>
      </c>
      <c r="I1715" s="41" t="s">
        <v>7422</v>
      </c>
      <c r="M1715" s="41" t="e">
        <f>VLOOKUP(I1715,错误mRNA总表!D:I,6,FALSE)</f>
        <v>#N/A</v>
      </c>
    </row>
    <row r="1716" spans="1:13" x14ac:dyDescent="0.2">
      <c r="A1716" s="12" t="s">
        <v>4856</v>
      </c>
      <c r="B1716" s="12" t="s">
        <v>4023</v>
      </c>
      <c r="C1716" s="12">
        <v>762280</v>
      </c>
      <c r="D1716" s="12">
        <v>765290</v>
      </c>
      <c r="E1716" s="12" t="s">
        <v>3943</v>
      </c>
      <c r="F1716" s="12">
        <v>1</v>
      </c>
      <c r="H1716" s="12" t="s">
        <v>3638</v>
      </c>
      <c r="I1716" s="41" t="s">
        <v>7422</v>
      </c>
      <c r="M1716" s="41" t="e">
        <f>VLOOKUP(I1716,错误mRNA总表!D:I,6,FALSE)</f>
        <v>#N/A</v>
      </c>
    </row>
    <row r="1717" spans="1:13" x14ac:dyDescent="0.2">
      <c r="A1717" s="12" t="s">
        <v>4856</v>
      </c>
      <c r="B1717" s="12" t="s">
        <v>4023</v>
      </c>
      <c r="C1717" s="12">
        <v>762280</v>
      </c>
      <c r="D1717" s="12">
        <v>765526</v>
      </c>
      <c r="E1717" s="12" t="s">
        <v>3943</v>
      </c>
      <c r="F1717" s="12">
        <v>2</v>
      </c>
      <c r="H1717" s="12" t="s">
        <v>3638</v>
      </c>
      <c r="I1717" s="41" t="s">
        <v>7422</v>
      </c>
      <c r="M1717" s="41" t="e">
        <f>VLOOKUP(I1717,错误mRNA总表!D:I,6,FALSE)</f>
        <v>#N/A</v>
      </c>
    </row>
    <row r="1718" spans="1:13" x14ac:dyDescent="0.2">
      <c r="A1718" s="12" t="s">
        <v>4856</v>
      </c>
      <c r="B1718" s="12" t="s">
        <v>4023</v>
      </c>
      <c r="C1718" s="12">
        <v>762280</v>
      </c>
      <c r="D1718" s="12">
        <v>766121</v>
      </c>
      <c r="E1718" s="12" t="s">
        <v>3943</v>
      </c>
      <c r="F1718" s="12">
        <v>1</v>
      </c>
      <c r="H1718" s="12" t="s">
        <v>3638</v>
      </c>
      <c r="I1718" s="41" t="s">
        <v>7422</v>
      </c>
      <c r="M1718" s="41" t="e">
        <f>VLOOKUP(I1718,错误mRNA总表!D:I,6,FALSE)</f>
        <v>#N/A</v>
      </c>
    </row>
    <row r="1719" spans="1:13" x14ac:dyDescent="0.2">
      <c r="A1719" s="12" t="s">
        <v>4856</v>
      </c>
      <c r="B1719" s="12" t="s">
        <v>4023</v>
      </c>
      <c r="C1719" s="12">
        <v>762280</v>
      </c>
      <c r="D1719" s="12">
        <v>766198</v>
      </c>
      <c r="E1719" s="12" t="s">
        <v>3943</v>
      </c>
      <c r="F1719" s="12">
        <v>1</v>
      </c>
      <c r="H1719" s="12" t="s">
        <v>3638</v>
      </c>
      <c r="I1719" s="41" t="s">
        <v>7422</v>
      </c>
      <c r="M1719" s="41" t="e">
        <f>VLOOKUP(I1719,错误mRNA总表!D:I,6,FALSE)</f>
        <v>#N/A</v>
      </c>
    </row>
    <row r="1720" spans="1:13" x14ac:dyDescent="0.2">
      <c r="A1720" s="12" t="s">
        <v>4857</v>
      </c>
      <c r="B1720" s="12" t="s">
        <v>3973</v>
      </c>
      <c r="C1720" s="12">
        <v>145590666</v>
      </c>
      <c r="D1720" s="12">
        <v>145591688</v>
      </c>
      <c r="E1720" s="12" t="s">
        <v>3943</v>
      </c>
      <c r="F1720" s="12">
        <v>3</v>
      </c>
      <c r="G1720" s="41" t="s">
        <v>139</v>
      </c>
      <c r="H1720" s="12" t="s">
        <v>6052</v>
      </c>
      <c r="I1720" s="41" t="s">
        <v>7423</v>
      </c>
      <c r="M1720" s="41" t="e">
        <f>VLOOKUP(I1720,错误mRNA总表!D:I,6,FALSE)</f>
        <v>#N/A</v>
      </c>
    </row>
    <row r="1721" spans="1:13" x14ac:dyDescent="0.2">
      <c r="A1721" s="12" t="s">
        <v>4858</v>
      </c>
      <c r="B1721" s="12" t="s">
        <v>4052</v>
      </c>
      <c r="C1721" s="12">
        <v>60937227</v>
      </c>
      <c r="D1721" s="12">
        <v>61006809</v>
      </c>
      <c r="E1721" s="12" t="s">
        <v>3940</v>
      </c>
      <c r="F1721" s="12">
        <v>1</v>
      </c>
      <c r="G1721" s="41" t="s">
        <v>93</v>
      </c>
      <c r="H1721" s="12" t="s">
        <v>6053</v>
      </c>
      <c r="I1721" s="41" t="s">
        <v>7424</v>
      </c>
      <c r="M1721" s="41" t="e">
        <f>VLOOKUP(I1721,错误mRNA总表!D:I,6,FALSE)</f>
        <v>#N/A</v>
      </c>
    </row>
    <row r="1722" spans="1:13" x14ac:dyDescent="0.2">
      <c r="A1722" s="12" t="s">
        <v>4859</v>
      </c>
      <c r="B1722" s="12" t="s">
        <v>3991</v>
      </c>
      <c r="C1722" s="12">
        <v>100695</v>
      </c>
      <c r="D1722" s="12">
        <v>138578</v>
      </c>
      <c r="E1722" s="12" t="s">
        <v>3943</v>
      </c>
      <c r="F1722" s="12">
        <v>1</v>
      </c>
      <c r="H1722" s="12" t="s">
        <v>6054</v>
      </c>
      <c r="I1722" s="41" t="s">
        <v>7425</v>
      </c>
      <c r="M1722" s="41" t="e">
        <f>VLOOKUP(I1722,错误mRNA总表!D:I,6,FALSE)</f>
        <v>#N/A</v>
      </c>
    </row>
    <row r="1723" spans="1:13" x14ac:dyDescent="0.2">
      <c r="A1723" s="12" t="s">
        <v>4860</v>
      </c>
      <c r="B1723" s="12" t="s">
        <v>3966</v>
      </c>
      <c r="C1723" s="12">
        <v>17840839</v>
      </c>
      <c r="D1723" s="12">
        <v>18035853</v>
      </c>
      <c r="E1723" s="12" t="s">
        <v>3940</v>
      </c>
      <c r="F1723" s="12">
        <v>3</v>
      </c>
      <c r="G1723" s="41" t="s">
        <v>43</v>
      </c>
      <c r="H1723" s="12" t="s">
        <v>6055</v>
      </c>
      <c r="I1723" s="41" t="s">
        <v>7426</v>
      </c>
      <c r="M1723" s="41" t="e">
        <f>VLOOKUP(I1723,错误mRNA总表!D:I,6,FALSE)</f>
        <v>#N/A</v>
      </c>
    </row>
    <row r="1724" spans="1:13" x14ac:dyDescent="0.2">
      <c r="A1724" s="12" t="s">
        <v>4860</v>
      </c>
      <c r="B1724" s="12" t="s">
        <v>3966</v>
      </c>
      <c r="C1724" s="12">
        <v>17840839</v>
      </c>
      <c r="D1724" s="12">
        <v>18036675</v>
      </c>
      <c r="E1724" s="12" t="s">
        <v>3943</v>
      </c>
      <c r="F1724" s="12">
        <v>1</v>
      </c>
      <c r="G1724" s="41" t="s">
        <v>43</v>
      </c>
      <c r="H1724" s="12" t="s">
        <v>6055</v>
      </c>
      <c r="I1724" s="41" t="s">
        <v>7426</v>
      </c>
      <c r="M1724" s="41" t="e">
        <f>VLOOKUP(I1724,错误mRNA总表!D:I,6,FALSE)</f>
        <v>#N/A</v>
      </c>
    </row>
    <row r="1725" spans="1:13" x14ac:dyDescent="0.2">
      <c r="A1725" s="12" t="s">
        <v>4860</v>
      </c>
      <c r="B1725" s="12" t="s">
        <v>3966</v>
      </c>
      <c r="C1725" s="12">
        <v>17840839</v>
      </c>
      <c r="D1725" s="12">
        <v>18036863</v>
      </c>
      <c r="E1725" s="12" t="s">
        <v>3943</v>
      </c>
      <c r="F1725" s="12">
        <v>3</v>
      </c>
      <c r="G1725" s="41" t="s">
        <v>43</v>
      </c>
      <c r="H1725" s="12" t="s">
        <v>6055</v>
      </c>
      <c r="I1725" s="41" t="s">
        <v>7426</v>
      </c>
      <c r="M1725" s="41" t="e">
        <f>VLOOKUP(I1725,错误mRNA总表!D:I,6,FALSE)</f>
        <v>#N/A</v>
      </c>
    </row>
    <row r="1726" spans="1:13" x14ac:dyDescent="0.2">
      <c r="A1726" s="12" t="s">
        <v>4861</v>
      </c>
      <c r="B1726" s="12" t="s">
        <v>4052</v>
      </c>
      <c r="C1726" s="12">
        <v>11206993</v>
      </c>
      <c r="D1726" s="12">
        <v>11373419</v>
      </c>
      <c r="E1726" s="12" t="s">
        <v>3940</v>
      </c>
      <c r="F1726" s="12">
        <v>2</v>
      </c>
      <c r="G1726" s="41" t="s">
        <v>93</v>
      </c>
      <c r="H1726" s="12" t="s">
        <v>6424</v>
      </c>
      <c r="I1726" s="41" t="s">
        <v>7427</v>
      </c>
      <c r="M1726" s="41" t="e">
        <f>VLOOKUP(I1726,错误mRNA总表!D:I,6,FALSE)</f>
        <v>#N/A</v>
      </c>
    </row>
    <row r="1727" spans="1:13" x14ac:dyDescent="0.2">
      <c r="A1727" s="12" t="s">
        <v>4861</v>
      </c>
      <c r="B1727" s="12" t="s">
        <v>4052</v>
      </c>
      <c r="C1727" s="12">
        <v>11206993</v>
      </c>
      <c r="D1727" s="12">
        <v>11375226</v>
      </c>
      <c r="E1727" s="12" t="s">
        <v>3940</v>
      </c>
      <c r="F1727" s="12">
        <v>1</v>
      </c>
      <c r="G1727" s="41" t="s">
        <v>93</v>
      </c>
      <c r="H1727" s="12" t="s">
        <v>6424</v>
      </c>
      <c r="I1727" s="41" t="s">
        <v>7427</v>
      </c>
      <c r="M1727" s="41" t="e">
        <f>VLOOKUP(I1727,错误mRNA总表!D:I,6,FALSE)</f>
        <v>#N/A</v>
      </c>
    </row>
    <row r="1728" spans="1:13" x14ac:dyDescent="0.2">
      <c r="A1728" s="12" t="s">
        <v>4862</v>
      </c>
      <c r="B1728" s="12" t="s">
        <v>4004</v>
      </c>
      <c r="C1728" s="12">
        <v>8175258</v>
      </c>
      <c r="D1728" s="12">
        <v>8234868</v>
      </c>
      <c r="E1728" s="12" t="s">
        <v>3940</v>
      </c>
      <c r="F1728" s="12">
        <v>6</v>
      </c>
      <c r="G1728" s="41" t="s">
        <v>103</v>
      </c>
      <c r="H1728" s="12" t="s">
        <v>6425</v>
      </c>
      <c r="I1728" s="41" t="s">
        <v>7428</v>
      </c>
      <c r="M1728" s="41" t="e">
        <f>VLOOKUP(I1728,错误mRNA总表!D:I,6,FALSE)</f>
        <v>#N/A</v>
      </c>
    </row>
    <row r="1729" spans="1:13" x14ac:dyDescent="0.2">
      <c r="A1729" s="12" t="s">
        <v>4862</v>
      </c>
      <c r="B1729" s="12" t="s">
        <v>4004</v>
      </c>
      <c r="C1729" s="12">
        <v>8175258</v>
      </c>
      <c r="D1729" s="12">
        <v>8176387</v>
      </c>
      <c r="E1729" s="12" t="s">
        <v>3940</v>
      </c>
      <c r="F1729" s="12">
        <v>6</v>
      </c>
      <c r="G1729" s="41" t="s">
        <v>103</v>
      </c>
      <c r="H1729" s="12" t="s">
        <v>6425</v>
      </c>
      <c r="I1729" s="41" t="s">
        <v>7428</v>
      </c>
      <c r="M1729" s="41" t="e">
        <f>VLOOKUP(I1729,错误mRNA总表!D:I,6,FALSE)</f>
        <v>#N/A</v>
      </c>
    </row>
    <row r="1730" spans="1:13" x14ac:dyDescent="0.2">
      <c r="A1730" s="12" t="s">
        <v>4863</v>
      </c>
      <c r="B1730" s="12" t="s">
        <v>4864</v>
      </c>
      <c r="C1730" s="12">
        <v>1271</v>
      </c>
      <c r="D1730" s="12">
        <v>1274</v>
      </c>
      <c r="E1730" s="12" t="s">
        <v>3940</v>
      </c>
      <c r="F1730" s="12">
        <v>1</v>
      </c>
      <c r="H1730" s="12" t="s">
        <v>3412</v>
      </c>
      <c r="I1730" s="41" t="s">
        <v>7429</v>
      </c>
      <c r="M1730" s="41" t="e">
        <f>VLOOKUP(I1730,错误mRNA总表!D:I,6,FALSE)</f>
        <v>#N/A</v>
      </c>
    </row>
    <row r="1731" spans="1:13" x14ac:dyDescent="0.2">
      <c r="A1731" s="12" t="s">
        <v>4863</v>
      </c>
      <c r="B1731" s="12" t="s">
        <v>4864</v>
      </c>
      <c r="C1731" s="12">
        <v>1271</v>
      </c>
      <c r="D1731" s="12">
        <v>1281</v>
      </c>
      <c r="E1731" s="12" t="s">
        <v>3943</v>
      </c>
      <c r="F1731" s="12">
        <v>1</v>
      </c>
      <c r="H1731" s="12" t="s">
        <v>3412</v>
      </c>
      <c r="I1731" s="41" t="s">
        <v>7429</v>
      </c>
      <c r="M1731" s="41" t="e">
        <f>VLOOKUP(I1731,错误mRNA总表!D:I,6,FALSE)</f>
        <v>#N/A</v>
      </c>
    </row>
    <row r="1732" spans="1:13" x14ac:dyDescent="0.2">
      <c r="A1732" s="12" t="s">
        <v>4863</v>
      </c>
      <c r="B1732" s="12" t="s">
        <v>4864</v>
      </c>
      <c r="C1732" s="12">
        <v>1271</v>
      </c>
      <c r="D1732" s="12">
        <v>1287</v>
      </c>
      <c r="E1732" s="12" t="s">
        <v>3943</v>
      </c>
      <c r="F1732" s="12">
        <v>1</v>
      </c>
      <c r="H1732" s="12" t="s">
        <v>3412</v>
      </c>
      <c r="I1732" s="41" t="s">
        <v>7429</v>
      </c>
      <c r="M1732" s="41" t="e">
        <f>VLOOKUP(I1732,错误mRNA总表!D:I,6,FALSE)</f>
        <v>#N/A</v>
      </c>
    </row>
    <row r="1733" spans="1:13" x14ac:dyDescent="0.2">
      <c r="A1733" s="12" t="s">
        <v>4863</v>
      </c>
      <c r="B1733" s="12" t="s">
        <v>4864</v>
      </c>
      <c r="C1733" s="12">
        <v>1271</v>
      </c>
      <c r="D1733" s="12">
        <v>1297</v>
      </c>
      <c r="E1733" s="12" t="s">
        <v>3943</v>
      </c>
      <c r="F1733" s="12">
        <v>7</v>
      </c>
      <c r="H1733" s="12" t="s">
        <v>3412</v>
      </c>
      <c r="I1733" s="41" t="s">
        <v>7429</v>
      </c>
      <c r="M1733" s="41" t="e">
        <f>VLOOKUP(I1733,错误mRNA总表!D:I,6,FALSE)</f>
        <v>#N/A</v>
      </c>
    </row>
    <row r="1734" spans="1:13" x14ac:dyDescent="0.2">
      <c r="A1734" s="12" t="s">
        <v>4865</v>
      </c>
      <c r="B1734" s="12" t="s">
        <v>3946</v>
      </c>
      <c r="C1734" s="12">
        <v>29815019</v>
      </c>
      <c r="D1734" s="12">
        <v>29863658</v>
      </c>
      <c r="E1734" s="12" t="s">
        <v>3943</v>
      </c>
      <c r="F1734" s="12">
        <v>1</v>
      </c>
      <c r="G1734" s="41" t="s">
        <v>47</v>
      </c>
      <c r="H1734" s="12" t="s">
        <v>6056</v>
      </c>
      <c r="I1734" s="41" t="s">
        <v>7430</v>
      </c>
      <c r="M1734" s="41" t="e">
        <f>VLOOKUP(I1734,错误mRNA总表!D:I,6,FALSE)</f>
        <v>#N/A</v>
      </c>
    </row>
    <row r="1735" spans="1:13" x14ac:dyDescent="0.2">
      <c r="A1735" s="12" t="s">
        <v>4866</v>
      </c>
      <c r="B1735" s="12" t="s">
        <v>3957</v>
      </c>
      <c r="C1735" s="12">
        <v>46638826</v>
      </c>
      <c r="D1735" s="12">
        <v>46694313</v>
      </c>
      <c r="E1735" s="12" t="s">
        <v>3943</v>
      </c>
      <c r="F1735" s="12">
        <v>2</v>
      </c>
      <c r="G1735" s="41" t="s">
        <v>36</v>
      </c>
      <c r="H1735" s="12" t="s">
        <v>6057</v>
      </c>
      <c r="I1735" s="41" t="s">
        <v>7431</v>
      </c>
      <c r="M1735" s="41" t="e">
        <f>VLOOKUP(I1735,错误mRNA总表!D:I,6,FALSE)</f>
        <v>#N/A</v>
      </c>
    </row>
    <row r="1736" spans="1:13" x14ac:dyDescent="0.2">
      <c r="A1736" s="12" t="s">
        <v>4416</v>
      </c>
      <c r="B1736" s="12" t="s">
        <v>4001</v>
      </c>
      <c r="C1736" s="12">
        <v>1063331</v>
      </c>
      <c r="D1736" s="12">
        <v>1064001</v>
      </c>
      <c r="E1736" s="12" t="s">
        <v>3940</v>
      </c>
      <c r="F1736" s="12">
        <v>21</v>
      </c>
      <c r="H1736" s="12" t="s">
        <v>5893</v>
      </c>
      <c r="I1736" s="41" t="s">
        <v>7432</v>
      </c>
      <c r="M1736" s="41" t="e">
        <f>VLOOKUP(I1736,错误mRNA总表!D:I,6,FALSE)</f>
        <v>#N/A</v>
      </c>
    </row>
    <row r="1737" spans="1:13" x14ac:dyDescent="0.2">
      <c r="A1737" s="12" t="s">
        <v>4867</v>
      </c>
      <c r="B1737" s="12" t="s">
        <v>4354</v>
      </c>
      <c r="C1737" s="12">
        <v>16012</v>
      </c>
      <c r="D1737" s="12">
        <v>16016</v>
      </c>
      <c r="E1737" s="12" t="s">
        <v>3943</v>
      </c>
      <c r="F1737" s="12">
        <v>1</v>
      </c>
      <c r="H1737" s="12" t="s">
        <v>3440</v>
      </c>
      <c r="I1737" s="41" t="s">
        <v>7433</v>
      </c>
      <c r="M1737" s="41" t="e">
        <f>VLOOKUP(I1737,错误mRNA总表!D:I,6,FALSE)</f>
        <v>#N/A</v>
      </c>
    </row>
    <row r="1738" spans="1:13" x14ac:dyDescent="0.2">
      <c r="A1738" s="12" t="s">
        <v>4868</v>
      </c>
      <c r="B1738" s="12" t="s">
        <v>4107</v>
      </c>
      <c r="C1738" s="12">
        <v>1298395</v>
      </c>
      <c r="D1738" s="12">
        <v>1308746</v>
      </c>
      <c r="E1738" s="12" t="s">
        <v>3940</v>
      </c>
      <c r="F1738" s="12">
        <v>116</v>
      </c>
      <c r="H1738" s="12" t="s">
        <v>3684</v>
      </c>
      <c r="I1738" s="41" t="s">
        <v>7434</v>
      </c>
      <c r="M1738" s="41" t="e">
        <f>VLOOKUP(I1738,错误mRNA总表!D:I,6,FALSE)</f>
        <v>#N/A</v>
      </c>
    </row>
    <row r="1739" spans="1:13" x14ac:dyDescent="0.2">
      <c r="A1739" s="12" t="s">
        <v>4869</v>
      </c>
      <c r="B1739" s="12" t="s">
        <v>3957</v>
      </c>
      <c r="C1739" s="12">
        <v>46638826</v>
      </c>
      <c r="D1739" s="12">
        <v>46694313</v>
      </c>
      <c r="E1739" s="12" t="s">
        <v>3943</v>
      </c>
      <c r="F1739" s="12">
        <v>2</v>
      </c>
      <c r="G1739" s="41" t="s">
        <v>36</v>
      </c>
      <c r="H1739" s="12" t="s">
        <v>6058</v>
      </c>
      <c r="I1739" s="41" t="s">
        <v>7435</v>
      </c>
      <c r="M1739" s="41" t="e">
        <f>VLOOKUP(I1739,错误mRNA总表!D:I,6,FALSE)</f>
        <v>#N/A</v>
      </c>
    </row>
    <row r="1740" spans="1:13" x14ac:dyDescent="0.2">
      <c r="A1740" s="12" t="s">
        <v>4870</v>
      </c>
      <c r="B1740" s="12" t="s">
        <v>4124</v>
      </c>
      <c r="C1740" s="12">
        <v>234054795</v>
      </c>
      <c r="D1740" s="12">
        <v>234054799</v>
      </c>
      <c r="E1740" s="12" t="s">
        <v>3940</v>
      </c>
      <c r="F1740" s="12">
        <v>1</v>
      </c>
      <c r="G1740" s="41" t="s">
        <v>1</v>
      </c>
      <c r="H1740" s="12" t="s">
        <v>260</v>
      </c>
      <c r="I1740" s="41" t="s">
        <v>2215</v>
      </c>
      <c r="J1740" s="41" t="s">
        <v>2213</v>
      </c>
      <c r="K1740" s="41" t="str">
        <f>VLOOKUP(J1740,错误mRNA总表!D:J,7,FALSE)</f>
        <v/>
      </c>
      <c r="L1740" s="41" t="s">
        <v>3762</v>
      </c>
      <c r="M1740" s="41">
        <f>VLOOKUP(I1740,错误mRNA总表!D:I,6,FALSE)</f>
        <v>0</v>
      </c>
    </row>
    <row r="1741" spans="1:13" x14ac:dyDescent="0.2">
      <c r="A1741" s="12" t="s">
        <v>4870</v>
      </c>
      <c r="B1741" s="12" t="s">
        <v>4124</v>
      </c>
      <c r="C1741" s="12">
        <v>234054795</v>
      </c>
      <c r="D1741" s="12">
        <v>234054801</v>
      </c>
      <c r="E1741" s="12" t="s">
        <v>3940</v>
      </c>
      <c r="F1741" s="12">
        <v>4</v>
      </c>
      <c r="G1741" s="41" t="s">
        <v>1</v>
      </c>
      <c r="H1741" s="12" t="s">
        <v>260</v>
      </c>
      <c r="I1741" s="41" t="s">
        <v>2215</v>
      </c>
      <c r="J1741" s="41" t="s">
        <v>2213</v>
      </c>
      <c r="K1741" s="41" t="str">
        <f>VLOOKUP(J1741,错误mRNA总表!D:J,7,FALSE)</f>
        <v/>
      </c>
      <c r="L1741" s="41" t="s">
        <v>3762</v>
      </c>
      <c r="M1741" s="41">
        <f>VLOOKUP(I1741,错误mRNA总表!D:I,6,FALSE)</f>
        <v>0</v>
      </c>
    </row>
    <row r="1742" spans="1:13" x14ac:dyDescent="0.2">
      <c r="A1742" s="12" t="s">
        <v>4870</v>
      </c>
      <c r="B1742" s="12" t="s">
        <v>4124</v>
      </c>
      <c r="C1742" s="12">
        <v>234054795</v>
      </c>
      <c r="D1742" s="12">
        <v>234054804</v>
      </c>
      <c r="E1742" s="12" t="s">
        <v>3940</v>
      </c>
      <c r="F1742" s="12">
        <v>1</v>
      </c>
      <c r="G1742" s="41" t="s">
        <v>1</v>
      </c>
      <c r="H1742" s="12" t="s">
        <v>260</v>
      </c>
      <c r="I1742" s="41" t="s">
        <v>2215</v>
      </c>
      <c r="J1742" s="41" t="s">
        <v>2213</v>
      </c>
      <c r="K1742" s="41" t="str">
        <f>VLOOKUP(J1742,错误mRNA总表!D:J,7,FALSE)</f>
        <v/>
      </c>
      <c r="L1742" s="41" t="s">
        <v>3762</v>
      </c>
      <c r="M1742" s="41">
        <f>VLOOKUP(I1742,错误mRNA总表!D:I,6,FALSE)</f>
        <v>0</v>
      </c>
    </row>
    <row r="1743" spans="1:13" x14ac:dyDescent="0.2">
      <c r="A1743" s="12" t="s">
        <v>4871</v>
      </c>
      <c r="B1743" s="12" t="s">
        <v>3946</v>
      </c>
      <c r="C1743" s="12">
        <v>21142183</v>
      </c>
      <c r="D1743" s="12">
        <v>21156530</v>
      </c>
      <c r="E1743" s="12" t="s">
        <v>3940</v>
      </c>
      <c r="F1743" s="12">
        <v>1</v>
      </c>
      <c r="G1743" s="41" t="s">
        <v>47</v>
      </c>
      <c r="H1743" s="12" t="s">
        <v>237</v>
      </c>
      <c r="I1743" s="41" t="s">
        <v>2160</v>
      </c>
      <c r="J1743" s="41" t="s">
        <v>2160</v>
      </c>
      <c r="K1743" s="41" t="str">
        <f>VLOOKUP(J1743,错误mRNA总表!D:J,7,FALSE)</f>
        <v>纠后正确</v>
      </c>
      <c r="L1743" s="41" t="s">
        <v>3763</v>
      </c>
      <c r="M1743" s="41">
        <f>VLOOKUP(I1743,错误mRNA总表!D:I,6,FALSE)</f>
        <v>0</v>
      </c>
    </row>
    <row r="1744" spans="1:13" x14ac:dyDescent="0.2">
      <c r="A1744" s="12" t="s">
        <v>4872</v>
      </c>
      <c r="B1744" s="12" t="s">
        <v>3957</v>
      </c>
      <c r="C1744" s="12">
        <v>119020299</v>
      </c>
      <c r="D1744" s="12">
        <v>119031844</v>
      </c>
      <c r="E1744" s="12" t="s">
        <v>3940</v>
      </c>
      <c r="F1744" s="12">
        <v>1</v>
      </c>
      <c r="G1744" s="41" t="s">
        <v>36</v>
      </c>
      <c r="H1744" s="12" t="s">
        <v>6059</v>
      </c>
      <c r="I1744" s="41" t="s">
        <v>7436</v>
      </c>
      <c r="M1744" s="41" t="e">
        <f>VLOOKUP(I1744,错误mRNA总表!D:I,6,FALSE)</f>
        <v>#N/A</v>
      </c>
    </row>
    <row r="1745" spans="1:13" x14ac:dyDescent="0.2">
      <c r="A1745" s="12" t="s">
        <v>4873</v>
      </c>
      <c r="B1745" s="12" t="s">
        <v>4045</v>
      </c>
      <c r="C1745" s="12">
        <v>450915</v>
      </c>
      <c r="D1745" s="12">
        <v>484784</v>
      </c>
      <c r="E1745" s="12" t="s">
        <v>3940</v>
      </c>
      <c r="F1745" s="12">
        <v>3</v>
      </c>
      <c r="H1745" s="12" t="s">
        <v>6060</v>
      </c>
      <c r="I1745" s="41" t="s">
        <v>7437</v>
      </c>
      <c r="M1745" s="41" t="e">
        <f>VLOOKUP(I1745,错误mRNA总表!D:I,6,FALSE)</f>
        <v>#N/A</v>
      </c>
    </row>
    <row r="1746" spans="1:13" x14ac:dyDescent="0.2">
      <c r="A1746" s="12" t="s">
        <v>4874</v>
      </c>
      <c r="B1746" s="12" t="s">
        <v>4066</v>
      </c>
      <c r="C1746" s="12">
        <v>6422526</v>
      </c>
      <c r="D1746" s="12">
        <v>6422728</v>
      </c>
      <c r="E1746" s="12" t="s">
        <v>3943</v>
      </c>
      <c r="F1746" s="12">
        <v>3</v>
      </c>
      <c r="H1746" s="12" t="s">
        <v>6061</v>
      </c>
      <c r="I1746" s="41" t="s">
        <v>7438</v>
      </c>
      <c r="M1746" s="41" t="e">
        <f>VLOOKUP(I1746,错误mRNA总表!D:I,6,FALSE)</f>
        <v>#N/A</v>
      </c>
    </row>
    <row r="1747" spans="1:13" x14ac:dyDescent="0.2">
      <c r="A1747" s="12" t="s">
        <v>4053</v>
      </c>
      <c r="B1747" s="12" t="s">
        <v>3989</v>
      </c>
      <c r="C1747" s="12">
        <v>1132308</v>
      </c>
      <c r="D1747" s="12">
        <v>1136133</v>
      </c>
      <c r="E1747" s="12" t="s">
        <v>3943</v>
      </c>
      <c r="F1747" s="12">
        <v>14</v>
      </c>
      <c r="H1747" s="12" t="s">
        <v>3531</v>
      </c>
      <c r="I1747" s="41" t="s">
        <v>7439</v>
      </c>
      <c r="M1747" s="41" t="e">
        <f>VLOOKUP(I1747,错误mRNA总表!D:I,6,FALSE)</f>
        <v>#N/A</v>
      </c>
    </row>
    <row r="1748" spans="1:13" x14ac:dyDescent="0.2">
      <c r="A1748" s="12" t="s">
        <v>4875</v>
      </c>
      <c r="B1748" s="12" t="s">
        <v>4042</v>
      </c>
      <c r="C1748" s="12">
        <v>85049399</v>
      </c>
      <c r="D1748" s="12">
        <v>85055898</v>
      </c>
      <c r="E1748" s="12" t="s">
        <v>3940</v>
      </c>
      <c r="F1748" s="12">
        <v>357</v>
      </c>
      <c r="G1748" s="41" t="s">
        <v>113</v>
      </c>
      <c r="H1748" s="12" t="s">
        <v>6524</v>
      </c>
      <c r="I1748" s="41" t="s">
        <v>7440</v>
      </c>
      <c r="M1748" s="41" t="e">
        <f>VLOOKUP(I1748,错误mRNA总表!D:I,6,FALSE)</f>
        <v>#N/A</v>
      </c>
    </row>
    <row r="1749" spans="1:13" x14ac:dyDescent="0.2">
      <c r="A1749" s="12" t="s">
        <v>4876</v>
      </c>
      <c r="B1749" s="12" t="s">
        <v>4055</v>
      </c>
      <c r="C1749" s="12">
        <v>8234807</v>
      </c>
      <c r="D1749" s="12">
        <v>8249389</v>
      </c>
      <c r="E1749" s="12" t="s">
        <v>3943</v>
      </c>
      <c r="F1749" s="12">
        <v>1</v>
      </c>
      <c r="G1749" s="41" t="s">
        <v>212</v>
      </c>
      <c r="H1749" s="12" t="s">
        <v>6062</v>
      </c>
      <c r="I1749" s="41" t="s">
        <v>7441</v>
      </c>
      <c r="M1749" s="41" t="e">
        <f>VLOOKUP(I1749,错误mRNA总表!D:I,6,FALSE)</f>
        <v>#N/A</v>
      </c>
    </row>
    <row r="1750" spans="1:13" x14ac:dyDescent="0.2">
      <c r="A1750" s="12" t="s">
        <v>4877</v>
      </c>
      <c r="B1750" s="12" t="s">
        <v>3996</v>
      </c>
      <c r="C1750" s="12">
        <v>3116416</v>
      </c>
      <c r="D1750" s="12">
        <v>3116512</v>
      </c>
      <c r="E1750" s="12" t="s">
        <v>3943</v>
      </c>
      <c r="F1750" s="12">
        <v>4</v>
      </c>
      <c r="H1750" s="12" t="s">
        <v>3559</v>
      </c>
      <c r="I1750" s="41" t="s">
        <v>7442</v>
      </c>
      <c r="M1750" s="41" t="e">
        <f>VLOOKUP(I1750,错误mRNA总表!D:I,6,FALSE)</f>
        <v>#N/A</v>
      </c>
    </row>
    <row r="1751" spans="1:13" x14ac:dyDescent="0.2">
      <c r="A1751" s="12" t="s">
        <v>4878</v>
      </c>
      <c r="B1751" s="12" t="s">
        <v>3978</v>
      </c>
      <c r="C1751" s="12">
        <v>12938836</v>
      </c>
      <c r="D1751" s="12">
        <v>12942850</v>
      </c>
      <c r="E1751" s="12" t="s">
        <v>3943</v>
      </c>
      <c r="F1751" s="12">
        <v>1</v>
      </c>
      <c r="G1751" s="41" t="s">
        <v>86</v>
      </c>
      <c r="H1751" s="12" t="s">
        <v>6063</v>
      </c>
      <c r="I1751" s="41" t="s">
        <v>7443</v>
      </c>
      <c r="M1751" s="41" t="e">
        <f>VLOOKUP(I1751,错误mRNA总表!D:I,6,FALSE)</f>
        <v>#N/A</v>
      </c>
    </row>
    <row r="1752" spans="1:13" x14ac:dyDescent="0.2">
      <c r="A1752" s="12" t="s">
        <v>4879</v>
      </c>
      <c r="B1752" s="12" t="s">
        <v>3986</v>
      </c>
      <c r="C1752" s="12">
        <v>44930423</v>
      </c>
      <c r="D1752" s="12">
        <v>44931670</v>
      </c>
      <c r="E1752" s="12" t="s">
        <v>3943</v>
      </c>
      <c r="F1752" s="12">
        <v>3</v>
      </c>
      <c r="G1752" s="41" t="s">
        <v>50</v>
      </c>
      <c r="H1752" s="12" t="s">
        <v>6426</v>
      </c>
      <c r="I1752" s="41" t="s">
        <v>7444</v>
      </c>
      <c r="M1752" s="41" t="e">
        <f>VLOOKUP(I1752,错误mRNA总表!D:I,6,FALSE)</f>
        <v>#N/A</v>
      </c>
    </row>
    <row r="1753" spans="1:13" x14ac:dyDescent="0.2">
      <c r="A1753" s="12" t="s">
        <v>4880</v>
      </c>
      <c r="B1753" s="12" t="s">
        <v>4023</v>
      </c>
      <c r="C1753" s="12">
        <v>1524848</v>
      </c>
      <c r="D1753" s="12">
        <v>1577426</v>
      </c>
      <c r="E1753" s="12" t="s">
        <v>3943</v>
      </c>
      <c r="F1753" s="12">
        <v>3</v>
      </c>
      <c r="H1753" s="12" t="s">
        <v>6064</v>
      </c>
      <c r="I1753" s="41" t="s">
        <v>7445</v>
      </c>
      <c r="M1753" s="41" t="e">
        <f>VLOOKUP(I1753,错误mRNA总表!D:I,6,FALSE)</f>
        <v>#N/A</v>
      </c>
    </row>
    <row r="1754" spans="1:13" x14ac:dyDescent="0.2">
      <c r="A1754" s="12" t="s">
        <v>4120</v>
      </c>
      <c r="B1754" s="12" t="s">
        <v>4045</v>
      </c>
      <c r="C1754" s="12">
        <v>369240</v>
      </c>
      <c r="D1754" s="12">
        <v>373178</v>
      </c>
      <c r="E1754" s="12" t="s">
        <v>3940</v>
      </c>
      <c r="F1754" s="12">
        <v>266</v>
      </c>
      <c r="H1754" s="12" t="s">
        <v>3662</v>
      </c>
      <c r="I1754" s="41" t="s">
        <v>7446</v>
      </c>
      <c r="M1754" s="41" t="e">
        <f>VLOOKUP(I1754,错误mRNA总表!D:I,6,FALSE)</f>
        <v>#N/A</v>
      </c>
    </row>
    <row r="1755" spans="1:13" x14ac:dyDescent="0.2">
      <c r="A1755" s="12" t="s">
        <v>4120</v>
      </c>
      <c r="B1755" s="12" t="s">
        <v>4045</v>
      </c>
      <c r="C1755" s="12">
        <v>369240</v>
      </c>
      <c r="D1755" s="12">
        <v>373162</v>
      </c>
      <c r="E1755" s="12" t="s">
        <v>3940</v>
      </c>
      <c r="F1755" s="12">
        <v>1</v>
      </c>
      <c r="H1755" s="12" t="s">
        <v>3662</v>
      </c>
      <c r="I1755" s="41" t="s">
        <v>7446</v>
      </c>
      <c r="M1755" s="41" t="e">
        <f>VLOOKUP(I1755,错误mRNA总表!D:I,6,FALSE)</f>
        <v>#N/A</v>
      </c>
    </row>
    <row r="1756" spans="1:13" x14ac:dyDescent="0.2">
      <c r="A1756" s="12" t="s">
        <v>4120</v>
      </c>
      <c r="B1756" s="12" t="s">
        <v>4045</v>
      </c>
      <c r="C1756" s="12">
        <v>369240</v>
      </c>
      <c r="D1756" s="12">
        <v>373168</v>
      </c>
      <c r="E1756" s="12" t="s">
        <v>3940</v>
      </c>
      <c r="F1756" s="12">
        <v>2</v>
      </c>
      <c r="H1756" s="12" t="s">
        <v>3662</v>
      </c>
      <c r="I1756" s="41" t="s">
        <v>7446</v>
      </c>
      <c r="M1756" s="41" t="e">
        <f>VLOOKUP(I1756,错误mRNA总表!D:I,6,FALSE)</f>
        <v>#N/A</v>
      </c>
    </row>
    <row r="1757" spans="1:13" x14ac:dyDescent="0.2">
      <c r="A1757" s="12" t="s">
        <v>4120</v>
      </c>
      <c r="B1757" s="12" t="s">
        <v>4045</v>
      </c>
      <c r="C1757" s="12">
        <v>369240</v>
      </c>
      <c r="D1757" s="12">
        <v>380001</v>
      </c>
      <c r="E1757" s="12" t="s">
        <v>3940</v>
      </c>
      <c r="F1757" s="12">
        <v>21</v>
      </c>
      <c r="H1757" s="12" t="s">
        <v>3662</v>
      </c>
      <c r="I1757" s="41" t="s">
        <v>7446</v>
      </c>
      <c r="M1757" s="41" t="e">
        <f>VLOOKUP(I1757,错误mRNA总表!D:I,6,FALSE)</f>
        <v>#N/A</v>
      </c>
    </row>
    <row r="1758" spans="1:13" x14ac:dyDescent="0.2">
      <c r="A1758" s="12" t="s">
        <v>4120</v>
      </c>
      <c r="B1758" s="12" t="s">
        <v>4045</v>
      </c>
      <c r="C1758" s="12">
        <v>369240</v>
      </c>
      <c r="D1758" s="12">
        <v>383360</v>
      </c>
      <c r="E1758" s="12" t="s">
        <v>3940</v>
      </c>
      <c r="F1758" s="12">
        <v>159</v>
      </c>
      <c r="H1758" s="12" t="s">
        <v>3662</v>
      </c>
      <c r="I1758" s="41" t="s">
        <v>7446</v>
      </c>
      <c r="M1758" s="41" t="e">
        <f>VLOOKUP(I1758,错误mRNA总表!D:I,6,FALSE)</f>
        <v>#N/A</v>
      </c>
    </row>
    <row r="1759" spans="1:13" x14ac:dyDescent="0.2">
      <c r="A1759" s="12" t="s">
        <v>4120</v>
      </c>
      <c r="B1759" s="12" t="s">
        <v>4045</v>
      </c>
      <c r="C1759" s="12">
        <v>369240</v>
      </c>
      <c r="D1759" s="12">
        <v>383341</v>
      </c>
      <c r="E1759" s="12" t="s">
        <v>3943</v>
      </c>
      <c r="F1759" s="12">
        <v>1</v>
      </c>
      <c r="H1759" s="12" t="s">
        <v>3662</v>
      </c>
      <c r="I1759" s="41" t="s">
        <v>7446</v>
      </c>
      <c r="M1759" s="41" t="e">
        <f>VLOOKUP(I1759,错误mRNA总表!D:I,6,FALSE)</f>
        <v>#N/A</v>
      </c>
    </row>
    <row r="1760" spans="1:13" x14ac:dyDescent="0.2">
      <c r="A1760" s="12" t="s">
        <v>4120</v>
      </c>
      <c r="B1760" s="12" t="s">
        <v>4045</v>
      </c>
      <c r="C1760" s="12">
        <v>369240</v>
      </c>
      <c r="D1760" s="12">
        <v>383347</v>
      </c>
      <c r="E1760" s="12" t="s">
        <v>3943</v>
      </c>
      <c r="F1760" s="12">
        <v>1</v>
      </c>
      <c r="H1760" s="12" t="s">
        <v>3662</v>
      </c>
      <c r="I1760" s="41" t="s">
        <v>7446</v>
      </c>
      <c r="M1760" s="41" t="e">
        <f>VLOOKUP(I1760,错误mRNA总表!D:I,6,FALSE)</f>
        <v>#N/A</v>
      </c>
    </row>
    <row r="1761" spans="1:13" x14ac:dyDescent="0.2">
      <c r="A1761" s="12" t="s">
        <v>4120</v>
      </c>
      <c r="B1761" s="12" t="s">
        <v>4045</v>
      </c>
      <c r="C1761" s="12">
        <v>369240</v>
      </c>
      <c r="D1761" s="12">
        <v>383352</v>
      </c>
      <c r="E1761" s="12" t="s">
        <v>3943</v>
      </c>
      <c r="F1761" s="12">
        <v>1</v>
      </c>
      <c r="H1761" s="12" t="s">
        <v>3662</v>
      </c>
      <c r="I1761" s="41" t="s">
        <v>7446</v>
      </c>
      <c r="M1761" s="41" t="e">
        <f>VLOOKUP(I1761,错误mRNA总表!D:I,6,FALSE)</f>
        <v>#N/A</v>
      </c>
    </row>
    <row r="1762" spans="1:13" x14ac:dyDescent="0.2">
      <c r="A1762" s="12" t="s">
        <v>4120</v>
      </c>
      <c r="B1762" s="12" t="s">
        <v>4045</v>
      </c>
      <c r="C1762" s="12">
        <v>369240</v>
      </c>
      <c r="D1762" s="12">
        <v>391171</v>
      </c>
      <c r="E1762" s="12" t="s">
        <v>3940</v>
      </c>
      <c r="F1762" s="12">
        <v>12</v>
      </c>
      <c r="H1762" s="12" t="s">
        <v>3662</v>
      </c>
      <c r="I1762" s="41" t="s">
        <v>7446</v>
      </c>
      <c r="M1762" s="41" t="e">
        <f>VLOOKUP(I1762,错误mRNA总表!D:I,6,FALSE)</f>
        <v>#N/A</v>
      </c>
    </row>
    <row r="1763" spans="1:13" x14ac:dyDescent="0.2">
      <c r="A1763" s="12" t="s">
        <v>4120</v>
      </c>
      <c r="B1763" s="12" t="s">
        <v>4045</v>
      </c>
      <c r="C1763" s="12">
        <v>369240</v>
      </c>
      <c r="D1763" s="12">
        <v>393418</v>
      </c>
      <c r="E1763" s="12" t="s">
        <v>3940</v>
      </c>
      <c r="F1763" s="12">
        <v>66</v>
      </c>
      <c r="H1763" s="12" t="s">
        <v>3662</v>
      </c>
      <c r="I1763" s="41" t="s">
        <v>7446</v>
      </c>
      <c r="M1763" s="41" t="e">
        <f>VLOOKUP(I1763,错误mRNA总表!D:I,6,FALSE)</f>
        <v>#N/A</v>
      </c>
    </row>
    <row r="1764" spans="1:13" x14ac:dyDescent="0.2">
      <c r="A1764" s="12" t="s">
        <v>4881</v>
      </c>
      <c r="B1764" s="12" t="s">
        <v>3957</v>
      </c>
      <c r="C1764" s="12">
        <v>71846771</v>
      </c>
      <c r="D1764" s="12">
        <v>71850157</v>
      </c>
      <c r="E1764" s="12" t="s">
        <v>3940</v>
      </c>
      <c r="F1764" s="12">
        <v>2</v>
      </c>
      <c r="G1764" s="41" t="s">
        <v>36</v>
      </c>
      <c r="H1764" s="12" t="s">
        <v>184</v>
      </c>
      <c r="I1764" s="41" t="s">
        <v>2166</v>
      </c>
      <c r="J1764" s="41" t="s">
        <v>2166</v>
      </c>
      <c r="K1764" s="41" t="str">
        <f>VLOOKUP(J1764,错误mRNA总表!D:J,7,FALSE)</f>
        <v>纠后正确</v>
      </c>
      <c r="L1764" s="41" t="s">
        <v>3763</v>
      </c>
      <c r="M1764" s="41">
        <f>VLOOKUP(I1764,错误mRNA总表!D:I,6,FALSE)</f>
        <v>0</v>
      </c>
    </row>
    <row r="1765" spans="1:13" x14ac:dyDescent="0.2">
      <c r="A1765" s="12" t="s">
        <v>4882</v>
      </c>
      <c r="B1765" s="12" t="s">
        <v>3986</v>
      </c>
      <c r="C1765" s="12">
        <v>4910379</v>
      </c>
      <c r="D1765" s="12">
        <v>4954680</v>
      </c>
      <c r="E1765" s="12" t="s">
        <v>3940</v>
      </c>
      <c r="F1765" s="12">
        <v>1</v>
      </c>
      <c r="G1765" s="41" t="s">
        <v>50</v>
      </c>
      <c r="H1765" s="12" t="s">
        <v>6065</v>
      </c>
      <c r="I1765" s="41" t="s">
        <v>7447</v>
      </c>
      <c r="M1765" s="41" t="e">
        <f>VLOOKUP(I1765,错误mRNA总表!D:I,6,FALSE)</f>
        <v>#N/A</v>
      </c>
    </row>
    <row r="1766" spans="1:13" x14ac:dyDescent="0.2">
      <c r="A1766" s="12" t="s">
        <v>4883</v>
      </c>
      <c r="B1766" s="12" t="s">
        <v>4098</v>
      </c>
      <c r="C1766" s="12">
        <v>338148</v>
      </c>
      <c r="D1766" s="12">
        <v>338163</v>
      </c>
      <c r="E1766" s="12" t="s">
        <v>3940</v>
      </c>
      <c r="F1766" s="12">
        <v>213</v>
      </c>
      <c r="H1766" s="12" t="s">
        <v>3475</v>
      </c>
      <c r="I1766" s="41" t="s">
        <v>7448</v>
      </c>
      <c r="M1766" s="41" t="e">
        <f>VLOOKUP(I1766,错误mRNA总表!D:I,6,FALSE)</f>
        <v>#N/A</v>
      </c>
    </row>
    <row r="1767" spans="1:13" x14ac:dyDescent="0.2">
      <c r="A1767" s="12" t="s">
        <v>4883</v>
      </c>
      <c r="B1767" s="12" t="s">
        <v>4098</v>
      </c>
      <c r="C1767" s="12">
        <v>338148</v>
      </c>
      <c r="D1767" s="12">
        <v>340916</v>
      </c>
      <c r="E1767" s="12" t="s">
        <v>3940</v>
      </c>
      <c r="F1767" s="12">
        <v>245</v>
      </c>
      <c r="H1767" s="12" t="s">
        <v>3475</v>
      </c>
      <c r="I1767" s="41" t="s">
        <v>7448</v>
      </c>
      <c r="M1767" s="41" t="e">
        <f>VLOOKUP(I1767,错误mRNA总表!D:I,6,FALSE)</f>
        <v>#N/A</v>
      </c>
    </row>
    <row r="1768" spans="1:13" x14ac:dyDescent="0.2">
      <c r="A1768" s="12" t="s">
        <v>4883</v>
      </c>
      <c r="B1768" s="12" t="s">
        <v>4098</v>
      </c>
      <c r="C1768" s="12">
        <v>338148</v>
      </c>
      <c r="D1768" s="12">
        <v>344479</v>
      </c>
      <c r="E1768" s="12" t="s">
        <v>3940</v>
      </c>
      <c r="F1768" s="12">
        <v>582</v>
      </c>
      <c r="H1768" s="12" t="s">
        <v>3475</v>
      </c>
      <c r="I1768" s="41" t="s">
        <v>7448</v>
      </c>
      <c r="M1768" s="41" t="e">
        <f>VLOOKUP(I1768,错误mRNA总表!D:I,6,FALSE)</f>
        <v>#N/A</v>
      </c>
    </row>
    <row r="1769" spans="1:13" x14ac:dyDescent="0.2">
      <c r="A1769" s="12" t="s">
        <v>4883</v>
      </c>
      <c r="B1769" s="12" t="s">
        <v>4098</v>
      </c>
      <c r="C1769" s="12">
        <v>338148</v>
      </c>
      <c r="D1769" s="12">
        <v>356942</v>
      </c>
      <c r="E1769" s="12" t="s">
        <v>3940</v>
      </c>
      <c r="F1769" s="12">
        <v>407</v>
      </c>
      <c r="H1769" s="12" t="s">
        <v>3475</v>
      </c>
      <c r="I1769" s="41" t="s">
        <v>7448</v>
      </c>
      <c r="M1769" s="41" t="e">
        <f>VLOOKUP(I1769,错误mRNA总表!D:I,6,FALSE)</f>
        <v>#N/A</v>
      </c>
    </row>
    <row r="1770" spans="1:13" x14ac:dyDescent="0.2">
      <c r="A1770" s="12" t="s">
        <v>4884</v>
      </c>
      <c r="B1770" s="12" t="s">
        <v>4199</v>
      </c>
      <c r="C1770" s="12">
        <v>57867</v>
      </c>
      <c r="D1770" s="12">
        <v>67233</v>
      </c>
      <c r="E1770" s="12" t="s">
        <v>3943</v>
      </c>
      <c r="F1770" s="12">
        <v>1</v>
      </c>
      <c r="H1770" s="12" t="s">
        <v>6066</v>
      </c>
      <c r="I1770" s="41" t="s">
        <v>7449</v>
      </c>
      <c r="M1770" s="41" t="e">
        <f>VLOOKUP(I1770,错误mRNA总表!D:I,6,FALSE)</f>
        <v>#N/A</v>
      </c>
    </row>
    <row r="1771" spans="1:13" x14ac:dyDescent="0.2">
      <c r="A1771" s="12" t="s">
        <v>4885</v>
      </c>
      <c r="B1771" s="12" t="s">
        <v>4081</v>
      </c>
      <c r="C1771" s="12">
        <v>53525</v>
      </c>
      <c r="D1771" s="12">
        <v>54037</v>
      </c>
      <c r="E1771" s="12" t="s">
        <v>3940</v>
      </c>
      <c r="F1771" s="12">
        <v>1</v>
      </c>
      <c r="H1771" s="12" t="s">
        <v>1163</v>
      </c>
      <c r="I1771" s="41" t="s">
        <v>7450</v>
      </c>
      <c r="J1771" s="41" t="s">
        <v>3385</v>
      </c>
      <c r="K1771" s="41" t="str">
        <f>VLOOKUP(J1771,错误mRNA总表!D:J,7,FALSE)</f>
        <v>纠后正确，版本不一致，utr略有变化</v>
      </c>
      <c r="M1771" s="41" t="e">
        <f>VLOOKUP(I1771,错误mRNA总表!D:I,6,FALSE)</f>
        <v>#N/A</v>
      </c>
    </row>
    <row r="1772" spans="1:13" x14ac:dyDescent="0.2">
      <c r="A1772" s="12" t="s">
        <v>4885</v>
      </c>
      <c r="B1772" s="12" t="s">
        <v>4081</v>
      </c>
      <c r="C1772" s="12">
        <v>53525</v>
      </c>
      <c r="D1772" s="12">
        <v>54044</v>
      </c>
      <c r="E1772" s="12" t="s">
        <v>3940</v>
      </c>
      <c r="F1772" s="12">
        <v>1</v>
      </c>
      <c r="H1772" s="12" t="s">
        <v>1163</v>
      </c>
      <c r="I1772" s="41" t="s">
        <v>7450</v>
      </c>
      <c r="J1772" s="41" t="s">
        <v>3385</v>
      </c>
      <c r="K1772" s="41" t="str">
        <f>VLOOKUP(J1772,错误mRNA总表!D:J,7,FALSE)</f>
        <v>纠后正确，版本不一致，utr略有变化</v>
      </c>
      <c r="M1772" s="41" t="e">
        <f>VLOOKUP(I1772,错误mRNA总表!D:I,6,FALSE)</f>
        <v>#N/A</v>
      </c>
    </row>
    <row r="1773" spans="1:13" x14ac:dyDescent="0.2">
      <c r="A1773" s="12" t="s">
        <v>4885</v>
      </c>
      <c r="B1773" s="12" t="s">
        <v>4081</v>
      </c>
      <c r="C1773" s="12">
        <v>53525</v>
      </c>
      <c r="D1773" s="12">
        <v>54049</v>
      </c>
      <c r="E1773" s="12" t="s">
        <v>3943</v>
      </c>
      <c r="F1773" s="12">
        <v>1</v>
      </c>
      <c r="H1773" s="12" t="s">
        <v>1163</v>
      </c>
      <c r="I1773" s="41" t="s">
        <v>7450</v>
      </c>
      <c r="J1773" s="41" t="s">
        <v>3385</v>
      </c>
      <c r="K1773" s="41" t="str">
        <f>VLOOKUP(J1773,错误mRNA总表!D:J,7,FALSE)</f>
        <v>纠后正确，版本不一致，utr略有变化</v>
      </c>
      <c r="M1773" s="41" t="e">
        <f>VLOOKUP(I1773,错误mRNA总表!D:I,6,FALSE)</f>
        <v>#N/A</v>
      </c>
    </row>
    <row r="1774" spans="1:13" x14ac:dyDescent="0.2">
      <c r="A1774" s="12" t="s">
        <v>4885</v>
      </c>
      <c r="B1774" s="12" t="s">
        <v>4081</v>
      </c>
      <c r="C1774" s="12">
        <v>53525</v>
      </c>
      <c r="D1774" s="12">
        <v>54210</v>
      </c>
      <c r="E1774" s="12" t="s">
        <v>3940</v>
      </c>
      <c r="F1774" s="12">
        <v>1</v>
      </c>
      <c r="H1774" s="12" t="s">
        <v>1163</v>
      </c>
      <c r="I1774" s="41" t="s">
        <v>7450</v>
      </c>
      <c r="J1774" s="41" t="s">
        <v>3385</v>
      </c>
      <c r="K1774" s="41" t="str">
        <f>VLOOKUP(J1774,错误mRNA总表!D:J,7,FALSE)</f>
        <v>纠后正确，版本不一致，utr略有变化</v>
      </c>
      <c r="M1774" s="41" t="e">
        <f>VLOOKUP(I1774,错误mRNA总表!D:I,6,FALSE)</f>
        <v>#N/A</v>
      </c>
    </row>
    <row r="1775" spans="1:13" x14ac:dyDescent="0.2">
      <c r="A1775" s="12" t="s">
        <v>4886</v>
      </c>
      <c r="B1775" s="12" t="s">
        <v>3984</v>
      </c>
      <c r="C1775" s="12">
        <v>3001363</v>
      </c>
      <c r="D1775" s="12">
        <v>3023038</v>
      </c>
      <c r="E1775" s="12" t="s">
        <v>3940</v>
      </c>
      <c r="F1775" s="12">
        <v>1</v>
      </c>
      <c r="H1775" s="12" t="s">
        <v>3429</v>
      </c>
      <c r="I1775" s="41" t="s">
        <v>7451</v>
      </c>
      <c r="M1775" s="41" t="e">
        <f>VLOOKUP(I1775,错误mRNA总表!D:I,6,FALSE)</f>
        <v>#N/A</v>
      </c>
    </row>
    <row r="1776" spans="1:13" x14ac:dyDescent="0.2">
      <c r="A1776" s="12" t="s">
        <v>4887</v>
      </c>
      <c r="B1776" s="12" t="s">
        <v>3978</v>
      </c>
      <c r="C1776" s="12">
        <v>81538850</v>
      </c>
      <c r="D1776" s="12">
        <v>81810702</v>
      </c>
      <c r="E1776" s="12" t="s">
        <v>3940</v>
      </c>
      <c r="F1776" s="12">
        <v>1</v>
      </c>
      <c r="G1776" s="41" t="s">
        <v>86</v>
      </c>
      <c r="H1776" s="12" t="s">
        <v>533</v>
      </c>
      <c r="I1776" s="41" t="s">
        <v>2484</v>
      </c>
      <c r="J1776" s="41" t="s">
        <v>2484</v>
      </c>
      <c r="K1776" s="41" t="str">
        <f>VLOOKUP(J1776,错误mRNA总表!D:J,7,FALSE)</f>
        <v/>
      </c>
      <c r="L1776" s="41" t="s">
        <v>3762</v>
      </c>
      <c r="M1776" s="41">
        <f>VLOOKUP(I1776,错误mRNA总表!D:I,6,FALSE)</f>
        <v>0</v>
      </c>
    </row>
    <row r="1777" spans="1:13" x14ac:dyDescent="0.2">
      <c r="A1777" s="12" t="s">
        <v>4888</v>
      </c>
      <c r="B1777" s="12" t="s">
        <v>4004</v>
      </c>
      <c r="C1777" s="12">
        <v>64081562</v>
      </c>
      <c r="D1777" s="12">
        <v>64098729</v>
      </c>
      <c r="E1777" s="12" t="s">
        <v>3940</v>
      </c>
      <c r="F1777" s="12">
        <v>1</v>
      </c>
      <c r="G1777" s="41" t="s">
        <v>103</v>
      </c>
      <c r="H1777" s="12" t="s">
        <v>3446</v>
      </c>
      <c r="I1777" s="41" t="s">
        <v>7452</v>
      </c>
      <c r="M1777" s="41" t="e">
        <f>VLOOKUP(I1777,错误mRNA总表!D:I,6,FALSE)</f>
        <v>#N/A</v>
      </c>
    </row>
    <row r="1778" spans="1:13" x14ac:dyDescent="0.2">
      <c r="A1778" s="12" t="s">
        <v>4889</v>
      </c>
      <c r="B1778" s="12" t="s">
        <v>4408</v>
      </c>
      <c r="C1778" s="12">
        <v>1065871</v>
      </c>
      <c r="D1778" s="12">
        <v>1065945</v>
      </c>
      <c r="E1778" s="12" t="s">
        <v>3940</v>
      </c>
      <c r="F1778" s="12">
        <v>1</v>
      </c>
      <c r="H1778" s="12" t="s">
        <v>3599</v>
      </c>
      <c r="I1778" s="41" t="s">
        <v>7453</v>
      </c>
      <c r="M1778" s="41" t="e">
        <f>VLOOKUP(I1778,错误mRNA总表!D:I,6,FALSE)</f>
        <v>#N/A</v>
      </c>
    </row>
    <row r="1779" spans="1:13" x14ac:dyDescent="0.2">
      <c r="A1779" s="12" t="s">
        <v>4889</v>
      </c>
      <c r="B1779" s="12" t="s">
        <v>4408</v>
      </c>
      <c r="C1779" s="12">
        <v>1065871</v>
      </c>
      <c r="D1779" s="12">
        <v>1074133</v>
      </c>
      <c r="E1779" s="12" t="s">
        <v>3940</v>
      </c>
      <c r="F1779" s="12">
        <v>1</v>
      </c>
      <c r="H1779" s="12" t="s">
        <v>3599</v>
      </c>
      <c r="I1779" s="41" t="s">
        <v>7453</v>
      </c>
      <c r="M1779" s="41" t="e">
        <f>VLOOKUP(I1779,错误mRNA总表!D:I,6,FALSE)</f>
        <v>#N/A</v>
      </c>
    </row>
    <row r="1780" spans="1:13" x14ac:dyDescent="0.2">
      <c r="A1780" s="12" t="s">
        <v>4546</v>
      </c>
      <c r="B1780" s="12" t="s">
        <v>4257</v>
      </c>
      <c r="C1780" s="12">
        <v>2820</v>
      </c>
      <c r="D1780" s="12">
        <v>5091</v>
      </c>
      <c r="E1780" s="12" t="s">
        <v>3940</v>
      </c>
      <c r="F1780" s="12">
        <v>87</v>
      </c>
      <c r="H1780" s="12" t="s">
        <v>265</v>
      </c>
      <c r="I1780" s="41" t="s">
        <v>7454</v>
      </c>
      <c r="M1780" s="41" t="e">
        <f>VLOOKUP(I1780,错误mRNA总表!D:I,6,FALSE)</f>
        <v>#N/A</v>
      </c>
    </row>
    <row r="1781" spans="1:13" x14ac:dyDescent="0.2">
      <c r="A1781" s="12" t="s">
        <v>4546</v>
      </c>
      <c r="B1781" s="12" t="s">
        <v>4257</v>
      </c>
      <c r="C1781" s="12">
        <v>2820</v>
      </c>
      <c r="D1781" s="12">
        <v>12386</v>
      </c>
      <c r="E1781" s="12" t="s">
        <v>3940</v>
      </c>
      <c r="F1781" s="12">
        <v>192</v>
      </c>
      <c r="H1781" s="12" t="s">
        <v>265</v>
      </c>
      <c r="I1781" s="41" t="s">
        <v>7454</v>
      </c>
      <c r="M1781" s="41" t="e">
        <f>VLOOKUP(I1781,错误mRNA总表!D:I,6,FALSE)</f>
        <v>#N/A</v>
      </c>
    </row>
    <row r="1782" spans="1:13" x14ac:dyDescent="0.2">
      <c r="A1782" s="12" t="s">
        <v>4546</v>
      </c>
      <c r="B1782" s="12" t="s">
        <v>4257</v>
      </c>
      <c r="C1782" s="12">
        <v>2820</v>
      </c>
      <c r="D1782" s="12">
        <v>25377</v>
      </c>
      <c r="E1782" s="12" t="s">
        <v>3940</v>
      </c>
      <c r="F1782" s="12">
        <v>2</v>
      </c>
      <c r="H1782" s="12" t="s">
        <v>265</v>
      </c>
      <c r="I1782" s="41" t="s">
        <v>7454</v>
      </c>
      <c r="M1782" s="41" t="e">
        <f>VLOOKUP(I1782,错误mRNA总表!D:I,6,FALSE)</f>
        <v>#N/A</v>
      </c>
    </row>
    <row r="1783" spans="1:13" x14ac:dyDescent="0.2">
      <c r="A1783" s="12" t="s">
        <v>4546</v>
      </c>
      <c r="B1783" s="12" t="s">
        <v>4257</v>
      </c>
      <c r="C1783" s="12">
        <v>2820</v>
      </c>
      <c r="D1783" s="12">
        <v>25384</v>
      </c>
      <c r="E1783" s="12" t="s">
        <v>3943</v>
      </c>
      <c r="F1783" s="12">
        <v>1</v>
      </c>
      <c r="H1783" s="12" t="s">
        <v>265</v>
      </c>
      <c r="I1783" s="41" t="s">
        <v>7454</v>
      </c>
      <c r="M1783" s="41" t="e">
        <f>VLOOKUP(I1783,错误mRNA总表!D:I,6,FALSE)</f>
        <v>#N/A</v>
      </c>
    </row>
    <row r="1784" spans="1:13" x14ac:dyDescent="0.2">
      <c r="A1784" s="12" t="s">
        <v>4546</v>
      </c>
      <c r="B1784" s="12" t="s">
        <v>4257</v>
      </c>
      <c r="C1784" s="12">
        <v>2820</v>
      </c>
      <c r="D1784" s="12">
        <v>50734</v>
      </c>
      <c r="E1784" s="12" t="s">
        <v>3940</v>
      </c>
      <c r="F1784" s="12">
        <v>509</v>
      </c>
      <c r="H1784" s="12" t="s">
        <v>265</v>
      </c>
      <c r="I1784" s="41" t="s">
        <v>7454</v>
      </c>
      <c r="M1784" s="41" t="e">
        <f>VLOOKUP(I1784,错误mRNA总表!D:I,6,FALSE)</f>
        <v>#N/A</v>
      </c>
    </row>
    <row r="1785" spans="1:13" x14ac:dyDescent="0.2">
      <c r="A1785" s="12" t="s">
        <v>4546</v>
      </c>
      <c r="B1785" s="12" t="s">
        <v>4257</v>
      </c>
      <c r="C1785" s="12">
        <v>2820</v>
      </c>
      <c r="D1785" s="12">
        <v>55847</v>
      </c>
      <c r="E1785" s="12" t="s">
        <v>3940</v>
      </c>
      <c r="F1785" s="12">
        <v>69</v>
      </c>
      <c r="H1785" s="12" t="s">
        <v>265</v>
      </c>
      <c r="I1785" s="41" t="s">
        <v>7454</v>
      </c>
      <c r="M1785" s="41" t="e">
        <f>VLOOKUP(I1785,错误mRNA总表!D:I,6,FALSE)</f>
        <v>#N/A</v>
      </c>
    </row>
    <row r="1786" spans="1:13" x14ac:dyDescent="0.2">
      <c r="A1786" s="12" t="s">
        <v>4546</v>
      </c>
      <c r="B1786" s="12" t="s">
        <v>4257</v>
      </c>
      <c r="C1786" s="12">
        <v>2820</v>
      </c>
      <c r="D1786" s="12">
        <v>55836</v>
      </c>
      <c r="E1786" s="12" t="s">
        <v>3943</v>
      </c>
      <c r="F1786" s="12">
        <v>3</v>
      </c>
      <c r="H1786" s="12" t="s">
        <v>265</v>
      </c>
      <c r="I1786" s="41" t="s">
        <v>7454</v>
      </c>
      <c r="M1786" s="41" t="e">
        <f>VLOOKUP(I1786,错误mRNA总表!D:I,6,FALSE)</f>
        <v>#N/A</v>
      </c>
    </row>
    <row r="1787" spans="1:13" x14ac:dyDescent="0.2">
      <c r="A1787" s="12" t="s">
        <v>4546</v>
      </c>
      <c r="B1787" s="12" t="s">
        <v>4257</v>
      </c>
      <c r="C1787" s="12">
        <v>2820</v>
      </c>
      <c r="D1787" s="12">
        <v>56411</v>
      </c>
      <c r="E1787" s="12" t="s">
        <v>3940</v>
      </c>
      <c r="F1787" s="12">
        <v>392</v>
      </c>
      <c r="H1787" s="12" t="s">
        <v>265</v>
      </c>
      <c r="I1787" s="41" t="s">
        <v>7454</v>
      </c>
      <c r="M1787" s="41" t="e">
        <f>VLOOKUP(I1787,错误mRNA总表!D:I,6,FALSE)</f>
        <v>#N/A</v>
      </c>
    </row>
    <row r="1788" spans="1:13" x14ac:dyDescent="0.2">
      <c r="A1788" s="12" t="s">
        <v>4546</v>
      </c>
      <c r="B1788" s="12" t="s">
        <v>4257</v>
      </c>
      <c r="C1788" s="12">
        <v>2820</v>
      </c>
      <c r="D1788" s="12">
        <v>56402</v>
      </c>
      <c r="E1788" s="12" t="s">
        <v>3940</v>
      </c>
      <c r="F1788" s="12">
        <v>1</v>
      </c>
      <c r="H1788" s="12" t="s">
        <v>265</v>
      </c>
      <c r="I1788" s="41" t="s">
        <v>7454</v>
      </c>
      <c r="M1788" s="41" t="e">
        <f>VLOOKUP(I1788,错误mRNA总表!D:I,6,FALSE)</f>
        <v>#N/A</v>
      </c>
    </row>
    <row r="1789" spans="1:13" x14ac:dyDescent="0.2">
      <c r="A1789" s="12" t="s">
        <v>4503</v>
      </c>
      <c r="B1789" s="12" t="s">
        <v>3969</v>
      </c>
      <c r="C1789" s="12">
        <v>2074738</v>
      </c>
      <c r="D1789" s="12">
        <v>2092392</v>
      </c>
      <c r="E1789" s="12" t="s">
        <v>3943</v>
      </c>
      <c r="F1789" s="12">
        <v>1</v>
      </c>
      <c r="H1789" s="12" t="s">
        <v>5920</v>
      </c>
      <c r="I1789" s="41" t="s">
        <v>7455</v>
      </c>
      <c r="M1789" s="41" t="e">
        <f>VLOOKUP(I1789,错误mRNA总表!D:I,6,FALSE)</f>
        <v>#N/A</v>
      </c>
    </row>
    <row r="1790" spans="1:13" x14ac:dyDescent="0.2">
      <c r="A1790" s="12" t="s">
        <v>4503</v>
      </c>
      <c r="B1790" s="12" t="s">
        <v>3969</v>
      </c>
      <c r="C1790" s="12">
        <v>2074738</v>
      </c>
      <c r="D1790" s="12">
        <v>2075287</v>
      </c>
      <c r="E1790" s="12" t="s">
        <v>3943</v>
      </c>
      <c r="F1790" s="12">
        <v>20</v>
      </c>
      <c r="H1790" s="12" t="s">
        <v>5920</v>
      </c>
      <c r="I1790" s="41" t="s">
        <v>7455</v>
      </c>
      <c r="M1790" s="41" t="e">
        <f>VLOOKUP(I1790,错误mRNA总表!D:I,6,FALSE)</f>
        <v>#N/A</v>
      </c>
    </row>
    <row r="1791" spans="1:13" x14ac:dyDescent="0.2">
      <c r="A1791" s="12" t="s">
        <v>4890</v>
      </c>
      <c r="B1791" s="12" t="s">
        <v>3946</v>
      </c>
      <c r="C1791" s="12">
        <v>73232687</v>
      </c>
      <c r="D1791" s="12">
        <v>73234010</v>
      </c>
      <c r="E1791" s="12" t="s">
        <v>3940</v>
      </c>
      <c r="F1791" s="12">
        <v>14</v>
      </c>
      <c r="G1791" s="41" t="s">
        <v>47</v>
      </c>
      <c r="H1791" s="12" t="s">
        <v>6469</v>
      </c>
      <c r="I1791" s="41" t="s">
        <v>7456</v>
      </c>
      <c r="M1791" s="41" t="e">
        <f>VLOOKUP(I1791,错误mRNA总表!D:I,6,FALSE)</f>
        <v>#N/A</v>
      </c>
    </row>
    <row r="1792" spans="1:13" x14ac:dyDescent="0.2">
      <c r="A1792" s="12" t="s">
        <v>4891</v>
      </c>
      <c r="B1792" s="12" t="s">
        <v>4018</v>
      </c>
      <c r="C1792" s="12">
        <v>38595726</v>
      </c>
      <c r="D1792" s="12">
        <v>38639763</v>
      </c>
      <c r="E1792" s="12" t="s">
        <v>3940</v>
      </c>
      <c r="F1792" s="12">
        <v>1</v>
      </c>
      <c r="G1792" s="41" t="s">
        <v>241</v>
      </c>
      <c r="H1792" s="12" t="s">
        <v>6067</v>
      </c>
      <c r="I1792" s="41" t="s">
        <v>7457</v>
      </c>
      <c r="M1792" s="41" t="e">
        <f>VLOOKUP(I1792,错误mRNA总表!D:I,6,FALSE)</f>
        <v>#N/A</v>
      </c>
    </row>
    <row r="1793" spans="1:13" x14ac:dyDescent="0.2">
      <c r="A1793" s="12" t="s">
        <v>4892</v>
      </c>
      <c r="B1793" s="12" t="s">
        <v>3946</v>
      </c>
      <c r="C1793" s="12">
        <v>7465309</v>
      </c>
      <c r="D1793" s="12">
        <v>7470287</v>
      </c>
      <c r="E1793" s="12" t="s">
        <v>3943</v>
      </c>
      <c r="F1793" s="12">
        <v>1</v>
      </c>
      <c r="G1793" s="41" t="s">
        <v>47</v>
      </c>
      <c r="H1793" s="12" t="s">
        <v>6068</v>
      </c>
      <c r="I1793" s="41" t="s">
        <v>7458</v>
      </c>
      <c r="M1793" s="41" t="e">
        <f>VLOOKUP(I1793,错误mRNA总表!D:I,6,FALSE)</f>
        <v>#N/A</v>
      </c>
    </row>
    <row r="1794" spans="1:13" x14ac:dyDescent="0.2">
      <c r="A1794" s="12" t="s">
        <v>4893</v>
      </c>
      <c r="B1794" s="12" t="s">
        <v>4004</v>
      </c>
      <c r="C1794" s="12">
        <v>86126288</v>
      </c>
      <c r="D1794" s="12">
        <v>86126827</v>
      </c>
      <c r="E1794" s="12" t="s">
        <v>3940</v>
      </c>
      <c r="F1794" s="12">
        <v>6</v>
      </c>
      <c r="G1794" s="41" t="s">
        <v>103</v>
      </c>
      <c r="H1794" s="12" t="s">
        <v>788</v>
      </c>
      <c r="I1794" s="41" t="s">
        <v>2219</v>
      </c>
      <c r="J1794" s="41" t="s">
        <v>2219</v>
      </c>
      <c r="K1794" s="41" t="str">
        <f>VLOOKUP(J1794,错误mRNA总表!D:J,7,FALSE)</f>
        <v>纠后正确，加2个氨基酸chr8:86126795-86126826</v>
      </c>
      <c r="L1794" s="41" t="s">
        <v>8335</v>
      </c>
      <c r="M1794" s="41">
        <f>VLOOKUP(I1794,错误mRNA总表!D:I,6,FALSE)</f>
        <v>0</v>
      </c>
    </row>
    <row r="1795" spans="1:13" x14ac:dyDescent="0.2">
      <c r="A1795" s="12" t="s">
        <v>4894</v>
      </c>
      <c r="B1795" s="12" t="s">
        <v>4502</v>
      </c>
      <c r="C1795" s="12">
        <v>19469</v>
      </c>
      <c r="D1795" s="12">
        <v>116100</v>
      </c>
      <c r="E1795" s="12" t="s">
        <v>3940</v>
      </c>
      <c r="F1795" s="12">
        <v>3</v>
      </c>
      <c r="H1795" s="12" t="s">
        <v>3449</v>
      </c>
      <c r="I1795" s="41" t="s">
        <v>7459</v>
      </c>
      <c r="M1795" s="41" t="e">
        <f>VLOOKUP(I1795,错误mRNA总表!D:I,6,FALSE)</f>
        <v>#N/A</v>
      </c>
    </row>
    <row r="1796" spans="1:13" x14ac:dyDescent="0.2">
      <c r="A1796" s="12" t="s">
        <v>4895</v>
      </c>
      <c r="B1796" s="12" t="s">
        <v>3946</v>
      </c>
      <c r="C1796" s="12">
        <v>5185558</v>
      </c>
      <c r="D1796" s="12">
        <v>5286886</v>
      </c>
      <c r="E1796" s="12" t="s">
        <v>3943</v>
      </c>
      <c r="F1796" s="12">
        <v>25</v>
      </c>
      <c r="G1796" s="41" t="s">
        <v>47</v>
      </c>
      <c r="H1796" s="12" t="s">
        <v>5961</v>
      </c>
      <c r="I1796" s="41" t="s">
        <v>7189</v>
      </c>
      <c r="M1796" s="41" t="e">
        <f>VLOOKUP(I1796,错误mRNA总表!D:I,6,FALSE)</f>
        <v>#N/A</v>
      </c>
    </row>
    <row r="1797" spans="1:13" x14ac:dyDescent="0.2">
      <c r="A1797" s="12" t="s">
        <v>4896</v>
      </c>
      <c r="B1797" s="12" t="s">
        <v>3946</v>
      </c>
      <c r="C1797" s="12">
        <v>7362685</v>
      </c>
      <c r="D1797" s="12">
        <v>7363430</v>
      </c>
      <c r="E1797" s="12" t="s">
        <v>3943</v>
      </c>
      <c r="F1797" s="12">
        <v>1</v>
      </c>
      <c r="G1797" s="41" t="s">
        <v>47</v>
      </c>
      <c r="H1797" s="12" t="s">
        <v>6069</v>
      </c>
      <c r="I1797" s="41" t="s">
        <v>7460</v>
      </c>
      <c r="M1797" s="41" t="e">
        <f>VLOOKUP(I1797,错误mRNA总表!D:I,6,FALSE)</f>
        <v>#N/A</v>
      </c>
    </row>
    <row r="1798" spans="1:13" x14ac:dyDescent="0.2">
      <c r="A1798" s="12" t="s">
        <v>4897</v>
      </c>
      <c r="B1798" s="12" t="s">
        <v>4049</v>
      </c>
      <c r="C1798" s="12">
        <v>275189</v>
      </c>
      <c r="D1798" s="12">
        <v>336730</v>
      </c>
      <c r="E1798" s="12" t="s">
        <v>3940</v>
      </c>
      <c r="F1798" s="12">
        <v>2</v>
      </c>
      <c r="H1798" s="12" t="s">
        <v>3515</v>
      </c>
      <c r="I1798" s="41" t="s">
        <v>7461</v>
      </c>
      <c r="M1798" s="41" t="e">
        <f>VLOOKUP(I1798,错误mRNA总表!D:I,6,FALSE)</f>
        <v>#N/A</v>
      </c>
    </row>
    <row r="1799" spans="1:13" x14ac:dyDescent="0.2">
      <c r="A1799" s="12" t="s">
        <v>4897</v>
      </c>
      <c r="B1799" s="12" t="s">
        <v>4049</v>
      </c>
      <c r="C1799" s="12">
        <v>275189</v>
      </c>
      <c r="D1799" s="12">
        <v>338223</v>
      </c>
      <c r="E1799" s="12" t="s">
        <v>3943</v>
      </c>
      <c r="F1799" s="12">
        <v>5</v>
      </c>
      <c r="H1799" s="12" t="s">
        <v>3515</v>
      </c>
      <c r="I1799" s="41" t="s">
        <v>7461</v>
      </c>
      <c r="M1799" s="41" t="e">
        <f>VLOOKUP(I1799,错误mRNA总表!D:I,6,FALSE)</f>
        <v>#N/A</v>
      </c>
    </row>
    <row r="1800" spans="1:13" x14ac:dyDescent="0.2">
      <c r="A1800" s="12" t="s">
        <v>4897</v>
      </c>
      <c r="B1800" s="12" t="s">
        <v>4049</v>
      </c>
      <c r="C1800" s="12">
        <v>275189</v>
      </c>
      <c r="D1800" s="12">
        <v>338387</v>
      </c>
      <c r="E1800" s="12" t="s">
        <v>3940</v>
      </c>
      <c r="F1800" s="12">
        <v>1</v>
      </c>
      <c r="H1800" s="12" t="s">
        <v>3515</v>
      </c>
      <c r="I1800" s="41" t="s">
        <v>7461</v>
      </c>
      <c r="M1800" s="41" t="e">
        <f>VLOOKUP(I1800,错误mRNA总表!D:I,6,FALSE)</f>
        <v>#N/A</v>
      </c>
    </row>
    <row r="1801" spans="1:13" x14ac:dyDescent="0.2">
      <c r="A1801" s="12" t="s">
        <v>4897</v>
      </c>
      <c r="B1801" s="12" t="s">
        <v>4049</v>
      </c>
      <c r="C1801" s="12">
        <v>275189</v>
      </c>
      <c r="D1801" s="12">
        <v>340287</v>
      </c>
      <c r="E1801" s="12" t="s">
        <v>3943</v>
      </c>
      <c r="F1801" s="12">
        <v>1</v>
      </c>
      <c r="H1801" s="12" t="s">
        <v>3515</v>
      </c>
      <c r="I1801" s="41" t="s">
        <v>7461</v>
      </c>
      <c r="M1801" s="41" t="e">
        <f>VLOOKUP(I1801,错误mRNA总表!D:I,6,FALSE)</f>
        <v>#N/A</v>
      </c>
    </row>
    <row r="1802" spans="1:13" x14ac:dyDescent="0.2">
      <c r="A1802" s="12" t="s">
        <v>4898</v>
      </c>
      <c r="B1802" s="12" t="s">
        <v>3950</v>
      </c>
      <c r="C1802" s="12">
        <v>248562</v>
      </c>
      <c r="D1802" s="12">
        <v>248597</v>
      </c>
      <c r="E1802" s="12" t="s">
        <v>3940</v>
      </c>
      <c r="F1802" s="12">
        <v>2</v>
      </c>
      <c r="H1802" s="12" t="s">
        <v>3656</v>
      </c>
      <c r="I1802" s="41" t="s">
        <v>7462</v>
      </c>
      <c r="M1802" s="41" t="e">
        <f>VLOOKUP(I1802,错误mRNA总表!D:I,6,FALSE)</f>
        <v>#N/A</v>
      </c>
    </row>
    <row r="1803" spans="1:13" x14ac:dyDescent="0.2">
      <c r="A1803" s="12" t="s">
        <v>4899</v>
      </c>
      <c r="B1803" s="12" t="s">
        <v>4018</v>
      </c>
      <c r="C1803" s="12">
        <v>38595721</v>
      </c>
      <c r="D1803" s="12">
        <v>38639763</v>
      </c>
      <c r="E1803" s="12" t="s">
        <v>3940</v>
      </c>
      <c r="F1803" s="12">
        <v>1</v>
      </c>
      <c r="G1803" s="41" t="s">
        <v>241</v>
      </c>
      <c r="H1803" s="12" t="s">
        <v>6070</v>
      </c>
      <c r="I1803" s="41" t="s">
        <v>7463</v>
      </c>
      <c r="M1803" s="41" t="e">
        <f>VLOOKUP(I1803,错误mRNA总表!D:I,6,FALSE)</f>
        <v>#N/A</v>
      </c>
    </row>
    <row r="1804" spans="1:13" x14ac:dyDescent="0.2">
      <c r="A1804" s="12" t="s">
        <v>4900</v>
      </c>
      <c r="B1804" s="12" t="s">
        <v>4069</v>
      </c>
      <c r="C1804" s="12">
        <v>43753988</v>
      </c>
      <c r="D1804" s="12">
        <v>43833704</v>
      </c>
      <c r="E1804" s="12" t="s">
        <v>3940</v>
      </c>
      <c r="F1804" s="12">
        <v>3</v>
      </c>
      <c r="G1804" s="41" t="s">
        <v>179</v>
      </c>
      <c r="H1804" s="12" t="s">
        <v>1212</v>
      </c>
      <c r="I1804" s="41" t="s">
        <v>2281</v>
      </c>
      <c r="J1804" s="41" t="s">
        <v>2281</v>
      </c>
      <c r="K1804" s="41" t="str">
        <f>VLOOKUP(J1804,错误mRNA总表!D:J,7,FALSE)</f>
        <v>纠后正确，加1个氨基酸chr18：43833705-43843081</v>
      </c>
      <c r="L1804" s="41" t="s">
        <v>8349</v>
      </c>
      <c r="M1804" s="41">
        <f>VLOOKUP(I1804,错误mRNA总表!D:I,6,FALSE)</f>
        <v>0</v>
      </c>
    </row>
    <row r="1805" spans="1:13" x14ac:dyDescent="0.2">
      <c r="A1805" s="12" t="s">
        <v>4901</v>
      </c>
      <c r="B1805" s="12" t="s">
        <v>3946</v>
      </c>
      <c r="C1805" s="12">
        <v>34310692</v>
      </c>
      <c r="D1805" s="12">
        <v>34328646</v>
      </c>
      <c r="E1805" s="12" t="s">
        <v>3943</v>
      </c>
      <c r="F1805" s="12">
        <v>7</v>
      </c>
      <c r="G1805" s="41" t="s">
        <v>47</v>
      </c>
      <c r="H1805" s="12" t="s">
        <v>6525</v>
      </c>
      <c r="I1805" s="41" t="s">
        <v>7464</v>
      </c>
      <c r="M1805" s="41" t="e">
        <f>VLOOKUP(I1805,错误mRNA总表!D:I,6,FALSE)</f>
        <v>#N/A</v>
      </c>
    </row>
    <row r="1806" spans="1:13" x14ac:dyDescent="0.2">
      <c r="A1806" s="12" t="s">
        <v>4902</v>
      </c>
      <c r="B1806" s="12" t="s">
        <v>3986</v>
      </c>
      <c r="C1806" s="12">
        <v>55043909</v>
      </c>
      <c r="D1806" s="12">
        <v>55056506</v>
      </c>
      <c r="E1806" s="12" t="s">
        <v>3943</v>
      </c>
      <c r="F1806" s="12">
        <v>3</v>
      </c>
      <c r="G1806" s="41" t="s">
        <v>50</v>
      </c>
      <c r="H1806" s="12" t="s">
        <v>6071</v>
      </c>
      <c r="I1806" s="41" t="s">
        <v>7465</v>
      </c>
      <c r="M1806" s="41" t="e">
        <f>VLOOKUP(I1806,错误mRNA总表!D:I,6,FALSE)</f>
        <v>#N/A</v>
      </c>
    </row>
    <row r="1807" spans="1:13" x14ac:dyDescent="0.2">
      <c r="A1807" s="12" t="s">
        <v>4902</v>
      </c>
      <c r="B1807" s="12" t="s">
        <v>3986</v>
      </c>
      <c r="C1807" s="12">
        <v>55043909</v>
      </c>
      <c r="D1807" s="12">
        <v>55056646</v>
      </c>
      <c r="E1807" s="12" t="s">
        <v>3943</v>
      </c>
      <c r="F1807" s="12">
        <v>6</v>
      </c>
      <c r="G1807" s="41" t="s">
        <v>50</v>
      </c>
      <c r="H1807" s="12" t="s">
        <v>6071</v>
      </c>
      <c r="I1807" s="41" t="s">
        <v>7465</v>
      </c>
      <c r="M1807" s="41" t="e">
        <f>VLOOKUP(I1807,错误mRNA总表!D:I,6,FALSE)</f>
        <v>#N/A</v>
      </c>
    </row>
    <row r="1808" spans="1:13" x14ac:dyDescent="0.2">
      <c r="A1808" s="12" t="s">
        <v>3959</v>
      </c>
      <c r="B1808" s="12" t="s">
        <v>4089</v>
      </c>
      <c r="C1808" s="12">
        <v>165232</v>
      </c>
      <c r="D1808" s="12">
        <v>169309</v>
      </c>
      <c r="E1808" s="12" t="s">
        <v>3943</v>
      </c>
      <c r="F1808" s="12">
        <v>3</v>
      </c>
      <c r="H1808" s="12" t="s">
        <v>3650</v>
      </c>
      <c r="I1808" s="41" t="s">
        <v>6637</v>
      </c>
      <c r="M1808" s="41" t="e">
        <f>VLOOKUP(I1808,错误mRNA总表!D:I,6,FALSE)</f>
        <v>#N/A</v>
      </c>
    </row>
    <row r="1809" spans="1:13" x14ac:dyDescent="0.2">
      <c r="A1809" s="12" t="s">
        <v>4331</v>
      </c>
      <c r="B1809" s="12" t="s">
        <v>3964</v>
      </c>
      <c r="C1809" s="12">
        <v>2514037</v>
      </c>
      <c r="D1809" s="12">
        <v>2516051</v>
      </c>
      <c r="E1809" s="12" t="s">
        <v>3943</v>
      </c>
      <c r="F1809" s="12">
        <v>3</v>
      </c>
      <c r="H1809" s="12" t="s">
        <v>5872</v>
      </c>
      <c r="I1809" s="41" t="s">
        <v>7466</v>
      </c>
      <c r="M1809" s="41" t="e">
        <f>VLOOKUP(I1809,错误mRNA总表!D:I,6,FALSE)</f>
        <v>#N/A</v>
      </c>
    </row>
    <row r="1810" spans="1:13" x14ac:dyDescent="0.2">
      <c r="A1810" s="12" t="s">
        <v>4331</v>
      </c>
      <c r="B1810" s="12" t="s">
        <v>3964</v>
      </c>
      <c r="C1810" s="12">
        <v>2514037</v>
      </c>
      <c r="D1810" s="12">
        <v>2516375</v>
      </c>
      <c r="E1810" s="12" t="s">
        <v>3940</v>
      </c>
      <c r="F1810" s="12">
        <v>1</v>
      </c>
      <c r="H1810" s="12" t="s">
        <v>5872</v>
      </c>
      <c r="I1810" s="41" t="s">
        <v>7466</v>
      </c>
      <c r="M1810" s="41" t="e">
        <f>VLOOKUP(I1810,错误mRNA总表!D:I,6,FALSE)</f>
        <v>#N/A</v>
      </c>
    </row>
    <row r="1811" spans="1:13" x14ac:dyDescent="0.2">
      <c r="A1811" s="12" t="s">
        <v>4331</v>
      </c>
      <c r="B1811" s="12" t="s">
        <v>3964</v>
      </c>
      <c r="C1811" s="12">
        <v>2514037</v>
      </c>
      <c r="D1811" s="12">
        <v>2516656</v>
      </c>
      <c r="E1811" s="12" t="s">
        <v>3943</v>
      </c>
      <c r="F1811" s="12">
        <v>3</v>
      </c>
      <c r="H1811" s="12" t="s">
        <v>5872</v>
      </c>
      <c r="I1811" s="41" t="s">
        <v>7466</v>
      </c>
      <c r="M1811" s="41" t="e">
        <f>VLOOKUP(I1811,错误mRNA总表!D:I,6,FALSE)</f>
        <v>#N/A</v>
      </c>
    </row>
    <row r="1812" spans="1:13" x14ac:dyDescent="0.2">
      <c r="A1812" s="12" t="s">
        <v>4903</v>
      </c>
      <c r="B1812" s="12" t="s">
        <v>3973</v>
      </c>
      <c r="C1812" s="12">
        <v>120802589</v>
      </c>
      <c r="D1812" s="12">
        <v>120823819</v>
      </c>
      <c r="E1812" s="12" t="s">
        <v>3940</v>
      </c>
      <c r="F1812" s="12">
        <v>4208</v>
      </c>
      <c r="G1812" s="41" t="s">
        <v>139</v>
      </c>
      <c r="H1812" s="12" t="s">
        <v>3407</v>
      </c>
      <c r="I1812" s="41" t="s">
        <v>7467</v>
      </c>
      <c r="M1812" s="41" t="e">
        <f>VLOOKUP(I1812,错误mRNA总表!D:I,6,FALSE)</f>
        <v>#N/A</v>
      </c>
    </row>
    <row r="1813" spans="1:13" x14ac:dyDescent="0.2">
      <c r="A1813" s="12" t="s">
        <v>4903</v>
      </c>
      <c r="B1813" s="12" t="s">
        <v>3973</v>
      </c>
      <c r="C1813" s="12">
        <v>120802589</v>
      </c>
      <c r="D1813" s="12">
        <v>120818562</v>
      </c>
      <c r="E1813" s="12" t="s">
        <v>3940</v>
      </c>
      <c r="F1813" s="12">
        <v>25</v>
      </c>
      <c r="G1813" s="41" t="s">
        <v>139</v>
      </c>
      <c r="H1813" s="12" t="s">
        <v>3407</v>
      </c>
      <c r="I1813" s="41" t="s">
        <v>7467</v>
      </c>
      <c r="M1813" s="41" t="e">
        <f>VLOOKUP(I1813,错误mRNA总表!D:I,6,FALSE)</f>
        <v>#N/A</v>
      </c>
    </row>
    <row r="1814" spans="1:13" x14ac:dyDescent="0.2">
      <c r="A1814" s="12" t="s">
        <v>4903</v>
      </c>
      <c r="B1814" s="12" t="s">
        <v>3973</v>
      </c>
      <c r="C1814" s="12">
        <v>120802589</v>
      </c>
      <c r="D1814" s="12">
        <v>120823646</v>
      </c>
      <c r="E1814" s="12" t="s">
        <v>3943</v>
      </c>
      <c r="F1814" s="12">
        <v>4</v>
      </c>
      <c r="G1814" s="41" t="s">
        <v>139</v>
      </c>
      <c r="H1814" s="12" t="s">
        <v>3407</v>
      </c>
      <c r="I1814" s="41" t="s">
        <v>7467</v>
      </c>
      <c r="M1814" s="41" t="e">
        <f>VLOOKUP(I1814,错误mRNA总表!D:I,6,FALSE)</f>
        <v>#N/A</v>
      </c>
    </row>
    <row r="1815" spans="1:13" x14ac:dyDescent="0.2">
      <c r="A1815" s="12" t="s">
        <v>4903</v>
      </c>
      <c r="B1815" s="12" t="s">
        <v>3973</v>
      </c>
      <c r="C1815" s="12">
        <v>120802589</v>
      </c>
      <c r="D1815" s="12">
        <v>120812686</v>
      </c>
      <c r="E1815" s="12" t="s">
        <v>3940</v>
      </c>
      <c r="F1815" s="12">
        <v>380</v>
      </c>
      <c r="G1815" s="41" t="s">
        <v>139</v>
      </c>
      <c r="H1815" s="12" t="s">
        <v>3407</v>
      </c>
      <c r="I1815" s="41" t="s">
        <v>7467</v>
      </c>
      <c r="M1815" s="41" t="e">
        <f>VLOOKUP(I1815,错误mRNA总表!D:I,6,FALSE)</f>
        <v>#N/A</v>
      </c>
    </row>
    <row r="1816" spans="1:13" x14ac:dyDescent="0.2">
      <c r="A1816" s="12" t="s">
        <v>4903</v>
      </c>
      <c r="B1816" s="12" t="s">
        <v>3973</v>
      </c>
      <c r="C1816" s="12">
        <v>120802589</v>
      </c>
      <c r="D1816" s="12">
        <v>120810827</v>
      </c>
      <c r="E1816" s="12" t="s">
        <v>3940</v>
      </c>
      <c r="F1816" s="12">
        <v>84</v>
      </c>
      <c r="G1816" s="41" t="s">
        <v>139</v>
      </c>
      <c r="H1816" s="12" t="s">
        <v>3407</v>
      </c>
      <c r="I1816" s="41" t="s">
        <v>7467</v>
      </c>
      <c r="M1816" s="41" t="e">
        <f>VLOOKUP(I1816,错误mRNA总表!D:I,6,FALSE)</f>
        <v>#N/A</v>
      </c>
    </row>
    <row r="1817" spans="1:13" x14ac:dyDescent="0.2">
      <c r="A1817" s="12" t="s">
        <v>4903</v>
      </c>
      <c r="B1817" s="12" t="s">
        <v>3973</v>
      </c>
      <c r="C1817" s="12">
        <v>120802589</v>
      </c>
      <c r="D1817" s="12">
        <v>120808530</v>
      </c>
      <c r="E1817" s="12" t="s">
        <v>3940</v>
      </c>
      <c r="F1817" s="12">
        <v>570</v>
      </c>
      <c r="G1817" s="41" t="s">
        <v>139</v>
      </c>
      <c r="H1817" s="12" t="s">
        <v>3407</v>
      </c>
      <c r="I1817" s="41" t="s">
        <v>7467</v>
      </c>
      <c r="M1817" s="41" t="e">
        <f>VLOOKUP(I1817,错误mRNA总表!D:I,6,FALSE)</f>
        <v>#N/A</v>
      </c>
    </row>
    <row r="1818" spans="1:13" x14ac:dyDescent="0.2">
      <c r="A1818" s="12" t="s">
        <v>4903</v>
      </c>
      <c r="B1818" s="12" t="s">
        <v>3973</v>
      </c>
      <c r="C1818" s="12">
        <v>120802589</v>
      </c>
      <c r="D1818" s="12">
        <v>120808518</v>
      </c>
      <c r="E1818" s="12" t="s">
        <v>3943</v>
      </c>
      <c r="F1818" s="12">
        <v>3</v>
      </c>
      <c r="G1818" s="41" t="s">
        <v>139</v>
      </c>
      <c r="H1818" s="12" t="s">
        <v>3407</v>
      </c>
      <c r="I1818" s="41" t="s">
        <v>7467</v>
      </c>
      <c r="M1818" s="41" t="e">
        <f>VLOOKUP(I1818,错误mRNA总表!D:I,6,FALSE)</f>
        <v>#N/A</v>
      </c>
    </row>
    <row r="1819" spans="1:13" x14ac:dyDescent="0.2">
      <c r="A1819" s="12" t="s">
        <v>4903</v>
      </c>
      <c r="B1819" s="12" t="s">
        <v>3973</v>
      </c>
      <c r="C1819" s="12">
        <v>120802589</v>
      </c>
      <c r="D1819" s="12">
        <v>120802601</v>
      </c>
      <c r="E1819" s="12" t="s">
        <v>3940</v>
      </c>
      <c r="F1819" s="12">
        <v>296</v>
      </c>
      <c r="G1819" s="41" t="s">
        <v>139</v>
      </c>
      <c r="H1819" s="12" t="s">
        <v>3407</v>
      </c>
      <c r="I1819" s="41" t="s">
        <v>7467</v>
      </c>
      <c r="M1819" s="41" t="e">
        <f>VLOOKUP(I1819,错误mRNA总表!D:I,6,FALSE)</f>
        <v>#N/A</v>
      </c>
    </row>
    <row r="1820" spans="1:13" x14ac:dyDescent="0.2">
      <c r="A1820" s="12" t="s">
        <v>4903</v>
      </c>
      <c r="B1820" s="12" t="s">
        <v>3973</v>
      </c>
      <c r="C1820" s="12">
        <v>120802589</v>
      </c>
      <c r="D1820" s="12">
        <v>120808319</v>
      </c>
      <c r="E1820" s="12" t="s">
        <v>3943</v>
      </c>
      <c r="F1820" s="12">
        <v>2</v>
      </c>
      <c r="G1820" s="41" t="s">
        <v>139</v>
      </c>
      <c r="H1820" s="12" t="s">
        <v>3407</v>
      </c>
      <c r="I1820" s="41" t="s">
        <v>7467</v>
      </c>
      <c r="M1820" s="41" t="e">
        <f>VLOOKUP(I1820,错误mRNA总表!D:I,6,FALSE)</f>
        <v>#N/A</v>
      </c>
    </row>
    <row r="1821" spans="1:13" x14ac:dyDescent="0.2">
      <c r="A1821" s="12" t="s">
        <v>4904</v>
      </c>
      <c r="B1821" s="12" t="s">
        <v>4115</v>
      </c>
      <c r="C1821" s="12">
        <v>65576955</v>
      </c>
      <c r="D1821" s="12">
        <v>65577125</v>
      </c>
      <c r="E1821" s="12" t="s">
        <v>3940</v>
      </c>
      <c r="F1821" s="12">
        <v>154</v>
      </c>
      <c r="G1821" s="41" t="s">
        <v>33</v>
      </c>
      <c r="H1821" s="12" t="s">
        <v>5825</v>
      </c>
      <c r="I1821" s="41" t="s">
        <v>6803</v>
      </c>
      <c r="M1821" s="41" t="e">
        <f>VLOOKUP(I1821,错误mRNA总表!D:I,6,FALSE)</f>
        <v>#N/A</v>
      </c>
    </row>
    <row r="1822" spans="1:13" x14ac:dyDescent="0.2">
      <c r="A1822" s="12" t="s">
        <v>4904</v>
      </c>
      <c r="B1822" s="12" t="s">
        <v>4115</v>
      </c>
      <c r="C1822" s="12">
        <v>65576955</v>
      </c>
      <c r="D1822" s="12">
        <v>65576985</v>
      </c>
      <c r="E1822" s="12" t="s">
        <v>3940</v>
      </c>
      <c r="F1822" s="12">
        <v>12</v>
      </c>
      <c r="G1822" s="41" t="s">
        <v>33</v>
      </c>
      <c r="H1822" s="12" t="s">
        <v>5825</v>
      </c>
      <c r="I1822" s="41" t="s">
        <v>6803</v>
      </c>
      <c r="M1822" s="41" t="e">
        <f>VLOOKUP(I1822,错误mRNA总表!D:I,6,FALSE)</f>
        <v>#N/A</v>
      </c>
    </row>
    <row r="1823" spans="1:13" x14ac:dyDescent="0.2">
      <c r="A1823" s="12" t="s">
        <v>4904</v>
      </c>
      <c r="B1823" s="12" t="s">
        <v>4115</v>
      </c>
      <c r="C1823" s="12">
        <v>65576955</v>
      </c>
      <c r="D1823" s="12">
        <v>65578697</v>
      </c>
      <c r="E1823" s="12" t="s">
        <v>3940</v>
      </c>
      <c r="F1823" s="12">
        <v>398</v>
      </c>
      <c r="G1823" s="41" t="s">
        <v>33</v>
      </c>
      <c r="H1823" s="12" t="s">
        <v>5825</v>
      </c>
      <c r="I1823" s="41" t="s">
        <v>6803</v>
      </c>
      <c r="M1823" s="41" t="e">
        <f>VLOOKUP(I1823,错误mRNA总表!D:I,6,FALSE)</f>
        <v>#N/A</v>
      </c>
    </row>
    <row r="1824" spans="1:13" x14ac:dyDescent="0.2">
      <c r="A1824" s="12" t="s">
        <v>4904</v>
      </c>
      <c r="B1824" s="12" t="s">
        <v>4115</v>
      </c>
      <c r="C1824" s="12">
        <v>65576955</v>
      </c>
      <c r="D1824" s="12">
        <v>65578689</v>
      </c>
      <c r="E1824" s="12" t="s">
        <v>3943</v>
      </c>
      <c r="F1824" s="12">
        <v>3</v>
      </c>
      <c r="G1824" s="41" t="s">
        <v>33</v>
      </c>
      <c r="H1824" s="12" t="s">
        <v>5825</v>
      </c>
      <c r="I1824" s="41" t="s">
        <v>6803</v>
      </c>
      <c r="M1824" s="41" t="e">
        <f>VLOOKUP(I1824,错误mRNA总表!D:I,6,FALSE)</f>
        <v>#N/A</v>
      </c>
    </row>
    <row r="1825" spans="1:13" x14ac:dyDescent="0.2">
      <c r="A1825" s="12" t="s">
        <v>4904</v>
      </c>
      <c r="B1825" s="12" t="s">
        <v>4115</v>
      </c>
      <c r="C1825" s="12">
        <v>65576955</v>
      </c>
      <c r="D1825" s="12">
        <v>65582215</v>
      </c>
      <c r="E1825" s="12" t="s">
        <v>3940</v>
      </c>
      <c r="F1825" s="12">
        <v>978</v>
      </c>
      <c r="G1825" s="41" t="s">
        <v>33</v>
      </c>
      <c r="H1825" s="12" t="s">
        <v>5825</v>
      </c>
      <c r="I1825" s="41" t="s">
        <v>6803</v>
      </c>
      <c r="M1825" s="41" t="e">
        <f>VLOOKUP(I1825,错误mRNA总表!D:I,6,FALSE)</f>
        <v>#N/A</v>
      </c>
    </row>
    <row r="1826" spans="1:13" x14ac:dyDescent="0.2">
      <c r="A1826" s="12" t="s">
        <v>4905</v>
      </c>
      <c r="B1826" s="12" t="s">
        <v>4023</v>
      </c>
      <c r="C1826" s="12">
        <v>954315</v>
      </c>
      <c r="D1826" s="12">
        <v>955234</v>
      </c>
      <c r="E1826" s="12" t="s">
        <v>3943</v>
      </c>
      <c r="F1826" s="12">
        <v>1</v>
      </c>
      <c r="H1826" s="12" t="s">
        <v>6072</v>
      </c>
      <c r="I1826" s="41" t="s">
        <v>7468</v>
      </c>
      <c r="M1826" s="41" t="e">
        <f>VLOOKUP(I1826,错误mRNA总表!D:I,6,FALSE)</f>
        <v>#N/A</v>
      </c>
    </row>
    <row r="1827" spans="1:13" x14ac:dyDescent="0.2">
      <c r="A1827" s="12" t="s">
        <v>4906</v>
      </c>
      <c r="B1827" s="12" t="s">
        <v>4907</v>
      </c>
      <c r="C1827" s="12">
        <v>165751</v>
      </c>
      <c r="D1827" s="12">
        <v>166448</v>
      </c>
      <c r="E1827" s="12" t="s">
        <v>3943</v>
      </c>
      <c r="F1827" s="12">
        <v>5</v>
      </c>
      <c r="H1827" s="12" t="s">
        <v>6073</v>
      </c>
      <c r="I1827" s="41" t="s">
        <v>7469</v>
      </c>
      <c r="M1827" s="41" t="e">
        <f>VLOOKUP(I1827,错误mRNA总表!D:I,6,FALSE)</f>
        <v>#N/A</v>
      </c>
    </row>
    <row r="1828" spans="1:13" x14ac:dyDescent="0.2">
      <c r="A1828" s="12" t="s">
        <v>4906</v>
      </c>
      <c r="B1828" s="12" t="s">
        <v>4907</v>
      </c>
      <c r="C1828" s="12">
        <v>165751</v>
      </c>
      <c r="D1828" s="12">
        <v>166459</v>
      </c>
      <c r="E1828" s="12" t="s">
        <v>3940</v>
      </c>
      <c r="F1828" s="12">
        <v>2</v>
      </c>
      <c r="H1828" s="12" t="s">
        <v>6073</v>
      </c>
      <c r="I1828" s="41" t="s">
        <v>7469</v>
      </c>
      <c r="M1828" s="41" t="e">
        <f>VLOOKUP(I1828,错误mRNA总表!D:I,6,FALSE)</f>
        <v>#N/A</v>
      </c>
    </row>
    <row r="1829" spans="1:13" x14ac:dyDescent="0.2">
      <c r="A1829" s="12" t="s">
        <v>4908</v>
      </c>
      <c r="B1829" s="12" t="s">
        <v>3954</v>
      </c>
      <c r="C1829" s="12">
        <v>190598964</v>
      </c>
      <c r="D1829" s="12">
        <v>190599037</v>
      </c>
      <c r="E1829" s="12" t="s">
        <v>3943</v>
      </c>
      <c r="F1829" s="12">
        <v>2</v>
      </c>
      <c r="G1829" s="41" t="s">
        <v>569</v>
      </c>
      <c r="H1829" s="12" t="s">
        <v>6074</v>
      </c>
      <c r="I1829" s="41" t="s">
        <v>7470</v>
      </c>
      <c r="M1829" s="41" t="e">
        <f>VLOOKUP(I1829,错误mRNA总表!D:I,6,FALSE)</f>
        <v>#N/A</v>
      </c>
    </row>
    <row r="1830" spans="1:13" x14ac:dyDescent="0.2">
      <c r="A1830" s="12" t="s">
        <v>4908</v>
      </c>
      <c r="B1830" s="12" t="s">
        <v>3954</v>
      </c>
      <c r="C1830" s="12">
        <v>190598964</v>
      </c>
      <c r="D1830" s="12">
        <v>190599853</v>
      </c>
      <c r="E1830" s="12" t="s">
        <v>3943</v>
      </c>
      <c r="F1830" s="12">
        <v>4</v>
      </c>
      <c r="G1830" s="41" t="s">
        <v>569</v>
      </c>
      <c r="H1830" s="12" t="s">
        <v>6074</v>
      </c>
      <c r="I1830" s="41" t="s">
        <v>7470</v>
      </c>
      <c r="M1830" s="41" t="e">
        <f>VLOOKUP(I1830,错误mRNA总表!D:I,6,FALSE)</f>
        <v>#N/A</v>
      </c>
    </row>
    <row r="1831" spans="1:13" x14ac:dyDescent="0.2">
      <c r="A1831" s="12" t="s">
        <v>4909</v>
      </c>
      <c r="B1831" s="12" t="s">
        <v>3948</v>
      </c>
      <c r="C1831" s="12">
        <v>101006101</v>
      </c>
      <c r="D1831" s="12">
        <v>101200671</v>
      </c>
      <c r="E1831" s="12" t="s">
        <v>3940</v>
      </c>
      <c r="F1831" s="12">
        <v>1</v>
      </c>
      <c r="G1831" s="41" t="s">
        <v>40</v>
      </c>
      <c r="H1831" s="12" t="s">
        <v>3439</v>
      </c>
      <c r="I1831" s="41" t="s">
        <v>6981</v>
      </c>
      <c r="M1831" s="41" t="e">
        <f>VLOOKUP(I1831,错误mRNA总表!D:I,6,FALSE)</f>
        <v>#N/A</v>
      </c>
    </row>
    <row r="1832" spans="1:13" x14ac:dyDescent="0.2">
      <c r="A1832" s="12" t="s">
        <v>4910</v>
      </c>
      <c r="B1832" s="12" t="s">
        <v>3939</v>
      </c>
      <c r="C1832" s="12">
        <v>46771711</v>
      </c>
      <c r="D1832" s="12">
        <v>46918916</v>
      </c>
      <c r="E1832" s="12" t="s">
        <v>3940</v>
      </c>
      <c r="F1832" s="12">
        <v>1</v>
      </c>
      <c r="G1832" s="41" t="s">
        <v>73</v>
      </c>
      <c r="H1832" s="12" t="s">
        <v>3668</v>
      </c>
      <c r="I1832" s="41" t="s">
        <v>7471</v>
      </c>
      <c r="M1832" s="41" t="e">
        <f>VLOOKUP(I1832,错误mRNA总表!D:I,6,FALSE)</f>
        <v>#N/A</v>
      </c>
    </row>
    <row r="1833" spans="1:13" x14ac:dyDescent="0.2">
      <c r="A1833" s="12" t="s">
        <v>4910</v>
      </c>
      <c r="B1833" s="12" t="s">
        <v>3939</v>
      </c>
      <c r="C1833" s="12">
        <v>46771711</v>
      </c>
      <c r="D1833" s="12">
        <v>46918950</v>
      </c>
      <c r="E1833" s="12" t="s">
        <v>3940</v>
      </c>
      <c r="F1833" s="12">
        <v>1</v>
      </c>
      <c r="G1833" s="41" t="s">
        <v>73</v>
      </c>
      <c r="H1833" s="12" t="s">
        <v>3668</v>
      </c>
      <c r="I1833" s="41" t="s">
        <v>7471</v>
      </c>
      <c r="M1833" s="41" t="e">
        <f>VLOOKUP(I1833,错误mRNA总表!D:I,6,FALSE)</f>
        <v>#N/A</v>
      </c>
    </row>
    <row r="1834" spans="1:13" x14ac:dyDescent="0.2">
      <c r="A1834" s="12" t="s">
        <v>4910</v>
      </c>
      <c r="B1834" s="12" t="s">
        <v>3939</v>
      </c>
      <c r="C1834" s="12">
        <v>46771711</v>
      </c>
      <c r="D1834" s="12">
        <v>46918957</v>
      </c>
      <c r="E1834" s="12" t="s">
        <v>3940</v>
      </c>
      <c r="F1834" s="12">
        <v>1</v>
      </c>
      <c r="G1834" s="41" t="s">
        <v>73</v>
      </c>
      <c r="H1834" s="12" t="s">
        <v>3668</v>
      </c>
      <c r="I1834" s="41" t="s">
        <v>7471</v>
      </c>
      <c r="M1834" s="41" t="e">
        <f>VLOOKUP(I1834,错误mRNA总表!D:I,6,FALSE)</f>
        <v>#N/A</v>
      </c>
    </row>
    <row r="1835" spans="1:13" x14ac:dyDescent="0.2">
      <c r="A1835" s="12" t="s">
        <v>4910</v>
      </c>
      <c r="B1835" s="12" t="s">
        <v>3939</v>
      </c>
      <c r="C1835" s="12">
        <v>46771711</v>
      </c>
      <c r="D1835" s="12">
        <v>46918976</v>
      </c>
      <c r="E1835" s="12" t="s">
        <v>3940</v>
      </c>
      <c r="F1835" s="12">
        <v>1</v>
      </c>
      <c r="G1835" s="41" t="s">
        <v>73</v>
      </c>
      <c r="H1835" s="12" t="s">
        <v>3668</v>
      </c>
      <c r="I1835" s="41" t="s">
        <v>7471</v>
      </c>
      <c r="M1835" s="41" t="e">
        <f>VLOOKUP(I1835,错误mRNA总表!D:I,6,FALSE)</f>
        <v>#N/A</v>
      </c>
    </row>
    <row r="1836" spans="1:13" x14ac:dyDescent="0.2">
      <c r="A1836" s="12" t="s">
        <v>4910</v>
      </c>
      <c r="B1836" s="12" t="s">
        <v>3939</v>
      </c>
      <c r="C1836" s="12">
        <v>46771711</v>
      </c>
      <c r="D1836" s="12">
        <v>46919656</v>
      </c>
      <c r="E1836" s="12" t="s">
        <v>3943</v>
      </c>
      <c r="F1836" s="12">
        <v>1</v>
      </c>
      <c r="G1836" s="41" t="s">
        <v>73</v>
      </c>
      <c r="H1836" s="12" t="s">
        <v>3668</v>
      </c>
      <c r="I1836" s="41" t="s">
        <v>7471</v>
      </c>
      <c r="M1836" s="41" t="e">
        <f>VLOOKUP(I1836,错误mRNA总表!D:I,6,FALSE)</f>
        <v>#N/A</v>
      </c>
    </row>
    <row r="1837" spans="1:13" x14ac:dyDescent="0.2">
      <c r="A1837" s="12" t="s">
        <v>4911</v>
      </c>
      <c r="B1837" s="12" t="s">
        <v>4069</v>
      </c>
      <c r="C1837" s="12">
        <v>74207477</v>
      </c>
      <c r="D1837" s="12">
        <v>74208493</v>
      </c>
      <c r="E1837" s="12" t="s">
        <v>3943</v>
      </c>
      <c r="F1837" s="12">
        <v>1</v>
      </c>
      <c r="G1837" s="41" t="s">
        <v>179</v>
      </c>
      <c r="H1837" s="12" t="s">
        <v>3470</v>
      </c>
      <c r="I1837" s="41" t="s">
        <v>7358</v>
      </c>
      <c r="M1837" s="41" t="e">
        <f>VLOOKUP(I1837,错误mRNA总表!D:I,6,FALSE)</f>
        <v>#N/A</v>
      </c>
    </row>
    <row r="1838" spans="1:13" x14ac:dyDescent="0.2">
      <c r="A1838" s="12" t="s">
        <v>4912</v>
      </c>
      <c r="B1838" s="12" t="s">
        <v>4012</v>
      </c>
      <c r="C1838" s="12">
        <v>76311115</v>
      </c>
      <c r="D1838" s="12">
        <v>76311603</v>
      </c>
      <c r="E1838" s="12" t="s">
        <v>3940</v>
      </c>
      <c r="F1838" s="12">
        <v>1</v>
      </c>
      <c r="G1838" s="41" t="s">
        <v>121</v>
      </c>
      <c r="H1838" s="12" t="s">
        <v>6075</v>
      </c>
      <c r="I1838" s="41" t="s">
        <v>7472</v>
      </c>
      <c r="M1838" s="41" t="e">
        <f>VLOOKUP(I1838,错误mRNA总表!D:I,6,FALSE)</f>
        <v>#N/A</v>
      </c>
    </row>
    <row r="1839" spans="1:13" x14ac:dyDescent="0.2">
      <c r="A1839" s="12" t="s">
        <v>4913</v>
      </c>
      <c r="B1839" s="12" t="s">
        <v>4012</v>
      </c>
      <c r="C1839" s="12">
        <v>57844549</v>
      </c>
      <c r="D1839" s="12">
        <v>57847637</v>
      </c>
      <c r="E1839" s="12" t="s">
        <v>3940</v>
      </c>
      <c r="F1839" s="12">
        <v>8</v>
      </c>
      <c r="G1839" s="41" t="s">
        <v>121</v>
      </c>
      <c r="H1839" s="12" t="s">
        <v>3465</v>
      </c>
      <c r="I1839" s="41" t="s">
        <v>7473</v>
      </c>
      <c r="M1839" s="41" t="e">
        <f>VLOOKUP(I1839,错误mRNA总表!D:I,6,FALSE)</f>
        <v>#N/A</v>
      </c>
    </row>
    <row r="1840" spans="1:13" x14ac:dyDescent="0.2">
      <c r="A1840" s="12" t="s">
        <v>4914</v>
      </c>
      <c r="B1840" s="12" t="s">
        <v>4052</v>
      </c>
      <c r="C1840" s="12">
        <v>51026321</v>
      </c>
      <c r="D1840" s="12">
        <v>51371103</v>
      </c>
      <c r="E1840" s="12" t="s">
        <v>3943</v>
      </c>
      <c r="F1840" s="12">
        <v>1</v>
      </c>
      <c r="G1840" s="41" t="s">
        <v>93</v>
      </c>
      <c r="H1840" s="12" t="s">
        <v>868</v>
      </c>
      <c r="I1840" s="41" t="s">
        <v>7474</v>
      </c>
      <c r="J1840" s="41" t="s">
        <v>2261</v>
      </c>
      <c r="K1840" s="41" t="str">
        <f>VLOOKUP(J1840,错误mRNA总表!D:J,7,FALSE)</f>
        <v/>
      </c>
      <c r="M1840" s="41" t="e">
        <f>VLOOKUP(I1840,错误mRNA总表!D:I,6,FALSE)</f>
        <v>#N/A</v>
      </c>
    </row>
    <row r="1841" spans="1:13" x14ac:dyDescent="0.2">
      <c r="A1841" s="12" t="s">
        <v>4914</v>
      </c>
      <c r="B1841" s="12" t="s">
        <v>4052</v>
      </c>
      <c r="C1841" s="12">
        <v>51026321</v>
      </c>
      <c r="D1841" s="12">
        <v>51371122</v>
      </c>
      <c r="E1841" s="12" t="s">
        <v>3943</v>
      </c>
      <c r="F1841" s="12">
        <v>1</v>
      </c>
      <c r="G1841" s="41" t="s">
        <v>93</v>
      </c>
      <c r="H1841" s="12" t="s">
        <v>868</v>
      </c>
      <c r="I1841" s="41" t="s">
        <v>7474</v>
      </c>
      <c r="J1841" s="41" t="s">
        <v>2261</v>
      </c>
      <c r="K1841" s="41" t="str">
        <f>VLOOKUP(J1841,错误mRNA总表!D:J,7,FALSE)</f>
        <v/>
      </c>
      <c r="M1841" s="41" t="e">
        <f>VLOOKUP(I1841,错误mRNA总表!D:I,6,FALSE)</f>
        <v>#N/A</v>
      </c>
    </row>
    <row r="1842" spans="1:13" x14ac:dyDescent="0.2">
      <c r="A1842" s="12" t="s">
        <v>4914</v>
      </c>
      <c r="B1842" s="12" t="s">
        <v>4052</v>
      </c>
      <c r="C1842" s="12">
        <v>51026321</v>
      </c>
      <c r="D1842" s="12">
        <v>51371131</v>
      </c>
      <c r="E1842" s="12" t="s">
        <v>3940</v>
      </c>
      <c r="F1842" s="12">
        <v>1</v>
      </c>
      <c r="G1842" s="41" t="s">
        <v>93</v>
      </c>
      <c r="H1842" s="12" t="s">
        <v>868</v>
      </c>
      <c r="I1842" s="41" t="s">
        <v>7474</v>
      </c>
      <c r="J1842" s="41" t="s">
        <v>2261</v>
      </c>
      <c r="K1842" s="41" t="str">
        <f>VLOOKUP(J1842,错误mRNA总表!D:J,7,FALSE)</f>
        <v/>
      </c>
      <c r="M1842" s="41" t="e">
        <f>VLOOKUP(I1842,错误mRNA总表!D:I,6,FALSE)</f>
        <v>#N/A</v>
      </c>
    </row>
    <row r="1843" spans="1:13" x14ac:dyDescent="0.2">
      <c r="A1843" s="12" t="s">
        <v>4915</v>
      </c>
      <c r="B1843" s="12" t="s">
        <v>4107</v>
      </c>
      <c r="C1843" s="12">
        <v>1298395</v>
      </c>
      <c r="D1843" s="12">
        <v>1308746</v>
      </c>
      <c r="E1843" s="12" t="s">
        <v>3940</v>
      </c>
      <c r="F1843" s="12">
        <v>116</v>
      </c>
      <c r="H1843" s="12" t="s">
        <v>3685</v>
      </c>
      <c r="I1843" s="41" t="s">
        <v>7475</v>
      </c>
      <c r="M1843" s="41" t="e">
        <f>VLOOKUP(I1843,错误mRNA总表!D:I,6,FALSE)</f>
        <v>#N/A</v>
      </c>
    </row>
    <row r="1844" spans="1:13" x14ac:dyDescent="0.2">
      <c r="A1844" s="12" t="s">
        <v>4039</v>
      </c>
      <c r="B1844" s="12" t="s">
        <v>3984</v>
      </c>
      <c r="C1844" s="12">
        <v>1832076</v>
      </c>
      <c r="D1844" s="12">
        <v>1851379</v>
      </c>
      <c r="E1844" s="12" t="s">
        <v>3943</v>
      </c>
      <c r="F1844" s="12">
        <v>1</v>
      </c>
      <c r="H1844" s="12" t="s">
        <v>3543</v>
      </c>
      <c r="I1844" s="41" t="s">
        <v>7476</v>
      </c>
      <c r="M1844" s="41" t="e">
        <f>VLOOKUP(I1844,错误mRNA总表!D:I,6,FALSE)</f>
        <v>#N/A</v>
      </c>
    </row>
    <row r="1845" spans="1:13" x14ac:dyDescent="0.2">
      <c r="A1845" s="12" t="s">
        <v>4916</v>
      </c>
      <c r="B1845" s="12" t="s">
        <v>3946</v>
      </c>
      <c r="C1845" s="12">
        <v>73232687</v>
      </c>
      <c r="D1845" s="12">
        <v>73234010</v>
      </c>
      <c r="E1845" s="12" t="s">
        <v>3940</v>
      </c>
      <c r="F1845" s="12">
        <v>14</v>
      </c>
      <c r="G1845" s="41" t="s">
        <v>47</v>
      </c>
      <c r="H1845" s="12" t="s">
        <v>5853</v>
      </c>
      <c r="I1845" s="41" t="s">
        <v>7477</v>
      </c>
      <c r="M1845" s="41" t="e">
        <f>VLOOKUP(I1845,错误mRNA总表!D:I,6,FALSE)</f>
        <v>#N/A</v>
      </c>
    </row>
    <row r="1846" spans="1:13" x14ac:dyDescent="0.2">
      <c r="A1846" s="12" t="s">
        <v>4229</v>
      </c>
      <c r="B1846" s="12" t="s">
        <v>3984</v>
      </c>
      <c r="C1846" s="12">
        <v>3001363</v>
      </c>
      <c r="D1846" s="12">
        <v>3023038</v>
      </c>
      <c r="E1846" s="12" t="s">
        <v>3940</v>
      </c>
      <c r="F1846" s="12">
        <v>1</v>
      </c>
      <c r="H1846" s="12" t="s">
        <v>3427</v>
      </c>
      <c r="I1846" s="41" t="s">
        <v>7478</v>
      </c>
      <c r="M1846" s="41" t="e">
        <f>VLOOKUP(I1846,错误mRNA总表!D:I,6,FALSE)</f>
        <v>#N/A</v>
      </c>
    </row>
    <row r="1847" spans="1:13" x14ac:dyDescent="0.2">
      <c r="A1847" s="12" t="s">
        <v>4917</v>
      </c>
      <c r="B1847" s="12" t="s">
        <v>3994</v>
      </c>
      <c r="C1847" s="12">
        <v>1575419</v>
      </c>
      <c r="D1847" s="12">
        <v>1577113</v>
      </c>
      <c r="E1847" s="12" t="s">
        <v>3943</v>
      </c>
      <c r="F1847" s="12">
        <v>1</v>
      </c>
      <c r="H1847" s="12" t="s">
        <v>6076</v>
      </c>
      <c r="I1847" s="41" t="s">
        <v>7479</v>
      </c>
      <c r="M1847" s="41" t="e">
        <f>VLOOKUP(I1847,错误mRNA总表!D:I,6,FALSE)</f>
        <v>#N/A</v>
      </c>
    </row>
    <row r="1848" spans="1:13" x14ac:dyDescent="0.2">
      <c r="A1848" s="12" t="s">
        <v>4918</v>
      </c>
      <c r="B1848" s="12" t="s">
        <v>4042</v>
      </c>
      <c r="C1848" s="12">
        <v>99645286</v>
      </c>
      <c r="D1848" s="12">
        <v>99646107</v>
      </c>
      <c r="E1848" s="12" t="s">
        <v>3940</v>
      </c>
      <c r="F1848" s="12">
        <v>1</v>
      </c>
      <c r="G1848" s="41" t="s">
        <v>113</v>
      </c>
      <c r="H1848" s="12" t="s">
        <v>164</v>
      </c>
      <c r="I1848" s="41" t="s">
        <v>2147</v>
      </c>
      <c r="J1848" s="41" t="s">
        <v>2147</v>
      </c>
      <c r="K1848" s="41" t="str">
        <f>VLOOKUP(J1848,错误mRNA总表!D:J,7,FALSE)</f>
        <v>纠后正确</v>
      </c>
      <c r="L1848" s="41" t="s">
        <v>3763</v>
      </c>
      <c r="M1848" s="41">
        <f>VLOOKUP(I1848,错误mRNA总表!D:I,6,FALSE)</f>
        <v>0</v>
      </c>
    </row>
    <row r="1849" spans="1:13" x14ac:dyDescent="0.2">
      <c r="A1849" s="12" t="s">
        <v>4462</v>
      </c>
      <c r="B1849" s="12" t="s">
        <v>3950</v>
      </c>
      <c r="C1849" s="12">
        <v>248562</v>
      </c>
      <c r="D1849" s="12">
        <v>248597</v>
      </c>
      <c r="E1849" s="12" t="s">
        <v>3940</v>
      </c>
      <c r="F1849" s="12">
        <v>2</v>
      </c>
      <c r="H1849" s="12" t="s">
        <v>5908</v>
      </c>
      <c r="I1849" s="41" t="s">
        <v>6896</v>
      </c>
      <c r="M1849" s="41" t="e">
        <f>VLOOKUP(I1849,错误mRNA总表!D:I,6,FALSE)</f>
        <v>#N/A</v>
      </c>
    </row>
    <row r="1850" spans="1:13" x14ac:dyDescent="0.2">
      <c r="A1850" s="12" t="s">
        <v>4919</v>
      </c>
      <c r="B1850" s="12" t="s">
        <v>3946</v>
      </c>
      <c r="C1850" s="12">
        <v>5185558</v>
      </c>
      <c r="D1850" s="12">
        <v>5286886</v>
      </c>
      <c r="E1850" s="12" t="s">
        <v>3943</v>
      </c>
      <c r="F1850" s="12">
        <v>25</v>
      </c>
      <c r="G1850" s="41" t="s">
        <v>47</v>
      </c>
      <c r="H1850" s="12" t="s">
        <v>6579</v>
      </c>
      <c r="I1850" s="41" t="s">
        <v>7269</v>
      </c>
      <c r="M1850" s="41" t="e">
        <f>VLOOKUP(I1850,错误mRNA总表!D:I,6,FALSE)</f>
        <v>#N/A</v>
      </c>
    </row>
    <row r="1851" spans="1:13" x14ac:dyDescent="0.2">
      <c r="A1851" s="12" t="s">
        <v>4186</v>
      </c>
      <c r="B1851" s="12" t="s">
        <v>3994</v>
      </c>
      <c r="C1851" s="12">
        <v>1149645</v>
      </c>
      <c r="D1851" s="12">
        <v>1149874</v>
      </c>
      <c r="E1851" s="12" t="s">
        <v>3940</v>
      </c>
      <c r="F1851" s="12">
        <v>12</v>
      </c>
      <c r="H1851" s="12" t="s">
        <v>6398</v>
      </c>
      <c r="I1851" s="41" t="s">
        <v>7480</v>
      </c>
      <c r="M1851" s="41" t="e">
        <f>VLOOKUP(I1851,错误mRNA总表!D:I,6,FALSE)</f>
        <v>#N/A</v>
      </c>
    </row>
    <row r="1852" spans="1:13" x14ac:dyDescent="0.2">
      <c r="A1852" s="12" t="s">
        <v>4186</v>
      </c>
      <c r="B1852" s="12" t="s">
        <v>3994</v>
      </c>
      <c r="C1852" s="12">
        <v>1149645</v>
      </c>
      <c r="D1852" s="12">
        <v>1151395</v>
      </c>
      <c r="E1852" s="12" t="s">
        <v>3940</v>
      </c>
      <c r="F1852" s="12">
        <v>1</v>
      </c>
      <c r="H1852" s="12" t="s">
        <v>6398</v>
      </c>
      <c r="I1852" s="41" t="s">
        <v>7480</v>
      </c>
      <c r="M1852" s="41" t="e">
        <f>VLOOKUP(I1852,错误mRNA总表!D:I,6,FALSE)</f>
        <v>#N/A</v>
      </c>
    </row>
    <row r="1853" spans="1:13" x14ac:dyDescent="0.2">
      <c r="A1853" s="12" t="s">
        <v>4186</v>
      </c>
      <c r="B1853" s="12" t="s">
        <v>3994</v>
      </c>
      <c r="C1853" s="12">
        <v>1149645</v>
      </c>
      <c r="D1853" s="12">
        <v>1151518</v>
      </c>
      <c r="E1853" s="12" t="s">
        <v>3940</v>
      </c>
      <c r="F1853" s="12">
        <v>1</v>
      </c>
      <c r="H1853" s="12" t="s">
        <v>6398</v>
      </c>
      <c r="I1853" s="41" t="s">
        <v>7480</v>
      </c>
      <c r="M1853" s="41" t="e">
        <f>VLOOKUP(I1853,错误mRNA总表!D:I,6,FALSE)</f>
        <v>#N/A</v>
      </c>
    </row>
    <row r="1854" spans="1:13" x14ac:dyDescent="0.2">
      <c r="A1854" s="12" t="s">
        <v>4186</v>
      </c>
      <c r="B1854" s="12" t="s">
        <v>3994</v>
      </c>
      <c r="C1854" s="12">
        <v>1149645</v>
      </c>
      <c r="D1854" s="12">
        <v>1152794</v>
      </c>
      <c r="E1854" s="12" t="s">
        <v>3940</v>
      </c>
      <c r="F1854" s="12">
        <v>4</v>
      </c>
      <c r="H1854" s="12" t="s">
        <v>6398</v>
      </c>
      <c r="I1854" s="41" t="s">
        <v>7480</v>
      </c>
      <c r="M1854" s="41" t="e">
        <f>VLOOKUP(I1854,错误mRNA总表!D:I,6,FALSE)</f>
        <v>#N/A</v>
      </c>
    </row>
    <row r="1855" spans="1:13" x14ac:dyDescent="0.2">
      <c r="A1855" s="12" t="s">
        <v>4511</v>
      </c>
      <c r="B1855" s="12" t="s">
        <v>3984</v>
      </c>
      <c r="C1855" s="12">
        <v>1832076</v>
      </c>
      <c r="D1855" s="12">
        <v>1851379</v>
      </c>
      <c r="E1855" s="12" t="s">
        <v>3943</v>
      </c>
      <c r="F1855" s="12">
        <v>1</v>
      </c>
      <c r="H1855" s="12" t="s">
        <v>3544</v>
      </c>
      <c r="I1855" s="41" t="s">
        <v>7481</v>
      </c>
      <c r="M1855" s="41" t="e">
        <f>VLOOKUP(I1855,错误mRNA总表!D:I,6,FALSE)</f>
        <v>#N/A</v>
      </c>
    </row>
    <row r="1856" spans="1:13" x14ac:dyDescent="0.2">
      <c r="A1856" s="12" t="s">
        <v>4920</v>
      </c>
      <c r="B1856" s="12" t="s">
        <v>4052</v>
      </c>
      <c r="C1856" s="12">
        <v>118380465</v>
      </c>
      <c r="D1856" s="12">
        <v>118383464</v>
      </c>
      <c r="E1856" s="12" t="s">
        <v>3940</v>
      </c>
      <c r="F1856" s="12">
        <v>1</v>
      </c>
      <c r="G1856" s="41" t="s">
        <v>93</v>
      </c>
      <c r="H1856" s="12" t="s">
        <v>6077</v>
      </c>
      <c r="I1856" s="41" t="s">
        <v>7482</v>
      </c>
      <c r="M1856" s="41" t="e">
        <f>VLOOKUP(I1856,错误mRNA总表!D:I,6,FALSE)</f>
        <v>#N/A</v>
      </c>
    </row>
    <row r="1857" spans="1:13" x14ac:dyDescent="0.2">
      <c r="A1857" s="12" t="s">
        <v>4921</v>
      </c>
      <c r="B1857" s="12" t="s">
        <v>4408</v>
      </c>
      <c r="C1857" s="12">
        <v>1065132</v>
      </c>
      <c r="D1857" s="12">
        <v>1065945</v>
      </c>
      <c r="E1857" s="12" t="s">
        <v>3940</v>
      </c>
      <c r="F1857" s="12">
        <v>1</v>
      </c>
      <c r="H1857" s="12" t="s">
        <v>6089</v>
      </c>
      <c r="I1857" s="41" t="s">
        <v>7483</v>
      </c>
      <c r="M1857" s="41" t="e">
        <f>VLOOKUP(I1857,错误mRNA总表!D:I,6,FALSE)</f>
        <v>#N/A</v>
      </c>
    </row>
    <row r="1858" spans="1:13" x14ac:dyDescent="0.2">
      <c r="A1858" s="12" t="s">
        <v>4921</v>
      </c>
      <c r="B1858" s="12" t="s">
        <v>4408</v>
      </c>
      <c r="C1858" s="12">
        <v>1065132</v>
      </c>
      <c r="D1858" s="12">
        <v>1074133</v>
      </c>
      <c r="E1858" s="12" t="s">
        <v>3940</v>
      </c>
      <c r="F1858" s="12">
        <v>1</v>
      </c>
      <c r="H1858" s="12" t="s">
        <v>6089</v>
      </c>
      <c r="I1858" s="41" t="s">
        <v>7483</v>
      </c>
      <c r="M1858" s="41" t="e">
        <f>VLOOKUP(I1858,错误mRNA总表!D:I,6,FALSE)</f>
        <v>#N/A</v>
      </c>
    </row>
    <row r="1859" spans="1:13" x14ac:dyDescent="0.2">
      <c r="A1859" s="12" t="s">
        <v>4509</v>
      </c>
      <c r="B1859" s="12" t="s">
        <v>4001</v>
      </c>
      <c r="C1859" s="12">
        <v>3110276</v>
      </c>
      <c r="D1859" s="12">
        <v>3112686</v>
      </c>
      <c r="E1859" s="12" t="s">
        <v>3940</v>
      </c>
      <c r="F1859" s="12">
        <v>6</v>
      </c>
      <c r="H1859" s="12" t="s">
        <v>3573</v>
      </c>
      <c r="I1859" s="41" t="s">
        <v>7484</v>
      </c>
      <c r="M1859" s="41" t="e">
        <f>VLOOKUP(I1859,错误mRNA总表!D:I,6,FALSE)</f>
        <v>#N/A</v>
      </c>
    </row>
    <row r="1860" spans="1:13" x14ac:dyDescent="0.2">
      <c r="A1860" s="12" t="s">
        <v>4922</v>
      </c>
      <c r="B1860" s="12" t="s">
        <v>4923</v>
      </c>
      <c r="C1860" s="12">
        <v>20188</v>
      </c>
      <c r="D1860" s="12">
        <v>75573</v>
      </c>
      <c r="E1860" s="12" t="s">
        <v>3943</v>
      </c>
      <c r="F1860" s="12">
        <v>4</v>
      </c>
      <c r="H1860" s="12" t="s">
        <v>3646</v>
      </c>
      <c r="I1860" s="41" t="s">
        <v>7485</v>
      </c>
      <c r="M1860" s="41" t="e">
        <f>VLOOKUP(I1860,错误mRNA总表!D:I,6,FALSE)</f>
        <v>#N/A</v>
      </c>
    </row>
    <row r="1861" spans="1:13" x14ac:dyDescent="0.2">
      <c r="A1861" s="12" t="s">
        <v>4924</v>
      </c>
      <c r="B1861" s="12" t="s">
        <v>3964</v>
      </c>
      <c r="C1861" s="12">
        <v>2333455</v>
      </c>
      <c r="D1861" s="12">
        <v>2336306</v>
      </c>
      <c r="E1861" s="12" t="s">
        <v>3940</v>
      </c>
      <c r="F1861" s="12">
        <v>90</v>
      </c>
      <c r="H1861" s="12" t="s">
        <v>6078</v>
      </c>
      <c r="I1861" s="41" t="s">
        <v>7486</v>
      </c>
      <c r="M1861" s="41" t="e">
        <f>VLOOKUP(I1861,错误mRNA总表!D:I,6,FALSE)</f>
        <v>#N/A</v>
      </c>
    </row>
    <row r="1862" spans="1:13" x14ac:dyDescent="0.2">
      <c r="A1862" s="12" t="s">
        <v>4925</v>
      </c>
      <c r="B1862" s="12" t="s">
        <v>4098</v>
      </c>
      <c r="C1862" s="12">
        <v>340900</v>
      </c>
      <c r="D1862" s="12">
        <v>340916</v>
      </c>
      <c r="E1862" s="12" t="s">
        <v>3940</v>
      </c>
      <c r="F1862" s="12">
        <v>245</v>
      </c>
      <c r="H1862" s="12" t="s">
        <v>3475</v>
      </c>
      <c r="I1862" s="41" t="s">
        <v>7487</v>
      </c>
      <c r="M1862" s="41" t="e">
        <f>VLOOKUP(I1862,错误mRNA总表!D:I,6,FALSE)</f>
        <v>#N/A</v>
      </c>
    </row>
    <row r="1863" spans="1:13" x14ac:dyDescent="0.2">
      <c r="A1863" s="12" t="s">
        <v>4925</v>
      </c>
      <c r="B1863" s="12" t="s">
        <v>4098</v>
      </c>
      <c r="C1863" s="12">
        <v>340900</v>
      </c>
      <c r="D1863" s="12">
        <v>344479</v>
      </c>
      <c r="E1863" s="12" t="s">
        <v>3940</v>
      </c>
      <c r="F1863" s="12">
        <v>582</v>
      </c>
      <c r="H1863" s="12" t="s">
        <v>3475</v>
      </c>
      <c r="I1863" s="41" t="s">
        <v>7487</v>
      </c>
      <c r="M1863" s="41" t="e">
        <f>VLOOKUP(I1863,错误mRNA总表!D:I,6,FALSE)</f>
        <v>#N/A</v>
      </c>
    </row>
    <row r="1864" spans="1:13" x14ac:dyDescent="0.2">
      <c r="A1864" s="12" t="s">
        <v>4925</v>
      </c>
      <c r="B1864" s="12" t="s">
        <v>4098</v>
      </c>
      <c r="C1864" s="12">
        <v>340900</v>
      </c>
      <c r="D1864" s="12">
        <v>356942</v>
      </c>
      <c r="E1864" s="12" t="s">
        <v>3940</v>
      </c>
      <c r="F1864" s="12">
        <v>407</v>
      </c>
      <c r="H1864" s="12" t="s">
        <v>3475</v>
      </c>
      <c r="I1864" s="41" t="s">
        <v>7487</v>
      </c>
      <c r="M1864" s="41" t="e">
        <f>VLOOKUP(I1864,错误mRNA总表!D:I,6,FALSE)</f>
        <v>#N/A</v>
      </c>
    </row>
    <row r="1865" spans="1:13" x14ac:dyDescent="0.2">
      <c r="A1865" s="12" t="s">
        <v>4926</v>
      </c>
      <c r="B1865" s="12" t="s">
        <v>3989</v>
      </c>
      <c r="C1865" s="12">
        <v>2937602</v>
      </c>
      <c r="D1865" s="12">
        <v>2937698</v>
      </c>
      <c r="E1865" s="12" t="s">
        <v>3943</v>
      </c>
      <c r="F1865" s="12">
        <v>4</v>
      </c>
      <c r="H1865" s="12" t="s">
        <v>3561</v>
      </c>
      <c r="I1865" s="41" t="s">
        <v>7488</v>
      </c>
      <c r="M1865" s="41" t="e">
        <f>VLOOKUP(I1865,错误mRNA总表!D:I,6,FALSE)</f>
        <v>#N/A</v>
      </c>
    </row>
    <row r="1866" spans="1:13" x14ac:dyDescent="0.2">
      <c r="A1866" s="12" t="s">
        <v>4315</v>
      </c>
      <c r="B1866" s="12" t="s">
        <v>3984</v>
      </c>
      <c r="C1866" s="12">
        <v>3001363</v>
      </c>
      <c r="D1866" s="12">
        <v>3023038</v>
      </c>
      <c r="E1866" s="12" t="s">
        <v>3940</v>
      </c>
      <c r="F1866" s="12">
        <v>1</v>
      </c>
      <c r="H1866" s="12" t="s">
        <v>3428</v>
      </c>
      <c r="I1866" s="41" t="s">
        <v>7489</v>
      </c>
      <c r="M1866" s="41" t="e">
        <f>VLOOKUP(I1866,错误mRNA总表!D:I,6,FALSE)</f>
        <v>#N/A</v>
      </c>
    </row>
    <row r="1867" spans="1:13" x14ac:dyDescent="0.2">
      <c r="A1867" s="12" t="s">
        <v>4927</v>
      </c>
      <c r="B1867" s="12" t="s">
        <v>4004</v>
      </c>
      <c r="C1867" s="12">
        <v>145736667</v>
      </c>
      <c r="D1867" s="12">
        <v>145738767</v>
      </c>
      <c r="E1867" s="12" t="s">
        <v>3943</v>
      </c>
      <c r="F1867" s="12">
        <v>1</v>
      </c>
      <c r="G1867" s="41" t="s">
        <v>103</v>
      </c>
      <c r="H1867" s="12" t="s">
        <v>136</v>
      </c>
      <c r="I1867" s="41" t="s">
        <v>2128</v>
      </c>
      <c r="J1867" s="41" t="s">
        <v>2128</v>
      </c>
      <c r="K1867" s="41" t="str">
        <f>VLOOKUP(J1867,错误mRNA总表!D:J,7,FALSE)</f>
        <v>纠后正确，chr8:145736816终止</v>
      </c>
      <c r="L1867" s="41" t="s">
        <v>3764</v>
      </c>
      <c r="M1867" s="41">
        <f>VLOOKUP(I1867,错误mRNA总表!D:I,6,FALSE)</f>
        <v>0</v>
      </c>
    </row>
    <row r="1868" spans="1:13" x14ac:dyDescent="0.2">
      <c r="A1868" s="12" t="s">
        <v>4928</v>
      </c>
      <c r="B1868" s="12" t="s">
        <v>3942</v>
      </c>
      <c r="C1868" s="12">
        <v>77656327</v>
      </c>
      <c r="D1868" s="12">
        <v>77745854</v>
      </c>
      <c r="E1868" s="12" t="s">
        <v>3940</v>
      </c>
      <c r="F1868" s="12">
        <v>1</v>
      </c>
      <c r="G1868" s="41" t="s">
        <v>186</v>
      </c>
      <c r="H1868" s="12" t="s">
        <v>6079</v>
      </c>
      <c r="I1868" s="41" t="s">
        <v>7490</v>
      </c>
      <c r="M1868" s="41" t="e">
        <f>VLOOKUP(I1868,错误mRNA总表!D:I,6,FALSE)</f>
        <v>#N/A</v>
      </c>
    </row>
    <row r="1869" spans="1:13" x14ac:dyDescent="0.2">
      <c r="A1869" s="12" t="s">
        <v>4929</v>
      </c>
      <c r="B1869" s="12" t="s">
        <v>4124</v>
      </c>
      <c r="C1869" s="12">
        <v>39024871</v>
      </c>
      <c r="D1869" s="12">
        <v>39103032</v>
      </c>
      <c r="E1869" s="12" t="s">
        <v>3940</v>
      </c>
      <c r="F1869" s="12">
        <v>1</v>
      </c>
      <c r="G1869" s="41" t="s">
        <v>1</v>
      </c>
      <c r="H1869" s="12" t="s">
        <v>6080</v>
      </c>
      <c r="I1869" s="41" t="s">
        <v>7491</v>
      </c>
      <c r="M1869" s="41" t="e">
        <f>VLOOKUP(I1869,错误mRNA总表!D:I,6,FALSE)</f>
        <v>#N/A</v>
      </c>
    </row>
    <row r="1870" spans="1:13" x14ac:dyDescent="0.2">
      <c r="A1870" s="12" t="s">
        <v>4930</v>
      </c>
      <c r="B1870" s="12" t="s">
        <v>4356</v>
      </c>
      <c r="C1870" s="12">
        <v>3577255</v>
      </c>
      <c r="D1870" s="12">
        <v>3578227</v>
      </c>
      <c r="E1870" s="12" t="s">
        <v>3943</v>
      </c>
      <c r="F1870" s="12">
        <v>7</v>
      </c>
      <c r="H1870" s="12" t="s">
        <v>6081</v>
      </c>
      <c r="I1870" s="41" t="s">
        <v>7492</v>
      </c>
      <c r="M1870" s="41" t="e">
        <f>VLOOKUP(I1870,错误mRNA总表!D:I,6,FALSE)</f>
        <v>#N/A</v>
      </c>
    </row>
    <row r="1871" spans="1:13" x14ac:dyDescent="0.2">
      <c r="A1871" s="12" t="s">
        <v>4931</v>
      </c>
      <c r="B1871" s="12" t="s">
        <v>4042</v>
      </c>
      <c r="C1871" s="12">
        <v>101905079</v>
      </c>
      <c r="D1871" s="12">
        <v>102029685</v>
      </c>
      <c r="E1871" s="12" t="s">
        <v>3940</v>
      </c>
      <c r="F1871" s="12">
        <v>2</v>
      </c>
      <c r="G1871" s="41" t="s">
        <v>113</v>
      </c>
      <c r="H1871" s="12" t="s">
        <v>118</v>
      </c>
      <c r="I1871" s="41" t="s">
        <v>2118</v>
      </c>
      <c r="J1871" s="41" t="s">
        <v>2118</v>
      </c>
      <c r="K1871" s="41" t="str">
        <f>VLOOKUP(J1871,错误mRNA总表!D:J,7,FALSE)</f>
        <v>纠后正确</v>
      </c>
      <c r="L1871" s="41" t="s">
        <v>3763</v>
      </c>
      <c r="M1871" s="41">
        <f>VLOOKUP(I1871,错误mRNA总表!D:I,6,FALSE)</f>
        <v>0</v>
      </c>
    </row>
    <row r="1872" spans="1:13" x14ac:dyDescent="0.2">
      <c r="A1872" s="12" t="s">
        <v>4159</v>
      </c>
      <c r="B1872" s="12" t="s">
        <v>3969</v>
      </c>
      <c r="C1872" s="12">
        <v>2429238</v>
      </c>
      <c r="D1872" s="12">
        <v>2431252</v>
      </c>
      <c r="E1872" s="12" t="s">
        <v>3943</v>
      </c>
      <c r="F1872" s="12">
        <v>3</v>
      </c>
      <c r="H1872" s="12" t="s">
        <v>671</v>
      </c>
      <c r="I1872" s="41" t="s">
        <v>6729</v>
      </c>
      <c r="J1872" s="41" t="s">
        <v>2608</v>
      </c>
      <c r="K1872" s="41" t="str">
        <f>VLOOKUP(J1872,错误mRNA总表!D:J,7,FALSE)</f>
        <v/>
      </c>
      <c r="M1872" s="41" t="e">
        <f>VLOOKUP(I1872,错误mRNA总表!D:I,6,FALSE)</f>
        <v>#N/A</v>
      </c>
    </row>
    <row r="1873" spans="1:13" x14ac:dyDescent="0.2">
      <c r="A1873" s="12" t="s">
        <v>4159</v>
      </c>
      <c r="B1873" s="12" t="s">
        <v>3969</v>
      </c>
      <c r="C1873" s="12">
        <v>2429238</v>
      </c>
      <c r="D1873" s="12">
        <v>2431576</v>
      </c>
      <c r="E1873" s="12" t="s">
        <v>3940</v>
      </c>
      <c r="F1873" s="12">
        <v>1</v>
      </c>
      <c r="H1873" s="12" t="s">
        <v>671</v>
      </c>
      <c r="I1873" s="41" t="s">
        <v>6729</v>
      </c>
      <c r="J1873" s="41" t="s">
        <v>2608</v>
      </c>
      <c r="K1873" s="41" t="str">
        <f>VLOOKUP(J1873,错误mRNA总表!D:J,7,FALSE)</f>
        <v/>
      </c>
      <c r="M1873" s="41" t="e">
        <f>VLOOKUP(I1873,错误mRNA总表!D:I,6,FALSE)</f>
        <v>#N/A</v>
      </c>
    </row>
    <row r="1874" spans="1:13" x14ac:dyDescent="0.2">
      <c r="A1874" s="12" t="s">
        <v>4159</v>
      </c>
      <c r="B1874" s="12" t="s">
        <v>3969</v>
      </c>
      <c r="C1874" s="12">
        <v>2429238</v>
      </c>
      <c r="D1874" s="12">
        <v>2431857</v>
      </c>
      <c r="E1874" s="12" t="s">
        <v>3943</v>
      </c>
      <c r="F1874" s="12">
        <v>3</v>
      </c>
      <c r="H1874" s="12" t="s">
        <v>671</v>
      </c>
      <c r="I1874" s="41" t="s">
        <v>6729</v>
      </c>
      <c r="J1874" s="41" t="s">
        <v>2608</v>
      </c>
      <c r="K1874" s="41" t="str">
        <f>VLOOKUP(J1874,错误mRNA总表!D:J,7,FALSE)</f>
        <v/>
      </c>
      <c r="M1874" s="41" t="e">
        <f>VLOOKUP(I1874,错误mRNA总表!D:I,6,FALSE)</f>
        <v>#N/A</v>
      </c>
    </row>
    <row r="1875" spans="1:13" x14ac:dyDescent="0.2">
      <c r="A1875" s="12" t="s">
        <v>4932</v>
      </c>
      <c r="B1875" s="12" t="s">
        <v>4933</v>
      </c>
      <c r="C1875" s="12">
        <v>1187</v>
      </c>
      <c r="D1875" s="12">
        <v>1222</v>
      </c>
      <c r="E1875" s="12" t="s">
        <v>3940</v>
      </c>
      <c r="F1875" s="12">
        <v>75</v>
      </c>
      <c r="H1875" s="12" t="s">
        <v>6208</v>
      </c>
      <c r="I1875" s="41" t="s">
        <v>7493</v>
      </c>
      <c r="M1875" s="41" t="e">
        <f>VLOOKUP(I1875,错误mRNA总表!D:I,6,FALSE)</f>
        <v>#N/A</v>
      </c>
    </row>
    <row r="1876" spans="1:13" x14ac:dyDescent="0.2">
      <c r="A1876" s="12" t="s">
        <v>4932</v>
      </c>
      <c r="B1876" s="12" t="s">
        <v>4933</v>
      </c>
      <c r="C1876" s="12">
        <v>1187</v>
      </c>
      <c r="D1876" s="12">
        <v>2474</v>
      </c>
      <c r="E1876" s="12" t="s">
        <v>3940</v>
      </c>
      <c r="F1876" s="12">
        <v>7</v>
      </c>
      <c r="H1876" s="12" t="s">
        <v>6208</v>
      </c>
      <c r="I1876" s="41" t="s">
        <v>7493</v>
      </c>
      <c r="M1876" s="41" t="e">
        <f>VLOOKUP(I1876,错误mRNA总表!D:I,6,FALSE)</f>
        <v>#N/A</v>
      </c>
    </row>
    <row r="1877" spans="1:13" x14ac:dyDescent="0.2">
      <c r="A1877" s="12" t="s">
        <v>4932</v>
      </c>
      <c r="B1877" s="12" t="s">
        <v>4933</v>
      </c>
      <c r="C1877" s="12">
        <v>1187</v>
      </c>
      <c r="D1877" s="12">
        <v>2480</v>
      </c>
      <c r="E1877" s="12" t="s">
        <v>3940</v>
      </c>
      <c r="F1877" s="12">
        <v>1</v>
      </c>
      <c r="H1877" s="12" t="s">
        <v>6208</v>
      </c>
      <c r="I1877" s="41" t="s">
        <v>7493</v>
      </c>
      <c r="M1877" s="41" t="e">
        <f>VLOOKUP(I1877,错误mRNA总表!D:I,6,FALSE)</f>
        <v>#N/A</v>
      </c>
    </row>
    <row r="1878" spans="1:13" x14ac:dyDescent="0.2">
      <c r="A1878" s="12" t="s">
        <v>4932</v>
      </c>
      <c r="B1878" s="12" t="s">
        <v>4933</v>
      </c>
      <c r="C1878" s="12">
        <v>1187</v>
      </c>
      <c r="D1878" s="12">
        <v>1192</v>
      </c>
      <c r="E1878" s="12" t="s">
        <v>3940</v>
      </c>
      <c r="F1878" s="12">
        <v>1</v>
      </c>
      <c r="H1878" s="12" t="s">
        <v>6208</v>
      </c>
      <c r="I1878" s="41" t="s">
        <v>7493</v>
      </c>
      <c r="M1878" s="41" t="e">
        <f>VLOOKUP(I1878,错误mRNA总表!D:I,6,FALSE)</f>
        <v>#N/A</v>
      </c>
    </row>
    <row r="1879" spans="1:13" x14ac:dyDescent="0.2">
      <c r="A1879" s="12" t="s">
        <v>4932</v>
      </c>
      <c r="B1879" s="12" t="s">
        <v>4933</v>
      </c>
      <c r="C1879" s="12">
        <v>1187</v>
      </c>
      <c r="D1879" s="12">
        <v>1205</v>
      </c>
      <c r="E1879" s="12" t="s">
        <v>3943</v>
      </c>
      <c r="F1879" s="12">
        <v>2</v>
      </c>
      <c r="H1879" s="12" t="s">
        <v>6208</v>
      </c>
      <c r="I1879" s="41" t="s">
        <v>7493</v>
      </c>
      <c r="M1879" s="41" t="e">
        <f>VLOOKUP(I1879,错误mRNA总表!D:I,6,FALSE)</f>
        <v>#N/A</v>
      </c>
    </row>
    <row r="1880" spans="1:13" x14ac:dyDescent="0.2">
      <c r="A1880" s="12" t="s">
        <v>4934</v>
      </c>
      <c r="B1880" s="12" t="s">
        <v>3946</v>
      </c>
      <c r="C1880" s="12">
        <v>39340352</v>
      </c>
      <c r="D1880" s="12">
        <v>39340474</v>
      </c>
      <c r="E1880" s="12" t="s">
        <v>3943</v>
      </c>
      <c r="F1880" s="12">
        <v>3</v>
      </c>
      <c r="G1880" s="41" t="s">
        <v>47</v>
      </c>
      <c r="H1880" s="12" t="s">
        <v>1172</v>
      </c>
      <c r="I1880" s="41" t="s">
        <v>3298</v>
      </c>
      <c r="J1880" s="41" t="s">
        <v>3298</v>
      </c>
      <c r="K1880" s="41" t="str">
        <f>VLOOKUP(J1880,错误mRNA总表!D:J,7,FALSE)</f>
        <v/>
      </c>
      <c r="L1880" s="41" t="s">
        <v>3762</v>
      </c>
      <c r="M1880" s="41">
        <f>VLOOKUP(I1880,错误mRNA总表!D:I,6,FALSE)</f>
        <v>0</v>
      </c>
    </row>
    <row r="1881" spans="1:13" x14ac:dyDescent="0.2">
      <c r="A1881" s="12" t="s">
        <v>3988</v>
      </c>
      <c r="B1881" s="12" t="s">
        <v>3984</v>
      </c>
      <c r="C1881" s="12">
        <v>2427966</v>
      </c>
      <c r="D1881" s="12">
        <v>2429431</v>
      </c>
      <c r="E1881" s="12" t="s">
        <v>3943</v>
      </c>
      <c r="F1881" s="12">
        <v>6</v>
      </c>
      <c r="H1881" s="12" t="s">
        <v>5778</v>
      </c>
      <c r="I1881" s="41" t="s">
        <v>7494</v>
      </c>
      <c r="M1881" s="41" t="e">
        <f>VLOOKUP(I1881,错误mRNA总表!D:I,6,FALSE)</f>
        <v>#N/A</v>
      </c>
    </row>
    <row r="1882" spans="1:13" x14ac:dyDescent="0.2">
      <c r="A1882" s="12" t="s">
        <v>3988</v>
      </c>
      <c r="B1882" s="12" t="s">
        <v>3984</v>
      </c>
      <c r="C1882" s="12">
        <v>2427966</v>
      </c>
      <c r="D1882" s="12">
        <v>2429480</v>
      </c>
      <c r="E1882" s="12" t="s">
        <v>3943</v>
      </c>
      <c r="F1882" s="12">
        <v>2</v>
      </c>
      <c r="H1882" s="12" t="s">
        <v>5778</v>
      </c>
      <c r="I1882" s="41" t="s">
        <v>7494</v>
      </c>
      <c r="M1882" s="41" t="e">
        <f>VLOOKUP(I1882,错误mRNA总表!D:I,6,FALSE)</f>
        <v>#N/A</v>
      </c>
    </row>
    <row r="1883" spans="1:13" x14ac:dyDescent="0.2">
      <c r="A1883" s="12" t="s">
        <v>3988</v>
      </c>
      <c r="B1883" s="12" t="s">
        <v>3984</v>
      </c>
      <c r="C1883" s="12">
        <v>2427966</v>
      </c>
      <c r="D1883" s="12">
        <v>2429980</v>
      </c>
      <c r="E1883" s="12" t="s">
        <v>3943</v>
      </c>
      <c r="F1883" s="12">
        <v>3</v>
      </c>
      <c r="H1883" s="12" t="s">
        <v>5778</v>
      </c>
      <c r="I1883" s="41" t="s">
        <v>7494</v>
      </c>
      <c r="M1883" s="41" t="e">
        <f>VLOOKUP(I1883,错误mRNA总表!D:I,6,FALSE)</f>
        <v>#N/A</v>
      </c>
    </row>
    <row r="1884" spans="1:13" x14ac:dyDescent="0.2">
      <c r="A1884" s="12" t="s">
        <v>3988</v>
      </c>
      <c r="B1884" s="12" t="s">
        <v>3984</v>
      </c>
      <c r="C1884" s="12">
        <v>2427966</v>
      </c>
      <c r="D1884" s="12">
        <v>2430304</v>
      </c>
      <c r="E1884" s="12" t="s">
        <v>3940</v>
      </c>
      <c r="F1884" s="12">
        <v>1</v>
      </c>
      <c r="H1884" s="12" t="s">
        <v>5778</v>
      </c>
      <c r="I1884" s="41" t="s">
        <v>7494</v>
      </c>
      <c r="M1884" s="41" t="e">
        <f>VLOOKUP(I1884,错误mRNA总表!D:I,6,FALSE)</f>
        <v>#N/A</v>
      </c>
    </row>
    <row r="1885" spans="1:13" x14ac:dyDescent="0.2">
      <c r="A1885" s="12" t="s">
        <v>3988</v>
      </c>
      <c r="B1885" s="12" t="s">
        <v>3984</v>
      </c>
      <c r="C1885" s="12">
        <v>2427966</v>
      </c>
      <c r="D1885" s="12">
        <v>2430585</v>
      </c>
      <c r="E1885" s="12" t="s">
        <v>3943</v>
      </c>
      <c r="F1885" s="12">
        <v>3</v>
      </c>
      <c r="H1885" s="12" t="s">
        <v>5778</v>
      </c>
      <c r="I1885" s="41" t="s">
        <v>7494</v>
      </c>
      <c r="M1885" s="41" t="e">
        <f>VLOOKUP(I1885,错误mRNA总表!D:I,6,FALSE)</f>
        <v>#N/A</v>
      </c>
    </row>
    <row r="1886" spans="1:13" x14ac:dyDescent="0.2">
      <c r="A1886" s="12" t="s">
        <v>4935</v>
      </c>
      <c r="B1886" s="12" t="s">
        <v>3978</v>
      </c>
      <c r="C1886" s="12">
        <v>50305040</v>
      </c>
      <c r="D1886" s="12">
        <v>50306757</v>
      </c>
      <c r="E1886" s="12" t="s">
        <v>3940</v>
      </c>
      <c r="F1886" s="12">
        <v>1</v>
      </c>
      <c r="G1886" s="41" t="s">
        <v>86</v>
      </c>
      <c r="H1886" s="12" t="s">
        <v>204</v>
      </c>
      <c r="I1886" s="41" t="s">
        <v>2194</v>
      </c>
      <c r="J1886" s="41" t="s">
        <v>2194</v>
      </c>
      <c r="K1886" s="41" t="str">
        <f>VLOOKUP(J1886,错误mRNA总表!D:J,7,FALSE)</f>
        <v>纠后正确</v>
      </c>
      <c r="L1886" s="41" t="s">
        <v>3763</v>
      </c>
      <c r="M1886" s="41">
        <f>VLOOKUP(I1886,错误mRNA总表!D:I,6,FALSE)</f>
        <v>0</v>
      </c>
    </row>
    <row r="1887" spans="1:13" x14ac:dyDescent="0.2">
      <c r="A1887" s="12" t="s">
        <v>4137</v>
      </c>
      <c r="B1887" s="12" t="s">
        <v>3984</v>
      </c>
      <c r="C1887" s="12">
        <v>3842030</v>
      </c>
      <c r="D1887" s="12">
        <v>3846135</v>
      </c>
      <c r="E1887" s="12" t="s">
        <v>3940</v>
      </c>
      <c r="F1887" s="12">
        <v>3</v>
      </c>
      <c r="H1887" s="12" t="s">
        <v>3580</v>
      </c>
      <c r="I1887" s="41" t="s">
        <v>7495</v>
      </c>
      <c r="M1887" s="41" t="e">
        <f>VLOOKUP(I1887,错误mRNA总表!D:I,6,FALSE)</f>
        <v>#N/A</v>
      </c>
    </row>
    <row r="1888" spans="1:13" x14ac:dyDescent="0.2">
      <c r="A1888" s="12" t="s">
        <v>4137</v>
      </c>
      <c r="B1888" s="12" t="s">
        <v>3984</v>
      </c>
      <c r="C1888" s="12">
        <v>3842030</v>
      </c>
      <c r="D1888" s="12">
        <v>3847824</v>
      </c>
      <c r="E1888" s="12" t="s">
        <v>3940</v>
      </c>
      <c r="F1888" s="12">
        <v>5</v>
      </c>
      <c r="H1888" s="12" t="s">
        <v>3580</v>
      </c>
      <c r="I1888" s="41" t="s">
        <v>7495</v>
      </c>
      <c r="M1888" s="41" t="e">
        <f>VLOOKUP(I1888,错误mRNA总表!D:I,6,FALSE)</f>
        <v>#N/A</v>
      </c>
    </row>
    <row r="1889" spans="1:13" x14ac:dyDescent="0.2">
      <c r="A1889" s="12" t="s">
        <v>4137</v>
      </c>
      <c r="B1889" s="12" t="s">
        <v>3984</v>
      </c>
      <c r="C1889" s="12">
        <v>3842030</v>
      </c>
      <c r="D1889" s="12">
        <v>3848090</v>
      </c>
      <c r="E1889" s="12" t="s">
        <v>3940</v>
      </c>
      <c r="F1889" s="12">
        <v>3</v>
      </c>
      <c r="H1889" s="12" t="s">
        <v>3580</v>
      </c>
      <c r="I1889" s="41" t="s">
        <v>7495</v>
      </c>
      <c r="M1889" s="41" t="e">
        <f>VLOOKUP(I1889,错误mRNA总表!D:I,6,FALSE)</f>
        <v>#N/A</v>
      </c>
    </row>
    <row r="1890" spans="1:13" x14ac:dyDescent="0.2">
      <c r="A1890" s="12" t="s">
        <v>4936</v>
      </c>
      <c r="B1890" s="12" t="s">
        <v>3948</v>
      </c>
      <c r="C1890" s="12">
        <v>66220869</v>
      </c>
      <c r="D1890" s="12">
        <v>66274377</v>
      </c>
      <c r="E1890" s="12" t="s">
        <v>3940</v>
      </c>
      <c r="F1890" s="12">
        <v>2</v>
      </c>
      <c r="G1890" s="41" t="s">
        <v>40</v>
      </c>
      <c r="H1890" s="12" t="s">
        <v>6082</v>
      </c>
      <c r="I1890" s="41" t="s">
        <v>7496</v>
      </c>
      <c r="M1890" s="41" t="e">
        <f>VLOOKUP(I1890,错误mRNA总表!D:I,6,FALSE)</f>
        <v>#N/A</v>
      </c>
    </row>
    <row r="1891" spans="1:13" x14ac:dyDescent="0.2">
      <c r="A1891" s="12" t="s">
        <v>4937</v>
      </c>
      <c r="B1891" s="12" t="s">
        <v>4042</v>
      </c>
      <c r="C1891" s="12">
        <v>78396948</v>
      </c>
      <c r="D1891" s="12">
        <v>78397349</v>
      </c>
      <c r="E1891" s="12" t="s">
        <v>3943</v>
      </c>
      <c r="F1891" s="12">
        <v>1</v>
      </c>
      <c r="G1891" s="41" t="s">
        <v>113</v>
      </c>
      <c r="H1891" s="12" t="s">
        <v>6083</v>
      </c>
      <c r="I1891" s="41" t="s">
        <v>7497</v>
      </c>
      <c r="M1891" s="41" t="e">
        <f>VLOOKUP(I1891,错误mRNA总表!D:I,6,FALSE)</f>
        <v>#N/A</v>
      </c>
    </row>
    <row r="1892" spans="1:13" x14ac:dyDescent="0.2">
      <c r="A1892" s="12" t="s">
        <v>4388</v>
      </c>
      <c r="B1892" s="12" t="s">
        <v>3996</v>
      </c>
      <c r="C1892" s="12">
        <v>4730149</v>
      </c>
      <c r="D1892" s="12">
        <v>4730202</v>
      </c>
      <c r="E1892" s="12" t="s">
        <v>3943</v>
      </c>
      <c r="F1892" s="12">
        <v>2</v>
      </c>
      <c r="H1892" s="12" t="s">
        <v>3592</v>
      </c>
      <c r="I1892" s="41" t="s">
        <v>7498</v>
      </c>
      <c r="M1892" s="41" t="e">
        <f>VLOOKUP(I1892,错误mRNA总表!D:I,6,FALSE)</f>
        <v>#N/A</v>
      </c>
    </row>
    <row r="1893" spans="1:13" x14ac:dyDescent="0.2">
      <c r="A1893" s="12" t="s">
        <v>4938</v>
      </c>
      <c r="B1893" s="12" t="s">
        <v>4018</v>
      </c>
      <c r="C1893" s="12">
        <v>46875424</v>
      </c>
      <c r="D1893" s="12">
        <v>46924439</v>
      </c>
      <c r="E1893" s="12" t="s">
        <v>3943</v>
      </c>
      <c r="F1893" s="12">
        <v>9</v>
      </c>
      <c r="G1893" s="41" t="s">
        <v>241</v>
      </c>
      <c r="H1893" s="12" t="s">
        <v>6427</v>
      </c>
      <c r="I1893" s="41" t="s">
        <v>7499</v>
      </c>
      <c r="M1893" s="41" t="e">
        <f>VLOOKUP(I1893,错误mRNA总表!D:I,6,FALSE)</f>
        <v>#N/A</v>
      </c>
    </row>
    <row r="1894" spans="1:13" x14ac:dyDescent="0.2">
      <c r="A1894" s="12" t="s">
        <v>4295</v>
      </c>
      <c r="B1894" s="12" t="s">
        <v>3969</v>
      </c>
      <c r="C1894" s="12">
        <v>2914585</v>
      </c>
      <c r="D1894" s="12">
        <v>2919412</v>
      </c>
      <c r="E1894" s="12" t="s">
        <v>3943</v>
      </c>
      <c r="F1894" s="12">
        <v>1</v>
      </c>
      <c r="H1894" s="12" t="s">
        <v>3565</v>
      </c>
      <c r="I1894" s="41" t="s">
        <v>7500</v>
      </c>
      <c r="M1894" s="41" t="e">
        <f>VLOOKUP(I1894,错误mRNA总表!D:I,6,FALSE)</f>
        <v>#N/A</v>
      </c>
    </row>
    <row r="1895" spans="1:13" x14ac:dyDescent="0.2">
      <c r="A1895" s="12" t="s">
        <v>4939</v>
      </c>
      <c r="B1895" s="12" t="s">
        <v>3957</v>
      </c>
      <c r="C1895" s="12">
        <v>94695787</v>
      </c>
      <c r="D1895" s="12">
        <v>94699507</v>
      </c>
      <c r="E1895" s="12" t="s">
        <v>3940</v>
      </c>
      <c r="F1895" s="12">
        <v>1</v>
      </c>
      <c r="G1895" s="41" t="s">
        <v>36</v>
      </c>
      <c r="H1895" s="12" t="s">
        <v>64</v>
      </c>
      <c r="I1895" s="41" t="s">
        <v>2089</v>
      </c>
      <c r="J1895" s="41" t="s">
        <v>2089</v>
      </c>
      <c r="K1895" s="41" t="str">
        <f>VLOOKUP(J1895,错误mRNA总表!D:J,7,FALSE)</f>
        <v>纠后正确</v>
      </c>
      <c r="L1895" s="41" t="s">
        <v>3763</v>
      </c>
      <c r="M1895" s="41">
        <f>VLOOKUP(I1895,错误mRNA总表!D:I,6,FALSE)</f>
        <v>0</v>
      </c>
    </row>
    <row r="1896" spans="1:13" x14ac:dyDescent="0.2">
      <c r="A1896" s="12" t="s">
        <v>4940</v>
      </c>
      <c r="B1896" s="12" t="s">
        <v>4012</v>
      </c>
      <c r="C1896" s="12">
        <v>108058</v>
      </c>
      <c r="D1896" s="12">
        <v>122525</v>
      </c>
      <c r="E1896" s="12" t="s">
        <v>3940</v>
      </c>
      <c r="F1896" s="12">
        <v>1</v>
      </c>
      <c r="G1896" s="41" t="s">
        <v>121</v>
      </c>
      <c r="H1896" s="12" t="s">
        <v>6526</v>
      </c>
      <c r="I1896" s="41" t="s">
        <v>7501</v>
      </c>
      <c r="M1896" s="41" t="e">
        <f>VLOOKUP(I1896,错误mRNA总表!D:I,6,FALSE)</f>
        <v>#N/A</v>
      </c>
    </row>
    <row r="1897" spans="1:13" x14ac:dyDescent="0.2">
      <c r="A1897" s="12" t="s">
        <v>4940</v>
      </c>
      <c r="B1897" s="12" t="s">
        <v>4012</v>
      </c>
      <c r="C1897" s="12">
        <v>108058</v>
      </c>
      <c r="D1897" s="12">
        <v>122556</v>
      </c>
      <c r="E1897" s="12" t="s">
        <v>3940</v>
      </c>
      <c r="F1897" s="12">
        <v>2</v>
      </c>
      <c r="G1897" s="41" t="s">
        <v>121</v>
      </c>
      <c r="H1897" s="12" t="s">
        <v>6526</v>
      </c>
      <c r="I1897" s="41" t="s">
        <v>7501</v>
      </c>
      <c r="M1897" s="41" t="e">
        <f>VLOOKUP(I1897,错误mRNA总表!D:I,6,FALSE)</f>
        <v>#N/A</v>
      </c>
    </row>
    <row r="1898" spans="1:13" x14ac:dyDescent="0.2">
      <c r="A1898" s="12" t="s">
        <v>4940</v>
      </c>
      <c r="B1898" s="12" t="s">
        <v>4012</v>
      </c>
      <c r="C1898" s="12">
        <v>108058</v>
      </c>
      <c r="D1898" s="12">
        <v>122579</v>
      </c>
      <c r="E1898" s="12" t="s">
        <v>3940</v>
      </c>
      <c r="F1898" s="12">
        <v>2</v>
      </c>
      <c r="G1898" s="41" t="s">
        <v>121</v>
      </c>
      <c r="H1898" s="12" t="s">
        <v>6526</v>
      </c>
      <c r="I1898" s="41" t="s">
        <v>7501</v>
      </c>
      <c r="M1898" s="41" t="e">
        <f>VLOOKUP(I1898,错误mRNA总表!D:I,6,FALSE)</f>
        <v>#N/A</v>
      </c>
    </row>
    <row r="1899" spans="1:13" x14ac:dyDescent="0.2">
      <c r="A1899" s="12" t="s">
        <v>4941</v>
      </c>
      <c r="B1899" s="12" t="s">
        <v>3957</v>
      </c>
      <c r="C1899" s="12">
        <v>46638826</v>
      </c>
      <c r="D1899" s="12">
        <v>46694313</v>
      </c>
      <c r="E1899" s="12" t="s">
        <v>3943</v>
      </c>
      <c r="F1899" s="12">
        <v>2</v>
      </c>
      <c r="G1899" s="41" t="s">
        <v>36</v>
      </c>
      <c r="H1899" s="12" t="s">
        <v>6084</v>
      </c>
      <c r="I1899" s="41" t="s">
        <v>7502</v>
      </c>
      <c r="M1899" s="41" t="e">
        <f>VLOOKUP(I1899,错误mRNA总表!D:I,6,FALSE)</f>
        <v>#N/A</v>
      </c>
    </row>
    <row r="1900" spans="1:13" x14ac:dyDescent="0.2">
      <c r="A1900" s="12" t="s">
        <v>4463</v>
      </c>
      <c r="B1900" s="12" t="s">
        <v>4942</v>
      </c>
      <c r="C1900" s="12">
        <v>44262</v>
      </c>
      <c r="D1900" s="12">
        <v>50700</v>
      </c>
      <c r="E1900" s="12" t="s">
        <v>3943</v>
      </c>
      <c r="F1900" s="12">
        <v>16</v>
      </c>
      <c r="H1900" s="12" t="s">
        <v>5909</v>
      </c>
      <c r="I1900" s="41" t="s">
        <v>7048</v>
      </c>
      <c r="M1900" s="41" t="e">
        <f>VLOOKUP(I1900,错误mRNA总表!D:I,6,FALSE)</f>
        <v>#N/A</v>
      </c>
    </row>
    <row r="1901" spans="1:13" x14ac:dyDescent="0.2">
      <c r="A1901" s="12" t="s">
        <v>4943</v>
      </c>
      <c r="B1901" s="12" t="s">
        <v>4042</v>
      </c>
      <c r="C1901" s="12">
        <v>58982650</v>
      </c>
      <c r="D1901" s="12">
        <v>58983875</v>
      </c>
      <c r="E1901" s="12" t="s">
        <v>3943</v>
      </c>
      <c r="F1901" s="12">
        <v>1</v>
      </c>
      <c r="G1901" s="41" t="s">
        <v>113</v>
      </c>
      <c r="H1901" s="12" t="s">
        <v>6085</v>
      </c>
      <c r="I1901" s="41" t="s">
        <v>7503</v>
      </c>
      <c r="M1901" s="41" t="e">
        <f>VLOOKUP(I1901,错误mRNA总表!D:I,6,FALSE)</f>
        <v>#N/A</v>
      </c>
    </row>
    <row r="1902" spans="1:13" x14ac:dyDescent="0.2">
      <c r="A1902" s="12" t="s">
        <v>4944</v>
      </c>
      <c r="B1902" s="12" t="s">
        <v>3973</v>
      </c>
      <c r="C1902" s="12">
        <v>17083556</v>
      </c>
      <c r="D1902" s="12">
        <v>17086085</v>
      </c>
      <c r="E1902" s="12" t="s">
        <v>3940</v>
      </c>
      <c r="F1902" s="12">
        <v>1</v>
      </c>
      <c r="G1902" s="41" t="s">
        <v>139</v>
      </c>
      <c r="H1902" s="12" t="s">
        <v>6086</v>
      </c>
      <c r="I1902" s="41" t="s">
        <v>7504</v>
      </c>
      <c r="M1902" s="41" t="e">
        <f>VLOOKUP(I1902,错误mRNA总表!D:I,6,FALSE)</f>
        <v>#N/A</v>
      </c>
    </row>
    <row r="1903" spans="1:13" x14ac:dyDescent="0.2">
      <c r="A1903" s="12" t="s">
        <v>4945</v>
      </c>
      <c r="B1903" s="12" t="s">
        <v>3946</v>
      </c>
      <c r="C1903" s="12">
        <v>46103533</v>
      </c>
      <c r="D1903" s="12">
        <v>46115072</v>
      </c>
      <c r="E1903" s="12" t="s">
        <v>3940</v>
      </c>
      <c r="F1903" s="12">
        <v>1</v>
      </c>
      <c r="G1903" s="41" t="s">
        <v>47</v>
      </c>
      <c r="H1903" s="12" t="s">
        <v>62</v>
      </c>
      <c r="I1903" s="41" t="s">
        <v>2088</v>
      </c>
      <c r="J1903" s="41" t="s">
        <v>2088</v>
      </c>
      <c r="K1903" s="41" t="str">
        <f>VLOOKUP(J1903,错误mRNA总表!D:J,7,FALSE)</f>
        <v>纠后正确</v>
      </c>
      <c r="L1903" s="41" t="s">
        <v>3763</v>
      </c>
      <c r="M1903" s="41">
        <f>VLOOKUP(I1903,错误mRNA总表!D:I,6,FALSE)</f>
        <v>0</v>
      </c>
    </row>
    <row r="1904" spans="1:13" x14ac:dyDescent="0.2">
      <c r="A1904" s="12" t="s">
        <v>4945</v>
      </c>
      <c r="B1904" s="12" t="s">
        <v>3946</v>
      </c>
      <c r="C1904" s="12">
        <v>46103533</v>
      </c>
      <c r="D1904" s="12">
        <v>46115084</v>
      </c>
      <c r="E1904" s="12" t="s">
        <v>3940</v>
      </c>
      <c r="F1904" s="12">
        <v>2</v>
      </c>
      <c r="G1904" s="41" t="s">
        <v>47</v>
      </c>
      <c r="H1904" s="12" t="s">
        <v>62</v>
      </c>
      <c r="I1904" s="41" t="s">
        <v>2088</v>
      </c>
      <c r="J1904" s="41" t="s">
        <v>2088</v>
      </c>
      <c r="K1904" s="41" t="str">
        <f>VLOOKUP(J1904,错误mRNA总表!D:J,7,FALSE)</f>
        <v>纠后正确</v>
      </c>
      <c r="L1904" s="41" t="s">
        <v>3763</v>
      </c>
      <c r="M1904" s="41">
        <f>VLOOKUP(I1904,错误mRNA总表!D:I,6,FALSE)</f>
        <v>0</v>
      </c>
    </row>
    <row r="1905" spans="1:13" x14ac:dyDescent="0.2">
      <c r="A1905" s="12" t="s">
        <v>4945</v>
      </c>
      <c r="B1905" s="12" t="s">
        <v>3946</v>
      </c>
      <c r="C1905" s="12">
        <v>46103533</v>
      </c>
      <c r="D1905" s="12">
        <v>46115122</v>
      </c>
      <c r="E1905" s="12" t="s">
        <v>3940</v>
      </c>
      <c r="F1905" s="12">
        <v>1</v>
      </c>
      <c r="G1905" s="41" t="s">
        <v>47</v>
      </c>
      <c r="H1905" s="12" t="s">
        <v>62</v>
      </c>
      <c r="I1905" s="41" t="s">
        <v>2088</v>
      </c>
      <c r="J1905" s="41" t="s">
        <v>2088</v>
      </c>
      <c r="K1905" s="41" t="str">
        <f>VLOOKUP(J1905,错误mRNA总表!D:J,7,FALSE)</f>
        <v>纠后正确</v>
      </c>
      <c r="L1905" s="41" t="s">
        <v>3763</v>
      </c>
      <c r="M1905" s="41">
        <f>VLOOKUP(I1905,错误mRNA总表!D:I,6,FALSE)</f>
        <v>0</v>
      </c>
    </row>
    <row r="1906" spans="1:13" x14ac:dyDescent="0.2">
      <c r="A1906" s="12" t="s">
        <v>4946</v>
      </c>
      <c r="B1906" s="12" t="s">
        <v>4042</v>
      </c>
      <c r="C1906" s="12">
        <v>74630103</v>
      </c>
      <c r="D1906" s="12">
        <v>74658315</v>
      </c>
      <c r="E1906" s="12" t="s">
        <v>3940</v>
      </c>
      <c r="F1906" s="12">
        <v>1</v>
      </c>
      <c r="G1906" s="41" t="s">
        <v>113</v>
      </c>
      <c r="H1906" s="12" t="s">
        <v>6087</v>
      </c>
      <c r="I1906" s="41" t="s">
        <v>7505</v>
      </c>
      <c r="M1906" s="41" t="e">
        <f>VLOOKUP(I1906,错误mRNA总表!D:I,6,FALSE)</f>
        <v>#N/A</v>
      </c>
    </row>
    <row r="1907" spans="1:13" x14ac:dyDescent="0.2">
      <c r="A1907" s="12" t="s">
        <v>4947</v>
      </c>
      <c r="B1907" s="12" t="s">
        <v>3996</v>
      </c>
      <c r="C1907" s="12">
        <v>2641060</v>
      </c>
      <c r="D1907" s="12">
        <v>2646363</v>
      </c>
      <c r="E1907" s="12" t="s">
        <v>3943</v>
      </c>
      <c r="F1907" s="12">
        <v>1</v>
      </c>
      <c r="H1907" s="12" t="s">
        <v>3553</v>
      </c>
      <c r="I1907" s="41" t="s">
        <v>7506</v>
      </c>
      <c r="M1907" s="41" t="e">
        <f>VLOOKUP(I1907,错误mRNA总表!D:I,6,FALSE)</f>
        <v>#N/A</v>
      </c>
    </row>
    <row r="1908" spans="1:13" x14ac:dyDescent="0.2">
      <c r="A1908" s="12" t="s">
        <v>4948</v>
      </c>
      <c r="B1908" s="12" t="s">
        <v>4030</v>
      </c>
      <c r="C1908" s="12">
        <v>21989231</v>
      </c>
      <c r="D1908" s="12">
        <v>21989472</v>
      </c>
      <c r="E1908" s="12" t="s">
        <v>3940</v>
      </c>
      <c r="F1908" s="12">
        <v>15</v>
      </c>
      <c r="G1908" s="41" t="s">
        <v>81</v>
      </c>
      <c r="H1908" s="12" t="s">
        <v>6088</v>
      </c>
      <c r="I1908" s="41" t="s">
        <v>7507</v>
      </c>
      <c r="M1908" s="41" t="e">
        <f>VLOOKUP(I1908,错误mRNA总表!D:I,6,FALSE)</f>
        <v>#N/A</v>
      </c>
    </row>
    <row r="1909" spans="1:13" x14ac:dyDescent="0.2">
      <c r="A1909" s="12" t="s">
        <v>4948</v>
      </c>
      <c r="B1909" s="12" t="s">
        <v>4030</v>
      </c>
      <c r="C1909" s="12">
        <v>21989231</v>
      </c>
      <c r="D1909" s="12">
        <v>21989706</v>
      </c>
      <c r="E1909" s="12" t="s">
        <v>3940</v>
      </c>
      <c r="F1909" s="12">
        <v>2</v>
      </c>
      <c r="G1909" s="41" t="s">
        <v>81</v>
      </c>
      <c r="H1909" s="12" t="s">
        <v>6088</v>
      </c>
      <c r="I1909" s="41" t="s">
        <v>7507</v>
      </c>
      <c r="M1909" s="41" t="e">
        <f>VLOOKUP(I1909,错误mRNA总表!D:I,6,FALSE)</f>
        <v>#N/A</v>
      </c>
    </row>
    <row r="1910" spans="1:13" x14ac:dyDescent="0.2">
      <c r="A1910" s="12" t="s">
        <v>4949</v>
      </c>
      <c r="B1910" s="12" t="s">
        <v>4950</v>
      </c>
      <c r="C1910" s="12">
        <v>235630</v>
      </c>
      <c r="D1910" s="12">
        <v>240129</v>
      </c>
      <c r="E1910" s="12" t="s">
        <v>3943</v>
      </c>
      <c r="F1910" s="12">
        <v>1</v>
      </c>
      <c r="H1910" s="12" t="s">
        <v>3670</v>
      </c>
      <c r="I1910" s="41" t="s">
        <v>7508</v>
      </c>
      <c r="M1910" s="41" t="e">
        <f>VLOOKUP(I1910,错误mRNA总表!D:I,6,FALSE)</f>
        <v>#N/A</v>
      </c>
    </row>
    <row r="1911" spans="1:13" x14ac:dyDescent="0.2">
      <c r="A1911" s="12" t="s">
        <v>4951</v>
      </c>
      <c r="B1911" s="12" t="s">
        <v>4098</v>
      </c>
      <c r="C1911" s="12">
        <v>248816</v>
      </c>
      <c r="D1911" s="12">
        <v>248851</v>
      </c>
      <c r="E1911" s="12" t="s">
        <v>3940</v>
      </c>
      <c r="F1911" s="12">
        <v>2</v>
      </c>
      <c r="H1911" s="12" t="s">
        <v>3655</v>
      </c>
      <c r="I1911" s="41" t="s">
        <v>7509</v>
      </c>
      <c r="M1911" s="41" t="e">
        <f>VLOOKUP(I1911,错误mRNA总表!D:I,6,FALSE)</f>
        <v>#N/A</v>
      </c>
    </row>
    <row r="1912" spans="1:13" x14ac:dyDescent="0.2">
      <c r="A1912" s="12" t="s">
        <v>4952</v>
      </c>
      <c r="B1912" s="12" t="s">
        <v>4185</v>
      </c>
      <c r="C1912" s="12">
        <v>411511</v>
      </c>
      <c r="D1912" s="12">
        <v>413267</v>
      </c>
      <c r="E1912" s="12" t="s">
        <v>3940</v>
      </c>
      <c r="F1912" s="12">
        <v>1</v>
      </c>
      <c r="H1912" s="12" t="s">
        <v>3671</v>
      </c>
      <c r="I1912" s="41" t="s">
        <v>7510</v>
      </c>
      <c r="M1912" s="41" t="e">
        <f>VLOOKUP(I1912,错误mRNA总表!D:I,6,FALSE)</f>
        <v>#N/A</v>
      </c>
    </row>
    <row r="1913" spans="1:13" x14ac:dyDescent="0.2">
      <c r="A1913" s="12" t="s">
        <v>4952</v>
      </c>
      <c r="B1913" s="12" t="s">
        <v>4185</v>
      </c>
      <c r="C1913" s="12">
        <v>411511</v>
      </c>
      <c r="D1913" s="12">
        <v>415294</v>
      </c>
      <c r="E1913" s="12" t="s">
        <v>3943</v>
      </c>
      <c r="F1913" s="12">
        <v>1</v>
      </c>
      <c r="H1913" s="12" t="s">
        <v>3671</v>
      </c>
      <c r="I1913" s="41" t="s">
        <v>7510</v>
      </c>
      <c r="M1913" s="41" t="e">
        <f>VLOOKUP(I1913,错误mRNA总表!D:I,6,FALSE)</f>
        <v>#N/A</v>
      </c>
    </row>
    <row r="1914" spans="1:13" x14ac:dyDescent="0.2">
      <c r="A1914" s="12" t="s">
        <v>4952</v>
      </c>
      <c r="B1914" s="12" t="s">
        <v>4185</v>
      </c>
      <c r="C1914" s="12">
        <v>411511</v>
      </c>
      <c r="D1914" s="12">
        <v>416812</v>
      </c>
      <c r="E1914" s="12" t="s">
        <v>3940</v>
      </c>
      <c r="F1914" s="12">
        <v>11</v>
      </c>
      <c r="H1914" s="12" t="s">
        <v>3671</v>
      </c>
      <c r="I1914" s="41" t="s">
        <v>7510</v>
      </c>
      <c r="M1914" s="41" t="e">
        <f>VLOOKUP(I1914,错误mRNA总表!D:I,6,FALSE)</f>
        <v>#N/A</v>
      </c>
    </row>
    <row r="1915" spans="1:13" x14ac:dyDescent="0.2">
      <c r="A1915" s="12" t="s">
        <v>3974</v>
      </c>
      <c r="B1915" s="12" t="s">
        <v>3964</v>
      </c>
      <c r="C1915" s="12">
        <v>4046345</v>
      </c>
      <c r="D1915" s="12">
        <v>4051369</v>
      </c>
      <c r="E1915" s="12" t="s">
        <v>3940</v>
      </c>
      <c r="F1915" s="12">
        <v>1</v>
      </c>
      <c r="H1915" s="12" t="s">
        <v>3582</v>
      </c>
      <c r="I1915" s="41" t="s">
        <v>7511</v>
      </c>
      <c r="M1915" s="41" t="e">
        <f>VLOOKUP(I1915,错误mRNA总表!D:I,6,FALSE)</f>
        <v>#N/A</v>
      </c>
    </row>
    <row r="1916" spans="1:13" x14ac:dyDescent="0.2">
      <c r="A1916" s="12" t="s">
        <v>4953</v>
      </c>
      <c r="B1916" s="12" t="s">
        <v>4098</v>
      </c>
      <c r="C1916" s="12">
        <v>338148</v>
      </c>
      <c r="D1916" s="12">
        <v>338163</v>
      </c>
      <c r="E1916" s="12" t="s">
        <v>3940</v>
      </c>
      <c r="F1916" s="12">
        <v>213</v>
      </c>
      <c r="H1916" s="12" t="s">
        <v>3473</v>
      </c>
      <c r="I1916" s="41" t="s">
        <v>7512</v>
      </c>
      <c r="M1916" s="41" t="e">
        <f>VLOOKUP(I1916,错误mRNA总表!D:I,6,FALSE)</f>
        <v>#N/A</v>
      </c>
    </row>
    <row r="1917" spans="1:13" x14ac:dyDescent="0.2">
      <c r="A1917" s="12" t="s">
        <v>4953</v>
      </c>
      <c r="B1917" s="12" t="s">
        <v>4098</v>
      </c>
      <c r="C1917" s="12">
        <v>338148</v>
      </c>
      <c r="D1917" s="12">
        <v>340916</v>
      </c>
      <c r="E1917" s="12" t="s">
        <v>3940</v>
      </c>
      <c r="F1917" s="12">
        <v>245</v>
      </c>
      <c r="H1917" s="12" t="s">
        <v>3473</v>
      </c>
      <c r="I1917" s="41" t="s">
        <v>7512</v>
      </c>
      <c r="M1917" s="41" t="e">
        <f>VLOOKUP(I1917,错误mRNA总表!D:I,6,FALSE)</f>
        <v>#N/A</v>
      </c>
    </row>
    <row r="1918" spans="1:13" x14ac:dyDescent="0.2">
      <c r="A1918" s="12" t="s">
        <v>4953</v>
      </c>
      <c r="B1918" s="12" t="s">
        <v>4098</v>
      </c>
      <c r="C1918" s="12">
        <v>338148</v>
      </c>
      <c r="D1918" s="12">
        <v>344479</v>
      </c>
      <c r="E1918" s="12" t="s">
        <v>3940</v>
      </c>
      <c r="F1918" s="12">
        <v>481</v>
      </c>
      <c r="H1918" s="12" t="s">
        <v>3473</v>
      </c>
      <c r="I1918" s="41" t="s">
        <v>7512</v>
      </c>
      <c r="M1918" s="41" t="e">
        <f>VLOOKUP(I1918,错误mRNA总表!D:I,6,FALSE)</f>
        <v>#N/A</v>
      </c>
    </row>
    <row r="1919" spans="1:13" x14ac:dyDescent="0.2">
      <c r="A1919" s="12" t="s">
        <v>4953</v>
      </c>
      <c r="B1919" s="12" t="s">
        <v>4098</v>
      </c>
      <c r="C1919" s="12">
        <v>338148</v>
      </c>
      <c r="D1919" s="12">
        <v>356470</v>
      </c>
      <c r="E1919" s="12" t="s">
        <v>3940</v>
      </c>
      <c r="F1919" s="12">
        <v>455</v>
      </c>
      <c r="H1919" s="12" t="s">
        <v>3473</v>
      </c>
      <c r="I1919" s="41" t="s">
        <v>7512</v>
      </c>
      <c r="M1919" s="41" t="e">
        <f>VLOOKUP(I1919,错误mRNA总表!D:I,6,FALSE)</f>
        <v>#N/A</v>
      </c>
    </row>
    <row r="1920" spans="1:13" x14ac:dyDescent="0.2">
      <c r="A1920" s="12" t="s">
        <v>4954</v>
      </c>
      <c r="B1920" s="12" t="s">
        <v>3948</v>
      </c>
      <c r="C1920" s="12">
        <v>142559775</v>
      </c>
      <c r="D1920" s="12">
        <v>142560588</v>
      </c>
      <c r="E1920" s="12" t="s">
        <v>3943</v>
      </c>
      <c r="F1920" s="12">
        <v>1</v>
      </c>
      <c r="G1920" s="41" t="s">
        <v>40</v>
      </c>
      <c r="H1920" s="12" t="s">
        <v>6089</v>
      </c>
      <c r="I1920" s="41" t="s">
        <v>7513</v>
      </c>
      <c r="M1920" s="41" t="e">
        <f>VLOOKUP(I1920,错误mRNA总表!D:I,6,FALSE)</f>
        <v>#N/A</v>
      </c>
    </row>
    <row r="1921" spans="1:13" x14ac:dyDescent="0.2">
      <c r="A1921" s="12" t="s">
        <v>4954</v>
      </c>
      <c r="B1921" s="12" t="s">
        <v>3948</v>
      </c>
      <c r="C1921" s="12">
        <v>142559775</v>
      </c>
      <c r="D1921" s="12">
        <v>142568772</v>
      </c>
      <c r="E1921" s="12" t="s">
        <v>3943</v>
      </c>
      <c r="F1921" s="12">
        <v>1</v>
      </c>
      <c r="G1921" s="41" t="s">
        <v>40</v>
      </c>
      <c r="H1921" s="12" t="s">
        <v>6089</v>
      </c>
      <c r="I1921" s="41" t="s">
        <v>7513</v>
      </c>
      <c r="M1921" s="41" t="e">
        <f>VLOOKUP(I1921,错误mRNA总表!D:I,6,FALSE)</f>
        <v>#N/A</v>
      </c>
    </row>
    <row r="1922" spans="1:13" x14ac:dyDescent="0.2">
      <c r="A1922" s="12" t="s">
        <v>4955</v>
      </c>
      <c r="B1922" s="12" t="s">
        <v>4124</v>
      </c>
      <c r="C1922" s="12">
        <v>39024871</v>
      </c>
      <c r="D1922" s="12">
        <v>39103032</v>
      </c>
      <c r="E1922" s="12" t="s">
        <v>3940</v>
      </c>
      <c r="F1922" s="12">
        <v>1</v>
      </c>
      <c r="G1922" s="41" t="s">
        <v>1</v>
      </c>
      <c r="H1922" s="12" t="s">
        <v>6428</v>
      </c>
      <c r="I1922" s="41" t="s">
        <v>7514</v>
      </c>
      <c r="M1922" s="41" t="e">
        <f>VLOOKUP(I1922,错误mRNA总表!D:I,6,FALSE)</f>
        <v>#N/A</v>
      </c>
    </row>
    <row r="1923" spans="1:13" x14ac:dyDescent="0.2">
      <c r="A1923" s="12" t="s">
        <v>4956</v>
      </c>
      <c r="B1923" s="12" t="s">
        <v>4052</v>
      </c>
      <c r="C1923" s="12">
        <v>51026321</v>
      </c>
      <c r="D1923" s="12">
        <v>51371103</v>
      </c>
      <c r="E1923" s="12" t="s">
        <v>3943</v>
      </c>
      <c r="F1923" s="12">
        <v>1</v>
      </c>
      <c r="G1923" s="41" t="s">
        <v>93</v>
      </c>
      <c r="H1923" s="12" t="s">
        <v>6090</v>
      </c>
      <c r="I1923" s="41" t="s">
        <v>7515</v>
      </c>
      <c r="M1923" s="41" t="e">
        <f>VLOOKUP(I1923,错误mRNA总表!D:I,6,FALSE)</f>
        <v>#N/A</v>
      </c>
    </row>
    <row r="1924" spans="1:13" x14ac:dyDescent="0.2">
      <c r="A1924" s="12" t="s">
        <v>4956</v>
      </c>
      <c r="B1924" s="12" t="s">
        <v>4052</v>
      </c>
      <c r="C1924" s="12">
        <v>51026321</v>
      </c>
      <c r="D1924" s="12">
        <v>51371122</v>
      </c>
      <c r="E1924" s="12" t="s">
        <v>3943</v>
      </c>
      <c r="F1924" s="12">
        <v>1</v>
      </c>
      <c r="G1924" s="41" t="s">
        <v>93</v>
      </c>
      <c r="H1924" s="12" t="s">
        <v>6090</v>
      </c>
      <c r="I1924" s="41" t="s">
        <v>7515</v>
      </c>
      <c r="M1924" s="41" t="e">
        <f>VLOOKUP(I1924,错误mRNA总表!D:I,6,FALSE)</f>
        <v>#N/A</v>
      </c>
    </row>
    <row r="1925" spans="1:13" x14ac:dyDescent="0.2">
      <c r="A1925" s="12" t="s">
        <v>4956</v>
      </c>
      <c r="B1925" s="12" t="s">
        <v>4052</v>
      </c>
      <c r="C1925" s="12">
        <v>51026321</v>
      </c>
      <c r="D1925" s="12">
        <v>51371131</v>
      </c>
      <c r="E1925" s="12" t="s">
        <v>3940</v>
      </c>
      <c r="F1925" s="12">
        <v>1</v>
      </c>
      <c r="G1925" s="41" t="s">
        <v>93</v>
      </c>
      <c r="H1925" s="12" t="s">
        <v>6090</v>
      </c>
      <c r="I1925" s="41" t="s">
        <v>7515</v>
      </c>
      <c r="M1925" s="41" t="e">
        <f>VLOOKUP(I1925,错误mRNA总表!D:I,6,FALSE)</f>
        <v>#N/A</v>
      </c>
    </row>
    <row r="1926" spans="1:13" x14ac:dyDescent="0.2">
      <c r="A1926" s="12" t="s">
        <v>4957</v>
      </c>
      <c r="B1926" s="12" t="s">
        <v>3962</v>
      </c>
      <c r="C1926" s="12">
        <v>62329995</v>
      </c>
      <c r="D1926" s="12">
        <v>62331335</v>
      </c>
      <c r="E1926" s="12" t="s">
        <v>3940</v>
      </c>
      <c r="F1926" s="12">
        <v>1</v>
      </c>
      <c r="G1926" s="41" t="s">
        <v>53</v>
      </c>
      <c r="H1926" s="12" t="s">
        <v>6429</v>
      </c>
      <c r="I1926" s="41" t="s">
        <v>7516</v>
      </c>
      <c r="M1926" s="41" t="e">
        <f>VLOOKUP(I1926,错误mRNA总表!D:I,6,FALSE)</f>
        <v>#N/A</v>
      </c>
    </row>
    <row r="1927" spans="1:13" x14ac:dyDescent="0.2">
      <c r="A1927" s="12" t="s">
        <v>4958</v>
      </c>
      <c r="B1927" s="12" t="s">
        <v>3966</v>
      </c>
      <c r="C1927" s="12">
        <v>37600277</v>
      </c>
      <c r="D1927" s="12">
        <v>37602583</v>
      </c>
      <c r="E1927" s="12" t="s">
        <v>3940</v>
      </c>
      <c r="F1927" s="12">
        <v>1</v>
      </c>
      <c r="G1927" s="41" t="s">
        <v>43</v>
      </c>
      <c r="H1927" s="12" t="s">
        <v>6430</v>
      </c>
      <c r="I1927" s="41" t="s">
        <v>7517</v>
      </c>
      <c r="M1927" s="41" t="e">
        <f>VLOOKUP(I1927,错误mRNA总表!D:I,6,FALSE)</f>
        <v>#N/A</v>
      </c>
    </row>
    <row r="1928" spans="1:13" x14ac:dyDescent="0.2">
      <c r="A1928" s="12" t="s">
        <v>4959</v>
      </c>
      <c r="B1928" s="12" t="s">
        <v>4012</v>
      </c>
      <c r="C1928" s="12">
        <v>76311115</v>
      </c>
      <c r="D1928" s="12">
        <v>76311603</v>
      </c>
      <c r="E1928" s="12" t="s">
        <v>3940</v>
      </c>
      <c r="F1928" s="12">
        <v>1</v>
      </c>
      <c r="G1928" s="41" t="s">
        <v>121</v>
      </c>
      <c r="H1928" s="12" t="s">
        <v>6091</v>
      </c>
      <c r="I1928" s="41" t="s">
        <v>7518</v>
      </c>
      <c r="M1928" s="41" t="e">
        <f>VLOOKUP(I1928,错误mRNA总表!D:I,6,FALSE)</f>
        <v>#N/A</v>
      </c>
    </row>
    <row r="1929" spans="1:13" x14ac:dyDescent="0.2">
      <c r="A1929" s="12" t="s">
        <v>4873</v>
      </c>
      <c r="B1929" s="12" t="s">
        <v>3952</v>
      </c>
      <c r="C1929" s="12">
        <v>737045</v>
      </c>
      <c r="D1929" s="12">
        <v>743879</v>
      </c>
      <c r="E1929" s="12" t="s">
        <v>3943</v>
      </c>
      <c r="F1929" s="12">
        <v>22</v>
      </c>
      <c r="H1929" s="12" t="s">
        <v>6060</v>
      </c>
      <c r="I1929" s="41" t="s">
        <v>7519</v>
      </c>
      <c r="M1929" s="41" t="e">
        <f>VLOOKUP(I1929,错误mRNA总表!D:I,6,FALSE)</f>
        <v>#N/A</v>
      </c>
    </row>
    <row r="1930" spans="1:13" x14ac:dyDescent="0.2">
      <c r="A1930" s="12" t="s">
        <v>4960</v>
      </c>
      <c r="B1930" s="12" t="s">
        <v>4004</v>
      </c>
      <c r="C1930" s="12">
        <v>64081562</v>
      </c>
      <c r="D1930" s="12">
        <v>64098729</v>
      </c>
      <c r="E1930" s="12" t="s">
        <v>3940</v>
      </c>
      <c r="F1930" s="12">
        <v>1</v>
      </c>
      <c r="G1930" s="41" t="s">
        <v>103</v>
      </c>
      <c r="H1930" s="12" t="s">
        <v>3447</v>
      </c>
      <c r="I1930" s="41" t="s">
        <v>7520</v>
      </c>
      <c r="M1930" s="41" t="e">
        <f>VLOOKUP(I1930,错误mRNA总表!D:I,6,FALSE)</f>
        <v>#N/A</v>
      </c>
    </row>
    <row r="1931" spans="1:13" x14ac:dyDescent="0.2">
      <c r="A1931" s="12" t="s">
        <v>4961</v>
      </c>
      <c r="B1931" s="12" t="s">
        <v>4042</v>
      </c>
      <c r="C1931" s="12">
        <v>101886947</v>
      </c>
      <c r="D1931" s="12">
        <v>102029685</v>
      </c>
      <c r="E1931" s="12" t="s">
        <v>3940</v>
      </c>
      <c r="F1931" s="12">
        <v>2</v>
      </c>
      <c r="G1931" s="41" t="s">
        <v>113</v>
      </c>
      <c r="H1931" s="12" t="s">
        <v>117</v>
      </c>
      <c r="I1931" s="41" t="s">
        <v>2117</v>
      </c>
      <c r="J1931" s="41" t="s">
        <v>2117</v>
      </c>
      <c r="K1931" s="41" t="str">
        <f>VLOOKUP(J1931,错误mRNA总表!D:J,7,FALSE)</f>
        <v>纠后正确</v>
      </c>
      <c r="L1931" s="41" t="s">
        <v>3763</v>
      </c>
      <c r="M1931" s="41">
        <f>VLOOKUP(I1931,错误mRNA总表!D:I,6,FALSE)</f>
        <v>0</v>
      </c>
    </row>
    <row r="1932" spans="1:13" x14ac:dyDescent="0.2">
      <c r="A1932" s="12" t="s">
        <v>4962</v>
      </c>
      <c r="B1932" s="12" t="s">
        <v>3939</v>
      </c>
      <c r="C1932" s="12">
        <v>148622519</v>
      </c>
      <c r="D1932" s="12">
        <v>148636745</v>
      </c>
      <c r="E1932" s="12" t="s">
        <v>3940</v>
      </c>
      <c r="F1932" s="12">
        <v>1</v>
      </c>
      <c r="G1932" s="41" t="s">
        <v>73</v>
      </c>
      <c r="H1932" s="12" t="s">
        <v>6092</v>
      </c>
      <c r="I1932" s="41" t="s">
        <v>7521</v>
      </c>
      <c r="M1932" s="41" t="e">
        <f>VLOOKUP(I1932,错误mRNA总表!D:I,6,FALSE)</f>
        <v>#N/A</v>
      </c>
    </row>
    <row r="1933" spans="1:13" x14ac:dyDescent="0.2">
      <c r="A1933" s="12" t="s">
        <v>4963</v>
      </c>
      <c r="B1933" s="12" t="s">
        <v>4018</v>
      </c>
      <c r="C1933" s="12">
        <v>34915344</v>
      </c>
      <c r="D1933" s="12">
        <v>34949497</v>
      </c>
      <c r="E1933" s="12" t="s">
        <v>3940</v>
      </c>
      <c r="F1933" s="12">
        <v>1</v>
      </c>
      <c r="G1933" s="41" t="s">
        <v>241</v>
      </c>
      <c r="H1933" s="12" t="s">
        <v>6093</v>
      </c>
      <c r="I1933" s="41" t="s">
        <v>7522</v>
      </c>
      <c r="M1933" s="41" t="e">
        <f>VLOOKUP(I1933,错误mRNA总表!D:I,6,FALSE)</f>
        <v>#N/A</v>
      </c>
    </row>
    <row r="1934" spans="1:13" x14ac:dyDescent="0.2">
      <c r="A1934" s="12" t="s">
        <v>4964</v>
      </c>
      <c r="B1934" s="12" t="s">
        <v>4378</v>
      </c>
      <c r="C1934" s="12">
        <v>18853</v>
      </c>
      <c r="D1934" s="12">
        <v>21618</v>
      </c>
      <c r="E1934" s="12" t="s">
        <v>3943</v>
      </c>
      <c r="F1934" s="12">
        <v>2</v>
      </c>
      <c r="H1934" s="12" t="s">
        <v>6431</v>
      </c>
      <c r="I1934" s="41" t="s">
        <v>6966</v>
      </c>
      <c r="M1934" s="41" t="e">
        <f>VLOOKUP(I1934,错误mRNA总表!D:I,6,FALSE)</f>
        <v>#N/A</v>
      </c>
    </row>
    <row r="1935" spans="1:13" x14ac:dyDescent="0.2">
      <c r="A1935" s="12" t="s">
        <v>4965</v>
      </c>
      <c r="B1935" s="12" t="s">
        <v>4004</v>
      </c>
      <c r="C1935" s="12">
        <v>143738874</v>
      </c>
      <c r="D1935" s="12">
        <v>143746087</v>
      </c>
      <c r="E1935" s="12" t="s">
        <v>3943</v>
      </c>
      <c r="F1935" s="12">
        <v>2</v>
      </c>
      <c r="G1935" s="41" t="s">
        <v>103</v>
      </c>
      <c r="H1935" s="12" t="s">
        <v>793</v>
      </c>
      <c r="I1935" s="41" t="s">
        <v>3353</v>
      </c>
      <c r="J1935" s="41" t="s">
        <v>3353</v>
      </c>
      <c r="K1935" s="41" t="str">
        <f>VLOOKUP(J1935,错误mRNA总表!D:J,7,FALSE)</f>
        <v>纠后正确，版本不一致，utr略有变化</v>
      </c>
      <c r="M1935" s="41" t="str">
        <f>VLOOKUP(I1935,错误mRNA总表!D:I,6,FALSE)</f>
        <v>纠后正确，版本不一致，utr略有变化</v>
      </c>
    </row>
    <row r="1936" spans="1:13" x14ac:dyDescent="0.2">
      <c r="A1936" s="12" t="s">
        <v>4965</v>
      </c>
      <c r="B1936" s="12" t="s">
        <v>4004</v>
      </c>
      <c r="C1936" s="12">
        <v>143738874</v>
      </c>
      <c r="D1936" s="12">
        <v>143739805</v>
      </c>
      <c r="E1936" s="12" t="s">
        <v>3940</v>
      </c>
      <c r="F1936" s="12">
        <v>2</v>
      </c>
      <c r="G1936" s="41" t="s">
        <v>103</v>
      </c>
      <c r="H1936" s="12" t="s">
        <v>793</v>
      </c>
      <c r="I1936" s="41" t="s">
        <v>3353</v>
      </c>
      <c r="J1936" s="41" t="s">
        <v>3353</v>
      </c>
      <c r="K1936" s="41" t="str">
        <f>VLOOKUP(J1936,错误mRNA总表!D:J,7,FALSE)</f>
        <v>纠后正确，版本不一致，utr略有变化</v>
      </c>
      <c r="M1936" s="41" t="str">
        <f>VLOOKUP(I1936,错误mRNA总表!D:I,6,FALSE)</f>
        <v>纠后正确，版本不一致，utr略有变化</v>
      </c>
    </row>
    <row r="1937" spans="1:13" x14ac:dyDescent="0.2">
      <c r="A1937" s="12" t="s">
        <v>4966</v>
      </c>
      <c r="B1937" s="12" t="s">
        <v>4030</v>
      </c>
      <c r="C1937" s="12">
        <v>63779549</v>
      </c>
      <c r="D1937" s="12">
        <v>63784407</v>
      </c>
      <c r="E1937" s="12" t="s">
        <v>3940</v>
      </c>
      <c r="F1937" s="12">
        <v>1</v>
      </c>
      <c r="G1937" s="41" t="s">
        <v>81</v>
      </c>
      <c r="H1937" s="12" t="s">
        <v>80</v>
      </c>
      <c r="I1937" s="41" t="s">
        <v>2097</v>
      </c>
      <c r="J1937" s="41" t="s">
        <v>2097</v>
      </c>
      <c r="K1937" s="41" t="str">
        <f>VLOOKUP(J1937,错误mRNA总表!D:J,7,FALSE)</f>
        <v>纠后正确</v>
      </c>
      <c r="L1937" s="41" t="s">
        <v>3763</v>
      </c>
      <c r="M1937" s="41">
        <f>VLOOKUP(I1937,错误mRNA总表!D:I,6,FALSE)</f>
        <v>0</v>
      </c>
    </row>
    <row r="1938" spans="1:13" x14ac:dyDescent="0.2">
      <c r="A1938" s="12" t="s">
        <v>4967</v>
      </c>
      <c r="B1938" s="12" t="s">
        <v>3962</v>
      </c>
      <c r="C1938" s="12">
        <v>62329995</v>
      </c>
      <c r="D1938" s="12">
        <v>62331335</v>
      </c>
      <c r="E1938" s="12" t="s">
        <v>3940</v>
      </c>
      <c r="F1938" s="12">
        <v>1</v>
      </c>
      <c r="G1938" s="41" t="s">
        <v>53</v>
      </c>
      <c r="H1938" s="12" t="s">
        <v>6432</v>
      </c>
      <c r="I1938" s="41" t="s">
        <v>7523</v>
      </c>
      <c r="M1938" s="41" t="e">
        <f>VLOOKUP(I1938,错误mRNA总表!D:I,6,FALSE)</f>
        <v>#N/A</v>
      </c>
    </row>
    <row r="1939" spans="1:13" x14ac:dyDescent="0.2">
      <c r="A1939" s="12" t="s">
        <v>4277</v>
      </c>
      <c r="B1939" s="12" t="s">
        <v>4023</v>
      </c>
      <c r="C1939" s="12">
        <v>1188959</v>
      </c>
      <c r="D1939" s="12">
        <v>1190376</v>
      </c>
      <c r="E1939" s="12" t="s">
        <v>3943</v>
      </c>
      <c r="F1939" s="12">
        <v>1</v>
      </c>
      <c r="H1939" s="12" t="s">
        <v>5925</v>
      </c>
      <c r="I1939" s="41" t="s">
        <v>7524</v>
      </c>
      <c r="M1939" s="41" t="e">
        <f>VLOOKUP(I1939,错误mRNA总表!D:I,6,FALSE)</f>
        <v>#N/A</v>
      </c>
    </row>
    <row r="1940" spans="1:13" x14ac:dyDescent="0.2">
      <c r="A1940" s="12" t="s">
        <v>4968</v>
      </c>
      <c r="B1940" s="12" t="s">
        <v>3942</v>
      </c>
      <c r="C1940" s="12">
        <v>135468534</v>
      </c>
      <c r="D1940" s="12">
        <v>135513085</v>
      </c>
      <c r="E1940" s="12" t="s">
        <v>3940</v>
      </c>
      <c r="F1940" s="12">
        <v>1</v>
      </c>
      <c r="G1940" s="41" t="s">
        <v>186</v>
      </c>
      <c r="H1940" s="12" t="s">
        <v>209</v>
      </c>
      <c r="I1940" s="41" t="s">
        <v>7525</v>
      </c>
      <c r="J1940" s="41" t="s">
        <v>2197</v>
      </c>
      <c r="K1940" s="41" t="str">
        <f>VLOOKUP(J1940,错误mRNA总表!D:J,7,FALSE)</f>
        <v>纠后正确</v>
      </c>
      <c r="M1940" s="41" t="e">
        <f>VLOOKUP(I1940,错误mRNA总表!D:I,6,FALSE)</f>
        <v>#N/A</v>
      </c>
    </row>
    <row r="1941" spans="1:13" x14ac:dyDescent="0.2">
      <c r="A1941" s="12" t="s">
        <v>4969</v>
      </c>
      <c r="B1941" s="12" t="s">
        <v>3984</v>
      </c>
      <c r="C1941" s="12">
        <v>1982257</v>
      </c>
      <c r="D1941" s="12">
        <v>1985232</v>
      </c>
      <c r="E1941" s="12" t="s">
        <v>3943</v>
      </c>
      <c r="F1941" s="12">
        <v>1</v>
      </c>
      <c r="H1941" s="12" t="s">
        <v>6094</v>
      </c>
      <c r="I1941" s="41" t="s">
        <v>7526</v>
      </c>
      <c r="M1941" s="41" t="e">
        <f>VLOOKUP(I1941,错误mRNA总表!D:I,6,FALSE)</f>
        <v>#N/A</v>
      </c>
    </row>
    <row r="1942" spans="1:13" x14ac:dyDescent="0.2">
      <c r="A1942" s="12" t="s">
        <v>4970</v>
      </c>
      <c r="B1942" s="12" t="s">
        <v>4149</v>
      </c>
      <c r="C1942" s="12">
        <v>1910880</v>
      </c>
      <c r="D1942" s="12">
        <v>1911679</v>
      </c>
      <c r="E1942" s="12" t="s">
        <v>3943</v>
      </c>
      <c r="F1942" s="12">
        <v>1</v>
      </c>
      <c r="H1942" s="12" t="s">
        <v>3693</v>
      </c>
      <c r="I1942" s="41" t="s">
        <v>7527</v>
      </c>
      <c r="M1942" s="41" t="e">
        <f>VLOOKUP(I1942,错误mRNA总表!D:I,6,FALSE)</f>
        <v>#N/A</v>
      </c>
    </row>
    <row r="1943" spans="1:13" x14ac:dyDescent="0.2">
      <c r="A1943" s="12" t="s">
        <v>4971</v>
      </c>
      <c r="B1943" s="12" t="s">
        <v>3984</v>
      </c>
      <c r="C1943" s="12">
        <v>1060485</v>
      </c>
      <c r="D1943" s="12">
        <v>1061155</v>
      </c>
      <c r="E1943" s="12" t="s">
        <v>3940</v>
      </c>
      <c r="F1943" s="12">
        <v>21</v>
      </c>
      <c r="H1943" s="12" t="s">
        <v>3519</v>
      </c>
      <c r="I1943" s="41" t="s">
        <v>7528</v>
      </c>
      <c r="M1943" s="41" t="e">
        <f>VLOOKUP(I1943,错误mRNA总表!D:I,6,FALSE)</f>
        <v>#N/A</v>
      </c>
    </row>
    <row r="1944" spans="1:13" x14ac:dyDescent="0.2">
      <c r="A1944" s="12" t="s">
        <v>4972</v>
      </c>
      <c r="B1944" s="12" t="s">
        <v>3973</v>
      </c>
      <c r="C1944" s="12">
        <v>41827603</v>
      </c>
      <c r="D1944" s="12">
        <v>41847881</v>
      </c>
      <c r="E1944" s="12" t="s">
        <v>3940</v>
      </c>
      <c r="F1944" s="12">
        <v>200</v>
      </c>
      <c r="G1944" s="41" t="s">
        <v>139</v>
      </c>
      <c r="H1944" s="12" t="s">
        <v>5857</v>
      </c>
      <c r="I1944" s="41" t="s">
        <v>6880</v>
      </c>
      <c r="M1944" s="41" t="e">
        <f>VLOOKUP(I1944,错误mRNA总表!D:I,6,FALSE)</f>
        <v>#N/A</v>
      </c>
    </row>
    <row r="1945" spans="1:13" x14ac:dyDescent="0.2">
      <c r="A1945" s="12" t="s">
        <v>4973</v>
      </c>
      <c r="B1945" s="12" t="s">
        <v>4004</v>
      </c>
      <c r="C1945" s="12">
        <v>64081112</v>
      </c>
      <c r="D1945" s="12">
        <v>64098729</v>
      </c>
      <c r="E1945" s="12" t="s">
        <v>3940</v>
      </c>
      <c r="F1945" s="12">
        <v>1</v>
      </c>
      <c r="G1945" s="41" t="s">
        <v>103</v>
      </c>
      <c r="H1945" s="12" t="s">
        <v>236</v>
      </c>
      <c r="I1945" s="41" t="s">
        <v>7529</v>
      </c>
      <c r="J1945" s="41" t="s">
        <v>2207</v>
      </c>
      <c r="K1945" s="41" t="str">
        <f>VLOOKUP(J1945,错误mRNA总表!D:J,7,FALSE)</f>
        <v>纠后正确，utr略有变化，版本不一致</v>
      </c>
      <c r="M1945" s="41" t="e">
        <f>VLOOKUP(I1945,错误mRNA总表!D:I,6,FALSE)</f>
        <v>#N/A</v>
      </c>
    </row>
    <row r="1946" spans="1:13" x14ac:dyDescent="0.2">
      <c r="A1946" s="12" t="s">
        <v>4463</v>
      </c>
      <c r="B1946" s="12" t="s">
        <v>3952</v>
      </c>
      <c r="C1946" s="12">
        <v>44262</v>
      </c>
      <c r="D1946" s="12">
        <v>50700</v>
      </c>
      <c r="E1946" s="12" t="s">
        <v>3943</v>
      </c>
      <c r="F1946" s="12">
        <v>16</v>
      </c>
      <c r="H1946" s="12" t="s">
        <v>5909</v>
      </c>
      <c r="I1946" s="41" t="s">
        <v>7048</v>
      </c>
      <c r="M1946" s="41" t="e">
        <f>VLOOKUP(I1946,错误mRNA总表!D:I,6,FALSE)</f>
        <v>#N/A</v>
      </c>
    </row>
    <row r="1947" spans="1:13" x14ac:dyDescent="0.2">
      <c r="A1947" s="12" t="s">
        <v>4974</v>
      </c>
      <c r="B1947" s="12" t="s">
        <v>4175</v>
      </c>
      <c r="C1947" s="12">
        <v>5065372</v>
      </c>
      <c r="D1947" s="12">
        <v>5072090</v>
      </c>
      <c r="E1947" s="12" t="s">
        <v>3943</v>
      </c>
      <c r="F1947" s="12">
        <v>1</v>
      </c>
      <c r="H1947" s="12" t="s">
        <v>1401</v>
      </c>
      <c r="I1947" s="41" t="s">
        <v>7530</v>
      </c>
      <c r="J1947" s="41" t="s">
        <v>3203</v>
      </c>
      <c r="K1947" s="41" t="str">
        <f>VLOOKUP(J1947,错误mRNA总表!D:J,7,FALSE)</f>
        <v/>
      </c>
      <c r="M1947" s="41" t="e">
        <f>VLOOKUP(I1947,错误mRNA总表!D:I,6,FALSE)</f>
        <v>#N/A</v>
      </c>
    </row>
    <row r="1948" spans="1:13" x14ac:dyDescent="0.2">
      <c r="A1948" s="12" t="s">
        <v>4975</v>
      </c>
      <c r="B1948" s="12" t="s">
        <v>3986</v>
      </c>
      <c r="C1948" s="12">
        <v>51461888</v>
      </c>
      <c r="D1948" s="12">
        <v>51471814</v>
      </c>
      <c r="E1948" s="12" t="s">
        <v>3940</v>
      </c>
      <c r="F1948" s="12">
        <v>1</v>
      </c>
      <c r="G1948" s="41" t="s">
        <v>50</v>
      </c>
      <c r="H1948" s="12" t="s">
        <v>6095</v>
      </c>
      <c r="I1948" s="41" t="s">
        <v>7531</v>
      </c>
      <c r="M1948" s="41" t="e">
        <f>VLOOKUP(I1948,错误mRNA总表!D:I,6,FALSE)</f>
        <v>#N/A</v>
      </c>
    </row>
    <row r="1949" spans="1:13" x14ac:dyDescent="0.2">
      <c r="A1949" s="12" t="s">
        <v>4976</v>
      </c>
      <c r="B1949" s="12" t="s">
        <v>4124</v>
      </c>
      <c r="C1949" s="12">
        <v>239756673</v>
      </c>
      <c r="D1949" s="12">
        <v>239757375</v>
      </c>
      <c r="E1949" s="12" t="s">
        <v>3943</v>
      </c>
      <c r="F1949" s="12">
        <v>6</v>
      </c>
      <c r="G1949" s="41" t="s">
        <v>1</v>
      </c>
      <c r="H1949" s="12" t="s">
        <v>6252</v>
      </c>
      <c r="I1949" s="41" t="s">
        <v>7119</v>
      </c>
      <c r="M1949" s="41" t="e">
        <f>VLOOKUP(I1949,错误mRNA总表!D:I,6,FALSE)</f>
        <v>#N/A</v>
      </c>
    </row>
    <row r="1950" spans="1:13" x14ac:dyDescent="0.2">
      <c r="A1950" s="12" t="s">
        <v>4976</v>
      </c>
      <c r="B1950" s="12" t="s">
        <v>4124</v>
      </c>
      <c r="C1950" s="12">
        <v>239756673</v>
      </c>
      <c r="D1950" s="12">
        <v>239757388</v>
      </c>
      <c r="E1950" s="12" t="s">
        <v>3940</v>
      </c>
      <c r="F1950" s="12">
        <v>1</v>
      </c>
      <c r="G1950" s="41" t="s">
        <v>1</v>
      </c>
      <c r="H1950" s="12" t="s">
        <v>6252</v>
      </c>
      <c r="I1950" s="41" t="s">
        <v>7119</v>
      </c>
      <c r="M1950" s="41" t="e">
        <f>VLOOKUP(I1950,错误mRNA总表!D:I,6,FALSE)</f>
        <v>#N/A</v>
      </c>
    </row>
    <row r="1951" spans="1:13" x14ac:dyDescent="0.2">
      <c r="A1951" s="12" t="s">
        <v>4977</v>
      </c>
      <c r="B1951" s="12" t="s">
        <v>3964</v>
      </c>
      <c r="C1951" s="12">
        <v>927947</v>
      </c>
      <c r="D1951" s="12">
        <v>943295</v>
      </c>
      <c r="E1951" s="12" t="s">
        <v>3940</v>
      </c>
      <c r="F1951" s="12">
        <v>4</v>
      </c>
      <c r="H1951" s="12" t="s">
        <v>3530</v>
      </c>
      <c r="I1951" s="41" t="s">
        <v>7532</v>
      </c>
      <c r="M1951" s="41" t="e">
        <f>VLOOKUP(I1951,错误mRNA总表!D:I,6,FALSE)</f>
        <v>#N/A</v>
      </c>
    </row>
    <row r="1952" spans="1:13" x14ac:dyDescent="0.2">
      <c r="A1952" s="12" t="s">
        <v>4978</v>
      </c>
      <c r="B1952" s="12" t="s">
        <v>4182</v>
      </c>
      <c r="C1952" s="12">
        <v>15815</v>
      </c>
      <c r="D1952" s="12">
        <v>15843</v>
      </c>
      <c r="E1952" s="12" t="s">
        <v>3940</v>
      </c>
      <c r="F1952" s="12">
        <v>172</v>
      </c>
      <c r="H1952" s="12" t="s">
        <v>3462</v>
      </c>
      <c r="I1952" s="41" t="s">
        <v>7533</v>
      </c>
      <c r="M1952" s="41" t="e">
        <f>VLOOKUP(I1952,错误mRNA总表!D:I,6,FALSE)</f>
        <v>#N/A</v>
      </c>
    </row>
    <row r="1953" spans="1:13" x14ac:dyDescent="0.2">
      <c r="A1953" s="12" t="s">
        <v>4978</v>
      </c>
      <c r="B1953" s="12" t="s">
        <v>4182</v>
      </c>
      <c r="C1953" s="12">
        <v>15815</v>
      </c>
      <c r="D1953" s="12">
        <v>15821</v>
      </c>
      <c r="E1953" s="12" t="s">
        <v>3940</v>
      </c>
      <c r="F1953" s="12">
        <v>3</v>
      </c>
      <c r="H1953" s="12" t="s">
        <v>3462</v>
      </c>
      <c r="I1953" s="41" t="s">
        <v>7533</v>
      </c>
      <c r="M1953" s="41" t="e">
        <f>VLOOKUP(I1953,错误mRNA总表!D:I,6,FALSE)</f>
        <v>#N/A</v>
      </c>
    </row>
    <row r="1954" spans="1:13" x14ac:dyDescent="0.2">
      <c r="A1954" s="12" t="s">
        <v>4979</v>
      </c>
      <c r="B1954" s="12" t="s">
        <v>3942</v>
      </c>
      <c r="C1954" s="12">
        <v>77656327</v>
      </c>
      <c r="D1954" s="12">
        <v>77745854</v>
      </c>
      <c r="E1954" s="12" t="s">
        <v>3940</v>
      </c>
      <c r="F1954" s="12">
        <v>1</v>
      </c>
      <c r="G1954" s="41" t="s">
        <v>186</v>
      </c>
      <c r="H1954" s="12" t="s">
        <v>205</v>
      </c>
      <c r="I1954" s="41" t="s">
        <v>7534</v>
      </c>
      <c r="J1954" s="41" t="s">
        <v>2192</v>
      </c>
      <c r="K1954" s="41" t="str">
        <f>VLOOKUP(J1954,错误mRNA总表!D:J,7,FALSE)</f>
        <v>纠后正确</v>
      </c>
      <c r="M1954" s="41" t="e">
        <f>VLOOKUP(I1954,错误mRNA总表!D:I,6,FALSE)</f>
        <v>#N/A</v>
      </c>
    </row>
    <row r="1955" spans="1:13" x14ac:dyDescent="0.2">
      <c r="A1955" s="12" t="s">
        <v>4980</v>
      </c>
      <c r="B1955" s="12" t="s">
        <v>3957</v>
      </c>
      <c r="C1955" s="12">
        <v>46638826</v>
      </c>
      <c r="D1955" s="12">
        <v>46694313</v>
      </c>
      <c r="E1955" s="12" t="s">
        <v>3943</v>
      </c>
      <c r="F1955" s="12">
        <v>2</v>
      </c>
      <c r="G1955" s="41" t="s">
        <v>36</v>
      </c>
      <c r="H1955" s="12" t="s">
        <v>6096</v>
      </c>
      <c r="I1955" s="41" t="s">
        <v>7535</v>
      </c>
      <c r="M1955" s="41" t="e">
        <f>VLOOKUP(I1955,错误mRNA总表!D:I,6,FALSE)</f>
        <v>#N/A</v>
      </c>
    </row>
    <row r="1956" spans="1:13" x14ac:dyDescent="0.2">
      <c r="A1956" s="12" t="s">
        <v>4981</v>
      </c>
      <c r="B1956" s="12" t="s">
        <v>4012</v>
      </c>
      <c r="C1956" s="12">
        <v>76311115</v>
      </c>
      <c r="D1956" s="12">
        <v>76311603</v>
      </c>
      <c r="E1956" s="12" t="s">
        <v>3940</v>
      </c>
      <c r="F1956" s="12">
        <v>1</v>
      </c>
      <c r="G1956" s="41" t="s">
        <v>121</v>
      </c>
      <c r="H1956" s="12" t="s">
        <v>6097</v>
      </c>
      <c r="I1956" s="41" t="s">
        <v>7536</v>
      </c>
      <c r="M1956" s="41" t="e">
        <f>VLOOKUP(I1956,错误mRNA总表!D:I,6,FALSE)</f>
        <v>#N/A</v>
      </c>
    </row>
    <row r="1957" spans="1:13" x14ac:dyDescent="0.2">
      <c r="A1957" s="12" t="s">
        <v>4982</v>
      </c>
      <c r="B1957" s="12" t="s">
        <v>4055</v>
      </c>
      <c r="C1957" s="12">
        <v>7079944</v>
      </c>
      <c r="D1957" s="12">
        <v>7080212</v>
      </c>
      <c r="E1957" s="12" t="s">
        <v>3940</v>
      </c>
      <c r="F1957" s="12">
        <v>1</v>
      </c>
      <c r="G1957" s="41" t="s">
        <v>212</v>
      </c>
      <c r="H1957" s="12" t="s">
        <v>6098</v>
      </c>
      <c r="I1957" s="41" t="s">
        <v>7537</v>
      </c>
      <c r="M1957" s="41" t="e">
        <f>VLOOKUP(I1957,错误mRNA总表!D:I,6,FALSE)</f>
        <v>#N/A</v>
      </c>
    </row>
    <row r="1958" spans="1:13" x14ac:dyDescent="0.2">
      <c r="A1958" s="12" t="s">
        <v>4983</v>
      </c>
      <c r="B1958" s="12" t="s">
        <v>3984</v>
      </c>
      <c r="C1958" s="12">
        <v>2461380</v>
      </c>
      <c r="D1958" s="12">
        <v>2461440</v>
      </c>
      <c r="E1958" s="12" t="s">
        <v>3940</v>
      </c>
      <c r="F1958" s="12">
        <v>1</v>
      </c>
      <c r="H1958" s="12" t="s">
        <v>6099</v>
      </c>
      <c r="I1958" s="41" t="s">
        <v>7538</v>
      </c>
      <c r="M1958" s="41" t="e">
        <f>VLOOKUP(I1958,错误mRNA总表!D:I,6,FALSE)</f>
        <v>#N/A</v>
      </c>
    </row>
    <row r="1959" spans="1:13" x14ac:dyDescent="0.2">
      <c r="A1959" s="12" t="s">
        <v>4984</v>
      </c>
      <c r="B1959" s="12" t="s">
        <v>3978</v>
      </c>
      <c r="C1959" s="12">
        <v>187871661</v>
      </c>
      <c r="D1959" s="12">
        <v>188602082</v>
      </c>
      <c r="E1959" s="12" t="s">
        <v>3943</v>
      </c>
      <c r="F1959" s="12">
        <v>1</v>
      </c>
      <c r="G1959" s="41" t="s">
        <v>86</v>
      </c>
      <c r="H1959" s="12" t="s">
        <v>6433</v>
      </c>
      <c r="I1959" s="41" t="s">
        <v>7539</v>
      </c>
      <c r="M1959" s="41" t="e">
        <f>VLOOKUP(I1959,错误mRNA总表!D:I,6,FALSE)</f>
        <v>#N/A</v>
      </c>
    </row>
    <row r="1960" spans="1:13" x14ac:dyDescent="0.2">
      <c r="A1960" s="12" t="s">
        <v>4985</v>
      </c>
      <c r="B1960" s="12" t="s">
        <v>4012</v>
      </c>
      <c r="C1960" s="12">
        <v>15198159</v>
      </c>
      <c r="D1960" s="12">
        <v>15225567</v>
      </c>
      <c r="E1960" s="12" t="s">
        <v>3940</v>
      </c>
      <c r="F1960" s="12">
        <v>106</v>
      </c>
      <c r="G1960" s="41" t="s">
        <v>121</v>
      </c>
      <c r="H1960" s="12" t="s">
        <v>6100</v>
      </c>
      <c r="I1960" s="41" t="s">
        <v>7540</v>
      </c>
      <c r="M1960" s="41" t="e">
        <f>VLOOKUP(I1960,错误mRNA总表!D:I,6,FALSE)</f>
        <v>#N/A</v>
      </c>
    </row>
    <row r="1961" spans="1:13" x14ac:dyDescent="0.2">
      <c r="A1961" s="12" t="s">
        <v>4985</v>
      </c>
      <c r="B1961" s="12" t="s">
        <v>4012</v>
      </c>
      <c r="C1961" s="12">
        <v>15198159</v>
      </c>
      <c r="D1961" s="12">
        <v>15226550</v>
      </c>
      <c r="E1961" s="12" t="s">
        <v>3940</v>
      </c>
      <c r="F1961" s="12">
        <v>4</v>
      </c>
      <c r="G1961" s="41" t="s">
        <v>121</v>
      </c>
      <c r="H1961" s="12" t="s">
        <v>6100</v>
      </c>
      <c r="I1961" s="41" t="s">
        <v>7540</v>
      </c>
      <c r="M1961" s="41" t="e">
        <f>VLOOKUP(I1961,错误mRNA总表!D:I,6,FALSE)</f>
        <v>#N/A</v>
      </c>
    </row>
    <row r="1962" spans="1:13" x14ac:dyDescent="0.2">
      <c r="A1962" s="12" t="s">
        <v>4985</v>
      </c>
      <c r="B1962" s="12" t="s">
        <v>4012</v>
      </c>
      <c r="C1962" s="12">
        <v>15198159</v>
      </c>
      <c r="D1962" s="12">
        <v>15226556</v>
      </c>
      <c r="E1962" s="12" t="s">
        <v>3943</v>
      </c>
      <c r="F1962" s="12">
        <v>2</v>
      </c>
      <c r="G1962" s="41" t="s">
        <v>121</v>
      </c>
      <c r="H1962" s="12" t="s">
        <v>6100</v>
      </c>
      <c r="I1962" s="41" t="s">
        <v>7540</v>
      </c>
      <c r="M1962" s="41" t="e">
        <f>VLOOKUP(I1962,错误mRNA总表!D:I,6,FALSE)</f>
        <v>#N/A</v>
      </c>
    </row>
    <row r="1963" spans="1:13" x14ac:dyDescent="0.2">
      <c r="A1963" s="12" t="s">
        <v>4985</v>
      </c>
      <c r="B1963" s="12" t="s">
        <v>4012</v>
      </c>
      <c r="C1963" s="12">
        <v>15198159</v>
      </c>
      <c r="D1963" s="12">
        <v>15226570</v>
      </c>
      <c r="E1963" s="12" t="s">
        <v>3943</v>
      </c>
      <c r="F1963" s="12">
        <v>6</v>
      </c>
      <c r="G1963" s="41" t="s">
        <v>121</v>
      </c>
      <c r="H1963" s="12" t="s">
        <v>6100</v>
      </c>
      <c r="I1963" s="41" t="s">
        <v>7540</v>
      </c>
      <c r="M1963" s="41" t="e">
        <f>VLOOKUP(I1963,错误mRNA总表!D:I,6,FALSE)</f>
        <v>#N/A</v>
      </c>
    </row>
    <row r="1964" spans="1:13" x14ac:dyDescent="0.2">
      <c r="A1964" s="12" t="s">
        <v>4986</v>
      </c>
      <c r="B1964" s="12" t="s">
        <v>3946</v>
      </c>
      <c r="C1964" s="12">
        <v>38334242</v>
      </c>
      <c r="D1964" s="12">
        <v>38334360</v>
      </c>
      <c r="E1964" s="12" t="s">
        <v>3940</v>
      </c>
      <c r="F1964" s="12">
        <v>1</v>
      </c>
      <c r="G1964" s="41" t="s">
        <v>47</v>
      </c>
      <c r="H1964" s="12" t="s">
        <v>6580</v>
      </c>
      <c r="I1964" s="41" t="s">
        <v>7541</v>
      </c>
      <c r="M1964" s="41" t="e">
        <f>VLOOKUP(I1964,错误mRNA总表!D:I,6,FALSE)</f>
        <v>#N/A</v>
      </c>
    </row>
    <row r="1965" spans="1:13" x14ac:dyDescent="0.2">
      <c r="A1965" s="12" t="s">
        <v>4987</v>
      </c>
      <c r="B1965" s="12" t="s">
        <v>4149</v>
      </c>
      <c r="C1965" s="12">
        <v>1845520</v>
      </c>
      <c r="D1965" s="12">
        <v>1845703</v>
      </c>
      <c r="E1965" s="12" t="s">
        <v>3940</v>
      </c>
      <c r="F1965" s="12">
        <v>1</v>
      </c>
      <c r="H1965" s="12" t="s">
        <v>3690</v>
      </c>
      <c r="I1965" s="41" t="s">
        <v>7542</v>
      </c>
      <c r="M1965" s="41" t="e">
        <f>VLOOKUP(I1965,错误mRNA总表!D:I,6,FALSE)</f>
        <v>#N/A</v>
      </c>
    </row>
    <row r="1966" spans="1:13" x14ac:dyDescent="0.2">
      <c r="A1966" s="12" t="s">
        <v>4988</v>
      </c>
      <c r="B1966" s="12" t="s">
        <v>4059</v>
      </c>
      <c r="C1966" s="12">
        <v>31367561</v>
      </c>
      <c r="D1966" s="12">
        <v>31380161</v>
      </c>
      <c r="E1966" s="12" t="s">
        <v>3940</v>
      </c>
      <c r="F1966" s="12">
        <v>11</v>
      </c>
      <c r="G1966" s="41" t="s">
        <v>175</v>
      </c>
      <c r="H1966" s="12" t="s">
        <v>6101</v>
      </c>
      <c r="I1966" s="41" t="s">
        <v>7543</v>
      </c>
      <c r="M1966" s="41" t="e">
        <f>VLOOKUP(I1966,错误mRNA总表!D:I,6,FALSE)</f>
        <v>#N/A</v>
      </c>
    </row>
    <row r="1967" spans="1:13" x14ac:dyDescent="0.2">
      <c r="A1967" s="12" t="s">
        <v>4989</v>
      </c>
      <c r="B1967" s="12" t="s">
        <v>3973</v>
      </c>
      <c r="C1967" s="12">
        <v>145477067</v>
      </c>
      <c r="D1967" s="12">
        <v>145500505</v>
      </c>
      <c r="E1967" s="12" t="s">
        <v>3943</v>
      </c>
      <c r="F1967" s="12">
        <v>7</v>
      </c>
      <c r="G1967" s="41" t="s">
        <v>139</v>
      </c>
      <c r="H1967" s="12" t="s">
        <v>3492</v>
      </c>
      <c r="I1967" s="41" t="s">
        <v>7544</v>
      </c>
      <c r="M1967" s="41" t="e">
        <f>VLOOKUP(I1967,错误mRNA总表!D:I,6,FALSE)</f>
        <v>#N/A</v>
      </c>
    </row>
    <row r="1968" spans="1:13" x14ac:dyDescent="0.2">
      <c r="A1968" s="12" t="s">
        <v>4989</v>
      </c>
      <c r="B1968" s="12" t="s">
        <v>3973</v>
      </c>
      <c r="C1968" s="12">
        <v>145477067</v>
      </c>
      <c r="D1968" s="12">
        <v>145500921</v>
      </c>
      <c r="E1968" s="12" t="s">
        <v>3940</v>
      </c>
      <c r="F1968" s="12">
        <v>2</v>
      </c>
      <c r="G1968" s="41" t="s">
        <v>139</v>
      </c>
      <c r="H1968" s="12" t="s">
        <v>3492</v>
      </c>
      <c r="I1968" s="41" t="s">
        <v>7544</v>
      </c>
      <c r="M1968" s="41" t="e">
        <f>VLOOKUP(I1968,错误mRNA总表!D:I,6,FALSE)</f>
        <v>#N/A</v>
      </c>
    </row>
    <row r="1969" spans="1:13" x14ac:dyDescent="0.2">
      <c r="A1969" s="12" t="s">
        <v>4990</v>
      </c>
      <c r="B1969" s="12" t="s">
        <v>3939</v>
      </c>
      <c r="C1969" s="12">
        <v>52780281</v>
      </c>
      <c r="D1969" s="12">
        <v>52790461</v>
      </c>
      <c r="E1969" s="12" t="s">
        <v>3943</v>
      </c>
      <c r="F1969" s="12">
        <v>4</v>
      </c>
      <c r="G1969" s="41" t="s">
        <v>73</v>
      </c>
      <c r="H1969" s="12" t="s">
        <v>3695</v>
      </c>
      <c r="I1969" s="41" t="s">
        <v>7545</v>
      </c>
      <c r="M1969" s="41" t="e">
        <f>VLOOKUP(I1969,错误mRNA总表!D:I,6,FALSE)</f>
        <v>#N/A</v>
      </c>
    </row>
    <row r="1970" spans="1:13" x14ac:dyDescent="0.2">
      <c r="A1970" s="12" t="s">
        <v>4991</v>
      </c>
      <c r="B1970" s="12" t="s">
        <v>3973</v>
      </c>
      <c r="C1970" s="12">
        <v>145376206</v>
      </c>
      <c r="D1970" s="12">
        <v>145382170</v>
      </c>
      <c r="E1970" s="12" t="s">
        <v>3940</v>
      </c>
      <c r="F1970" s="12">
        <v>4</v>
      </c>
      <c r="G1970" s="41" t="s">
        <v>139</v>
      </c>
      <c r="H1970" s="12" t="s">
        <v>6102</v>
      </c>
      <c r="I1970" s="41" t="s">
        <v>7546</v>
      </c>
      <c r="M1970" s="41" t="e">
        <f>VLOOKUP(I1970,错误mRNA总表!D:I,6,FALSE)</f>
        <v>#N/A</v>
      </c>
    </row>
    <row r="1971" spans="1:13" x14ac:dyDescent="0.2">
      <c r="A1971" s="12" t="s">
        <v>4992</v>
      </c>
      <c r="B1971" s="12" t="s">
        <v>3939</v>
      </c>
      <c r="C1971" s="12">
        <v>148622519</v>
      </c>
      <c r="D1971" s="12">
        <v>148629238</v>
      </c>
      <c r="E1971" s="12" t="s">
        <v>3940</v>
      </c>
      <c r="F1971" s="12">
        <v>1</v>
      </c>
      <c r="G1971" s="41" t="s">
        <v>73</v>
      </c>
      <c r="H1971" s="12" t="s">
        <v>1401</v>
      </c>
      <c r="I1971" s="41" t="s">
        <v>3203</v>
      </c>
      <c r="J1971" s="41" t="s">
        <v>3203</v>
      </c>
      <c r="K1971" s="41" t="str">
        <f>VLOOKUP(J1971,错误mRNA总表!D:J,7,FALSE)</f>
        <v/>
      </c>
      <c r="L1971" s="41" t="s">
        <v>3762</v>
      </c>
      <c r="M1971" s="41">
        <f>VLOOKUP(I1971,错误mRNA总表!D:I,6,FALSE)</f>
        <v>0</v>
      </c>
    </row>
    <row r="1972" spans="1:13" x14ac:dyDescent="0.2">
      <c r="A1972" s="12" t="s">
        <v>4993</v>
      </c>
      <c r="B1972" s="12" t="s">
        <v>4059</v>
      </c>
      <c r="C1972" s="12">
        <v>90539619</v>
      </c>
      <c r="D1972" s="12">
        <v>90581108</v>
      </c>
      <c r="E1972" s="12" t="s">
        <v>3940</v>
      </c>
      <c r="F1972" s="12">
        <v>47</v>
      </c>
      <c r="G1972" s="41" t="s">
        <v>175</v>
      </c>
      <c r="H1972" s="12" t="s">
        <v>693</v>
      </c>
      <c r="I1972" s="41" t="s">
        <v>3237</v>
      </c>
      <c r="J1972" s="41" t="s">
        <v>3237</v>
      </c>
      <c r="K1972" s="41" t="str">
        <f>VLOOKUP(J1972,错误mRNA总表!D:J,7,FALSE)</f>
        <v/>
      </c>
      <c r="M1972" s="41">
        <f>VLOOKUP(I1972,错误mRNA总表!D:I,6,FALSE)</f>
        <v>0</v>
      </c>
    </row>
    <row r="1973" spans="1:13" x14ac:dyDescent="0.2">
      <c r="A1973" s="12" t="s">
        <v>4994</v>
      </c>
      <c r="B1973" s="12" t="s">
        <v>3973</v>
      </c>
      <c r="C1973" s="12">
        <v>149576161</v>
      </c>
      <c r="D1973" s="12">
        <v>149576464</v>
      </c>
      <c r="E1973" s="12" t="s">
        <v>3940</v>
      </c>
      <c r="F1973" s="12">
        <v>3</v>
      </c>
      <c r="G1973" s="41" t="s">
        <v>139</v>
      </c>
      <c r="H1973" s="12" t="s">
        <v>6103</v>
      </c>
      <c r="I1973" s="41" t="s">
        <v>7547</v>
      </c>
      <c r="M1973" s="41" t="e">
        <f>VLOOKUP(I1973,错误mRNA总表!D:I,6,FALSE)</f>
        <v>#N/A</v>
      </c>
    </row>
    <row r="1974" spans="1:13" x14ac:dyDescent="0.2">
      <c r="A1974" s="12" t="s">
        <v>4994</v>
      </c>
      <c r="B1974" s="12" t="s">
        <v>3973</v>
      </c>
      <c r="C1974" s="12">
        <v>149576161</v>
      </c>
      <c r="D1974" s="12">
        <v>149616419</v>
      </c>
      <c r="E1974" s="12" t="s">
        <v>3940</v>
      </c>
      <c r="F1974" s="12">
        <v>1</v>
      </c>
      <c r="G1974" s="41" t="s">
        <v>139</v>
      </c>
      <c r="H1974" s="12" t="s">
        <v>6103</v>
      </c>
      <c r="I1974" s="41" t="s">
        <v>7547</v>
      </c>
      <c r="M1974" s="41" t="e">
        <f>VLOOKUP(I1974,错误mRNA总表!D:I,6,FALSE)</f>
        <v>#N/A</v>
      </c>
    </row>
    <row r="1975" spans="1:13" x14ac:dyDescent="0.2">
      <c r="A1975" s="12" t="s">
        <v>4994</v>
      </c>
      <c r="B1975" s="12" t="s">
        <v>3973</v>
      </c>
      <c r="C1975" s="12">
        <v>149576161</v>
      </c>
      <c r="D1975" s="12">
        <v>149616671</v>
      </c>
      <c r="E1975" s="12" t="s">
        <v>3940</v>
      </c>
      <c r="F1975" s="12">
        <v>3</v>
      </c>
      <c r="G1975" s="41" t="s">
        <v>139</v>
      </c>
      <c r="H1975" s="12" t="s">
        <v>6103</v>
      </c>
      <c r="I1975" s="41" t="s">
        <v>7547</v>
      </c>
      <c r="M1975" s="41" t="e">
        <f>VLOOKUP(I1975,错误mRNA总表!D:I,6,FALSE)</f>
        <v>#N/A</v>
      </c>
    </row>
    <row r="1976" spans="1:13" x14ac:dyDescent="0.2">
      <c r="A1976" s="12" t="s">
        <v>4022</v>
      </c>
      <c r="B1976" s="12" t="s">
        <v>4199</v>
      </c>
      <c r="C1976" s="12">
        <v>66095</v>
      </c>
      <c r="D1976" s="12">
        <v>67233</v>
      </c>
      <c r="E1976" s="12" t="s">
        <v>3943</v>
      </c>
      <c r="F1976" s="12">
        <v>1</v>
      </c>
      <c r="H1976" s="12" t="s">
        <v>6373</v>
      </c>
      <c r="I1976" s="41" t="s">
        <v>7548</v>
      </c>
      <c r="M1976" s="41" t="e">
        <f>VLOOKUP(I1976,错误mRNA总表!D:I,6,FALSE)</f>
        <v>#N/A</v>
      </c>
    </row>
    <row r="1977" spans="1:13" x14ac:dyDescent="0.2">
      <c r="A1977" s="12" t="s">
        <v>4167</v>
      </c>
      <c r="B1977" s="12" t="s">
        <v>3996</v>
      </c>
      <c r="C1977" s="12">
        <v>3116416</v>
      </c>
      <c r="D1977" s="12">
        <v>3116512</v>
      </c>
      <c r="E1977" s="12" t="s">
        <v>3943</v>
      </c>
      <c r="F1977" s="12">
        <v>4</v>
      </c>
      <c r="H1977" s="12" t="s">
        <v>3562</v>
      </c>
      <c r="I1977" s="41" t="s">
        <v>7549</v>
      </c>
      <c r="M1977" s="41" t="e">
        <f>VLOOKUP(I1977,错误mRNA总表!D:I,6,FALSE)</f>
        <v>#N/A</v>
      </c>
    </row>
    <row r="1978" spans="1:13" x14ac:dyDescent="0.2">
      <c r="A1978" s="12" t="s">
        <v>4995</v>
      </c>
      <c r="B1978" s="12" t="s">
        <v>3978</v>
      </c>
      <c r="C1978" s="12">
        <v>14530619</v>
      </c>
      <c r="D1978" s="12">
        <v>14561627</v>
      </c>
      <c r="E1978" s="12" t="s">
        <v>3940</v>
      </c>
      <c r="F1978" s="12">
        <v>1</v>
      </c>
      <c r="G1978" s="41" t="s">
        <v>86</v>
      </c>
      <c r="H1978" s="12" t="s">
        <v>85</v>
      </c>
      <c r="I1978" s="41" t="s">
        <v>2099</v>
      </c>
      <c r="J1978" s="41" t="s">
        <v>2099</v>
      </c>
      <c r="K1978" s="41" t="str">
        <f>VLOOKUP(J1978,错误mRNA总表!D:J,7,FALSE)</f>
        <v>纠后正确</v>
      </c>
      <c r="L1978" s="41" t="s">
        <v>3763</v>
      </c>
      <c r="M1978" s="41">
        <f>VLOOKUP(I1978,错误mRNA总表!D:I,6,FALSE)</f>
        <v>0</v>
      </c>
    </row>
    <row r="1979" spans="1:13" x14ac:dyDescent="0.2">
      <c r="A1979" s="12" t="s">
        <v>4330</v>
      </c>
      <c r="B1979" s="12" t="s">
        <v>3964</v>
      </c>
      <c r="C1979" s="12">
        <v>2232347</v>
      </c>
      <c r="D1979" s="12">
        <v>2252155</v>
      </c>
      <c r="E1979" s="12" t="s">
        <v>3943</v>
      </c>
      <c r="F1979" s="12">
        <v>1</v>
      </c>
      <c r="H1979" s="12" t="s">
        <v>5871</v>
      </c>
      <c r="I1979" s="41" t="s">
        <v>7550</v>
      </c>
      <c r="M1979" s="41" t="e">
        <f>VLOOKUP(I1979,错误mRNA总表!D:I,6,FALSE)</f>
        <v>#N/A</v>
      </c>
    </row>
    <row r="1980" spans="1:13" x14ac:dyDescent="0.2">
      <c r="A1980" s="12" t="s">
        <v>4330</v>
      </c>
      <c r="B1980" s="12" t="s">
        <v>3964</v>
      </c>
      <c r="C1980" s="12">
        <v>2232347</v>
      </c>
      <c r="D1980" s="12">
        <v>2252167</v>
      </c>
      <c r="E1980" s="12" t="s">
        <v>3940</v>
      </c>
      <c r="F1980" s="12">
        <v>1</v>
      </c>
      <c r="H1980" s="12" t="s">
        <v>5871</v>
      </c>
      <c r="I1980" s="41" t="s">
        <v>7550</v>
      </c>
      <c r="M1980" s="41" t="e">
        <f>VLOOKUP(I1980,错误mRNA总表!D:I,6,FALSE)</f>
        <v>#N/A</v>
      </c>
    </row>
    <row r="1981" spans="1:13" x14ac:dyDescent="0.2">
      <c r="A1981" s="12" t="s">
        <v>4330</v>
      </c>
      <c r="B1981" s="12" t="s">
        <v>3964</v>
      </c>
      <c r="C1981" s="12">
        <v>2232347</v>
      </c>
      <c r="D1981" s="12">
        <v>2252171</v>
      </c>
      <c r="E1981" s="12" t="s">
        <v>3943</v>
      </c>
      <c r="F1981" s="12">
        <v>1</v>
      </c>
      <c r="H1981" s="12" t="s">
        <v>5871</v>
      </c>
      <c r="I1981" s="41" t="s">
        <v>7550</v>
      </c>
      <c r="M1981" s="41" t="e">
        <f>VLOOKUP(I1981,错误mRNA总表!D:I,6,FALSE)</f>
        <v>#N/A</v>
      </c>
    </row>
    <row r="1982" spans="1:13" x14ac:dyDescent="0.2">
      <c r="A1982" s="12" t="s">
        <v>4330</v>
      </c>
      <c r="B1982" s="12" t="s">
        <v>3964</v>
      </c>
      <c r="C1982" s="12">
        <v>2232347</v>
      </c>
      <c r="D1982" s="12">
        <v>2254632</v>
      </c>
      <c r="E1982" s="12" t="s">
        <v>3943</v>
      </c>
      <c r="F1982" s="12">
        <v>1</v>
      </c>
      <c r="H1982" s="12" t="s">
        <v>5871</v>
      </c>
      <c r="I1982" s="41" t="s">
        <v>7550</v>
      </c>
      <c r="M1982" s="41" t="e">
        <f>VLOOKUP(I1982,错误mRNA总表!D:I,6,FALSE)</f>
        <v>#N/A</v>
      </c>
    </row>
    <row r="1983" spans="1:13" x14ac:dyDescent="0.2">
      <c r="A1983" s="12" t="s">
        <v>4330</v>
      </c>
      <c r="B1983" s="12" t="s">
        <v>3964</v>
      </c>
      <c r="C1983" s="12">
        <v>2232347</v>
      </c>
      <c r="D1983" s="12">
        <v>2254639</v>
      </c>
      <c r="E1983" s="12" t="s">
        <v>3943</v>
      </c>
      <c r="F1983" s="12">
        <v>1</v>
      </c>
      <c r="H1983" s="12" t="s">
        <v>5871</v>
      </c>
      <c r="I1983" s="41" t="s">
        <v>7550</v>
      </c>
      <c r="M1983" s="41" t="e">
        <f>VLOOKUP(I1983,错误mRNA总表!D:I,6,FALSE)</f>
        <v>#N/A</v>
      </c>
    </row>
    <row r="1984" spans="1:13" x14ac:dyDescent="0.2">
      <c r="A1984" s="12" t="s">
        <v>4330</v>
      </c>
      <c r="B1984" s="12" t="s">
        <v>3964</v>
      </c>
      <c r="C1984" s="12">
        <v>2232347</v>
      </c>
      <c r="D1984" s="12">
        <v>2254645</v>
      </c>
      <c r="E1984" s="12" t="s">
        <v>3943</v>
      </c>
      <c r="F1984" s="12">
        <v>1</v>
      </c>
      <c r="H1984" s="12" t="s">
        <v>5871</v>
      </c>
      <c r="I1984" s="41" t="s">
        <v>7550</v>
      </c>
      <c r="M1984" s="41" t="e">
        <f>VLOOKUP(I1984,错误mRNA总表!D:I,6,FALSE)</f>
        <v>#N/A</v>
      </c>
    </row>
    <row r="1985" spans="1:13" x14ac:dyDescent="0.2">
      <c r="A1985" s="12" t="s">
        <v>4996</v>
      </c>
      <c r="B1985" s="12" t="s">
        <v>4018</v>
      </c>
      <c r="C1985" s="12">
        <v>35818988</v>
      </c>
      <c r="D1985" s="12">
        <v>35819995</v>
      </c>
      <c r="E1985" s="12" t="s">
        <v>3940</v>
      </c>
      <c r="F1985" s="12">
        <v>1</v>
      </c>
      <c r="G1985" s="41" t="s">
        <v>241</v>
      </c>
      <c r="H1985" s="12" t="s">
        <v>6104</v>
      </c>
      <c r="I1985" s="41" t="s">
        <v>7551</v>
      </c>
      <c r="M1985" s="41" t="e">
        <f>VLOOKUP(I1985,错误mRNA总表!D:I,6,FALSE)</f>
        <v>#N/A</v>
      </c>
    </row>
    <row r="1986" spans="1:13" x14ac:dyDescent="0.2">
      <c r="A1986" s="12" t="s">
        <v>4043</v>
      </c>
      <c r="B1986" s="12" t="s">
        <v>3989</v>
      </c>
      <c r="C1986" s="12">
        <v>1223623</v>
      </c>
      <c r="D1986" s="12">
        <v>1223701</v>
      </c>
      <c r="E1986" s="12" t="s">
        <v>3943</v>
      </c>
      <c r="F1986" s="12">
        <v>1</v>
      </c>
      <c r="H1986" s="12" t="s">
        <v>6374</v>
      </c>
      <c r="I1986" s="41" t="s">
        <v>6932</v>
      </c>
      <c r="M1986" s="41" t="e">
        <f>VLOOKUP(I1986,错误mRNA总表!D:I,6,FALSE)</f>
        <v>#N/A</v>
      </c>
    </row>
    <row r="1987" spans="1:13" x14ac:dyDescent="0.2">
      <c r="A1987" s="12" t="s">
        <v>4043</v>
      </c>
      <c r="B1987" s="12" t="s">
        <v>3989</v>
      </c>
      <c r="C1987" s="12">
        <v>1223623</v>
      </c>
      <c r="D1987" s="12">
        <v>1224270</v>
      </c>
      <c r="E1987" s="12" t="s">
        <v>3940</v>
      </c>
      <c r="F1987" s="12">
        <v>1</v>
      </c>
      <c r="H1987" s="12" t="s">
        <v>6374</v>
      </c>
      <c r="I1987" s="41" t="s">
        <v>6932</v>
      </c>
      <c r="M1987" s="41" t="e">
        <f>VLOOKUP(I1987,错误mRNA总表!D:I,6,FALSE)</f>
        <v>#N/A</v>
      </c>
    </row>
    <row r="1988" spans="1:13" x14ac:dyDescent="0.2">
      <c r="A1988" s="12" t="s">
        <v>4043</v>
      </c>
      <c r="B1988" s="12" t="s">
        <v>3989</v>
      </c>
      <c r="C1988" s="12">
        <v>1223623</v>
      </c>
      <c r="D1988" s="12">
        <v>1224549</v>
      </c>
      <c r="E1988" s="12" t="s">
        <v>3940</v>
      </c>
      <c r="F1988" s="12">
        <v>2</v>
      </c>
      <c r="H1988" s="12" t="s">
        <v>6374</v>
      </c>
      <c r="I1988" s="41" t="s">
        <v>6932</v>
      </c>
      <c r="M1988" s="41" t="e">
        <f>VLOOKUP(I1988,错误mRNA总表!D:I,6,FALSE)</f>
        <v>#N/A</v>
      </c>
    </row>
    <row r="1989" spans="1:13" x14ac:dyDescent="0.2">
      <c r="A1989" s="12" t="s">
        <v>4043</v>
      </c>
      <c r="B1989" s="12" t="s">
        <v>3989</v>
      </c>
      <c r="C1989" s="12">
        <v>1223623</v>
      </c>
      <c r="D1989" s="12">
        <v>1224804</v>
      </c>
      <c r="E1989" s="12" t="s">
        <v>3943</v>
      </c>
      <c r="F1989" s="12">
        <v>4</v>
      </c>
      <c r="H1989" s="12" t="s">
        <v>6374</v>
      </c>
      <c r="I1989" s="41" t="s">
        <v>6932</v>
      </c>
      <c r="M1989" s="41" t="e">
        <f>VLOOKUP(I1989,错误mRNA总表!D:I,6,FALSE)</f>
        <v>#N/A</v>
      </c>
    </row>
    <row r="1990" spans="1:13" x14ac:dyDescent="0.2">
      <c r="A1990" s="12" t="s">
        <v>4043</v>
      </c>
      <c r="B1990" s="12" t="s">
        <v>3989</v>
      </c>
      <c r="C1990" s="12">
        <v>1223623</v>
      </c>
      <c r="D1990" s="12">
        <v>1224875</v>
      </c>
      <c r="E1990" s="12" t="s">
        <v>3940</v>
      </c>
      <c r="F1990" s="12">
        <v>6</v>
      </c>
      <c r="H1990" s="12" t="s">
        <v>6374</v>
      </c>
      <c r="I1990" s="41" t="s">
        <v>6932</v>
      </c>
      <c r="M1990" s="41" t="e">
        <f>VLOOKUP(I1990,错误mRNA总表!D:I,6,FALSE)</f>
        <v>#N/A</v>
      </c>
    </row>
    <row r="1991" spans="1:13" x14ac:dyDescent="0.2">
      <c r="A1991" s="12" t="s">
        <v>4997</v>
      </c>
      <c r="B1991" s="12" t="s">
        <v>3973</v>
      </c>
      <c r="C1991" s="12">
        <v>150190717</v>
      </c>
      <c r="D1991" s="12">
        <v>150192506</v>
      </c>
      <c r="E1991" s="12" t="s">
        <v>3943</v>
      </c>
      <c r="F1991" s="12">
        <v>3</v>
      </c>
      <c r="G1991" s="41" t="s">
        <v>139</v>
      </c>
      <c r="H1991" s="12" t="s">
        <v>3503</v>
      </c>
      <c r="I1991" s="41" t="s">
        <v>7552</v>
      </c>
      <c r="M1991" s="41" t="e">
        <f>VLOOKUP(I1991,错误mRNA总表!D:I,6,FALSE)</f>
        <v>#N/A</v>
      </c>
    </row>
    <row r="1992" spans="1:13" x14ac:dyDescent="0.2">
      <c r="A1992" s="12" t="s">
        <v>4265</v>
      </c>
      <c r="B1992" s="12" t="s">
        <v>4408</v>
      </c>
      <c r="C1992" s="12">
        <v>1058141</v>
      </c>
      <c r="D1992" s="12">
        <v>1065945</v>
      </c>
      <c r="E1992" s="12" t="s">
        <v>3940</v>
      </c>
      <c r="F1992" s="12">
        <v>1</v>
      </c>
      <c r="H1992" s="12" t="s">
        <v>3597</v>
      </c>
      <c r="I1992" s="41" t="s">
        <v>7553</v>
      </c>
      <c r="M1992" s="41" t="e">
        <f>VLOOKUP(I1992,错误mRNA总表!D:I,6,FALSE)</f>
        <v>#N/A</v>
      </c>
    </row>
    <row r="1993" spans="1:13" x14ac:dyDescent="0.2">
      <c r="A1993" s="12" t="s">
        <v>4265</v>
      </c>
      <c r="B1993" s="12" t="s">
        <v>4408</v>
      </c>
      <c r="C1993" s="12">
        <v>1058141</v>
      </c>
      <c r="D1993" s="12">
        <v>1074133</v>
      </c>
      <c r="E1993" s="12" t="s">
        <v>3940</v>
      </c>
      <c r="F1993" s="12">
        <v>1</v>
      </c>
      <c r="H1993" s="12" t="s">
        <v>3597</v>
      </c>
      <c r="I1993" s="41" t="s">
        <v>7553</v>
      </c>
      <c r="M1993" s="41" t="e">
        <f>VLOOKUP(I1993,错误mRNA总表!D:I,6,FALSE)</f>
        <v>#N/A</v>
      </c>
    </row>
    <row r="1994" spans="1:13" x14ac:dyDescent="0.2">
      <c r="A1994" s="12" t="s">
        <v>4186</v>
      </c>
      <c r="B1994" s="12" t="s">
        <v>3969</v>
      </c>
      <c r="C1994" s="12">
        <v>1150366</v>
      </c>
      <c r="D1994" s="12">
        <v>1150605</v>
      </c>
      <c r="E1994" s="12" t="s">
        <v>3940</v>
      </c>
      <c r="F1994" s="12">
        <v>6</v>
      </c>
      <c r="H1994" s="12" t="s">
        <v>6398</v>
      </c>
      <c r="I1994" s="41" t="s">
        <v>7554</v>
      </c>
      <c r="M1994" s="41" t="e">
        <f>VLOOKUP(I1994,错误mRNA总表!D:I,6,FALSE)</f>
        <v>#N/A</v>
      </c>
    </row>
    <row r="1995" spans="1:13" x14ac:dyDescent="0.2">
      <c r="A1995" s="12" t="s">
        <v>4186</v>
      </c>
      <c r="B1995" s="12" t="s">
        <v>3969</v>
      </c>
      <c r="C1995" s="12">
        <v>1150366</v>
      </c>
      <c r="D1995" s="12">
        <v>1152122</v>
      </c>
      <c r="E1995" s="12" t="s">
        <v>3940</v>
      </c>
      <c r="F1995" s="12">
        <v>1</v>
      </c>
      <c r="H1995" s="12" t="s">
        <v>6398</v>
      </c>
      <c r="I1995" s="41" t="s">
        <v>7554</v>
      </c>
      <c r="M1995" s="41" t="e">
        <f>VLOOKUP(I1995,错误mRNA总表!D:I,6,FALSE)</f>
        <v>#N/A</v>
      </c>
    </row>
    <row r="1996" spans="1:13" x14ac:dyDescent="0.2">
      <c r="A1996" s="12" t="s">
        <v>4186</v>
      </c>
      <c r="B1996" s="12" t="s">
        <v>3969</v>
      </c>
      <c r="C1996" s="12">
        <v>1150366</v>
      </c>
      <c r="D1996" s="12">
        <v>1152245</v>
      </c>
      <c r="E1996" s="12" t="s">
        <v>3940</v>
      </c>
      <c r="F1996" s="12">
        <v>1</v>
      </c>
      <c r="H1996" s="12" t="s">
        <v>6398</v>
      </c>
      <c r="I1996" s="41" t="s">
        <v>7554</v>
      </c>
      <c r="M1996" s="41" t="e">
        <f>VLOOKUP(I1996,错误mRNA总表!D:I,6,FALSE)</f>
        <v>#N/A</v>
      </c>
    </row>
    <row r="1997" spans="1:13" x14ac:dyDescent="0.2">
      <c r="A1997" s="12" t="s">
        <v>4186</v>
      </c>
      <c r="B1997" s="12" t="s">
        <v>3969</v>
      </c>
      <c r="C1997" s="12">
        <v>1150366</v>
      </c>
      <c r="D1997" s="12">
        <v>1153521</v>
      </c>
      <c r="E1997" s="12" t="s">
        <v>3940</v>
      </c>
      <c r="F1997" s="12">
        <v>4</v>
      </c>
      <c r="H1997" s="12" t="s">
        <v>6398</v>
      </c>
      <c r="I1997" s="41" t="s">
        <v>7554</v>
      </c>
      <c r="M1997" s="41" t="e">
        <f>VLOOKUP(I1997,错误mRNA总表!D:I,6,FALSE)</f>
        <v>#N/A</v>
      </c>
    </row>
    <row r="1998" spans="1:13" x14ac:dyDescent="0.2">
      <c r="A1998" s="12" t="s">
        <v>4998</v>
      </c>
      <c r="B1998" s="12" t="s">
        <v>3973</v>
      </c>
      <c r="C1998" s="12">
        <v>145470508</v>
      </c>
      <c r="D1998" s="12">
        <v>145472451</v>
      </c>
      <c r="E1998" s="12" t="s">
        <v>3940</v>
      </c>
      <c r="F1998" s="12">
        <v>3</v>
      </c>
      <c r="G1998" s="41" t="s">
        <v>139</v>
      </c>
      <c r="H1998" s="12" t="s">
        <v>3493</v>
      </c>
      <c r="I1998" s="41" t="s">
        <v>7555</v>
      </c>
      <c r="M1998" s="41" t="e">
        <f>VLOOKUP(I1998,错误mRNA总表!D:I,6,FALSE)</f>
        <v>#N/A</v>
      </c>
    </row>
    <row r="1999" spans="1:13" x14ac:dyDescent="0.2">
      <c r="A1999" s="12" t="s">
        <v>4998</v>
      </c>
      <c r="B1999" s="12" t="s">
        <v>3973</v>
      </c>
      <c r="C1999" s="12">
        <v>145470508</v>
      </c>
      <c r="D1999" s="12">
        <v>145472569</v>
      </c>
      <c r="E1999" s="12" t="s">
        <v>3943</v>
      </c>
      <c r="F1999" s="12">
        <v>1</v>
      </c>
      <c r="G1999" s="41" t="s">
        <v>139</v>
      </c>
      <c r="H1999" s="12" t="s">
        <v>3493</v>
      </c>
      <c r="I1999" s="41" t="s">
        <v>7555</v>
      </c>
      <c r="M1999" s="41" t="e">
        <f>VLOOKUP(I1999,错误mRNA总表!D:I,6,FALSE)</f>
        <v>#N/A</v>
      </c>
    </row>
    <row r="2000" spans="1:13" x14ac:dyDescent="0.2">
      <c r="A2000" s="12" t="s">
        <v>4999</v>
      </c>
      <c r="B2000" s="12" t="s">
        <v>3966</v>
      </c>
      <c r="C2000" s="12">
        <v>30792930</v>
      </c>
      <c r="D2000" s="12">
        <v>30819616</v>
      </c>
      <c r="E2000" s="12" t="s">
        <v>3940</v>
      </c>
      <c r="F2000" s="12">
        <v>1</v>
      </c>
      <c r="G2000" s="41" t="s">
        <v>43</v>
      </c>
      <c r="H2000" s="12" t="s">
        <v>6434</v>
      </c>
      <c r="I2000" s="41" t="s">
        <v>7556</v>
      </c>
      <c r="M2000" s="41" t="e">
        <f>VLOOKUP(I2000,错误mRNA总表!D:I,6,FALSE)</f>
        <v>#N/A</v>
      </c>
    </row>
    <row r="2001" spans="1:13" x14ac:dyDescent="0.2">
      <c r="A2001" s="12" t="s">
        <v>3963</v>
      </c>
      <c r="B2001" s="12" t="s">
        <v>3996</v>
      </c>
      <c r="C2001" s="12">
        <v>4730149</v>
      </c>
      <c r="D2001" s="12">
        <v>4730202</v>
      </c>
      <c r="E2001" s="12" t="s">
        <v>3943</v>
      </c>
      <c r="F2001" s="12">
        <v>2</v>
      </c>
      <c r="H2001" s="12" t="s">
        <v>3591</v>
      </c>
      <c r="I2001" s="41" t="s">
        <v>7557</v>
      </c>
      <c r="M2001" s="41" t="e">
        <f>VLOOKUP(I2001,错误mRNA总表!D:I,6,FALSE)</f>
        <v>#N/A</v>
      </c>
    </row>
    <row r="2002" spans="1:13" x14ac:dyDescent="0.2">
      <c r="A2002" s="12" t="s">
        <v>4320</v>
      </c>
      <c r="B2002" s="12" t="s">
        <v>3984</v>
      </c>
      <c r="C2002" s="12">
        <v>2759546</v>
      </c>
      <c r="D2002" s="12">
        <v>2771475</v>
      </c>
      <c r="E2002" s="12" t="s">
        <v>3940</v>
      </c>
      <c r="F2002" s="12">
        <v>2</v>
      </c>
      <c r="H2002" s="12" t="s">
        <v>5867</v>
      </c>
      <c r="I2002" s="41" t="s">
        <v>7558</v>
      </c>
      <c r="M2002" s="41" t="e">
        <f>VLOOKUP(I2002,错误mRNA总表!D:I,6,FALSE)</f>
        <v>#N/A</v>
      </c>
    </row>
    <row r="2003" spans="1:13" x14ac:dyDescent="0.2">
      <c r="A2003" s="12" t="s">
        <v>4320</v>
      </c>
      <c r="B2003" s="12" t="s">
        <v>3984</v>
      </c>
      <c r="C2003" s="12">
        <v>2759546</v>
      </c>
      <c r="D2003" s="12">
        <v>2772038</v>
      </c>
      <c r="E2003" s="12" t="s">
        <v>3940</v>
      </c>
      <c r="F2003" s="12">
        <v>6</v>
      </c>
      <c r="H2003" s="12" t="s">
        <v>5867</v>
      </c>
      <c r="I2003" s="41" t="s">
        <v>7558</v>
      </c>
      <c r="M2003" s="41" t="e">
        <f>VLOOKUP(I2003,错误mRNA总表!D:I,6,FALSE)</f>
        <v>#N/A</v>
      </c>
    </row>
    <row r="2004" spans="1:13" x14ac:dyDescent="0.2">
      <c r="A2004" s="12" t="s">
        <v>5000</v>
      </c>
      <c r="B2004" s="12" t="s">
        <v>3973</v>
      </c>
      <c r="C2004" s="12">
        <v>206516197</v>
      </c>
      <c r="D2004" s="12">
        <v>206635270</v>
      </c>
      <c r="E2004" s="12" t="s">
        <v>3940</v>
      </c>
      <c r="F2004" s="12">
        <v>4</v>
      </c>
      <c r="G2004" s="41" t="s">
        <v>139</v>
      </c>
      <c r="H2004" s="12" t="s">
        <v>196</v>
      </c>
      <c r="I2004" s="41" t="s">
        <v>3311</v>
      </c>
      <c r="J2004" s="41" t="s">
        <v>3311</v>
      </c>
      <c r="K2004" s="41" t="str">
        <f>VLOOKUP(J2004,错误mRNA总表!D:J,7,FALSE)</f>
        <v/>
      </c>
      <c r="M2004" s="41">
        <f>VLOOKUP(I2004,错误mRNA总表!D:I,6,FALSE)</f>
        <v>0</v>
      </c>
    </row>
    <row r="2005" spans="1:13" x14ac:dyDescent="0.2">
      <c r="A2005" s="12" t="s">
        <v>5000</v>
      </c>
      <c r="B2005" s="12" t="s">
        <v>3973</v>
      </c>
      <c r="C2005" s="12">
        <v>206516197</v>
      </c>
      <c r="D2005" s="12">
        <v>206636501</v>
      </c>
      <c r="E2005" s="12" t="s">
        <v>3940</v>
      </c>
      <c r="F2005" s="12">
        <v>1</v>
      </c>
      <c r="G2005" s="41" t="s">
        <v>139</v>
      </c>
      <c r="H2005" s="12" t="s">
        <v>196</v>
      </c>
      <c r="I2005" s="41" t="s">
        <v>3311</v>
      </c>
      <c r="J2005" s="41" t="s">
        <v>3311</v>
      </c>
      <c r="K2005" s="41" t="str">
        <f>VLOOKUP(J2005,错误mRNA总表!D:J,7,FALSE)</f>
        <v/>
      </c>
      <c r="M2005" s="41">
        <f>VLOOKUP(I2005,错误mRNA总表!D:I,6,FALSE)</f>
        <v>0</v>
      </c>
    </row>
    <row r="2006" spans="1:13" x14ac:dyDescent="0.2">
      <c r="A2006" s="12" t="s">
        <v>5001</v>
      </c>
      <c r="B2006" s="12" t="s">
        <v>3946</v>
      </c>
      <c r="C2006" s="12">
        <v>34851599</v>
      </c>
      <c r="D2006" s="12">
        <v>34891039</v>
      </c>
      <c r="E2006" s="12" t="s">
        <v>3943</v>
      </c>
      <c r="F2006" s="12">
        <v>21</v>
      </c>
      <c r="G2006" s="41" t="s">
        <v>47</v>
      </c>
      <c r="H2006" s="12" t="s">
        <v>3630</v>
      </c>
      <c r="I2006" s="41" t="s">
        <v>7559</v>
      </c>
      <c r="M2006" s="41" t="e">
        <f>VLOOKUP(I2006,错误mRNA总表!D:I,6,FALSE)</f>
        <v>#N/A</v>
      </c>
    </row>
    <row r="2007" spans="1:13" x14ac:dyDescent="0.2">
      <c r="A2007" s="12" t="s">
        <v>5002</v>
      </c>
      <c r="B2007" s="12" t="s">
        <v>5003</v>
      </c>
      <c r="C2007" s="12">
        <v>598652</v>
      </c>
      <c r="D2007" s="12">
        <v>598890</v>
      </c>
      <c r="E2007" s="12" t="s">
        <v>3940</v>
      </c>
      <c r="F2007" s="12">
        <v>14</v>
      </c>
      <c r="H2007" s="12" t="s">
        <v>6105</v>
      </c>
      <c r="I2007" s="41" t="s">
        <v>7560</v>
      </c>
      <c r="M2007" s="41" t="e">
        <f>VLOOKUP(I2007,错误mRNA总表!D:I,6,FALSE)</f>
        <v>#N/A</v>
      </c>
    </row>
    <row r="2008" spans="1:13" x14ac:dyDescent="0.2">
      <c r="A2008" s="12" t="s">
        <v>5002</v>
      </c>
      <c r="B2008" s="12" t="s">
        <v>5003</v>
      </c>
      <c r="C2008" s="12">
        <v>598652</v>
      </c>
      <c r="D2008" s="12">
        <v>598899</v>
      </c>
      <c r="E2008" s="12" t="s">
        <v>3940</v>
      </c>
      <c r="F2008" s="12">
        <v>1</v>
      </c>
      <c r="H2008" s="12" t="s">
        <v>6105</v>
      </c>
      <c r="I2008" s="41" t="s">
        <v>7560</v>
      </c>
      <c r="M2008" s="41" t="e">
        <f>VLOOKUP(I2008,错误mRNA总表!D:I,6,FALSE)</f>
        <v>#N/A</v>
      </c>
    </row>
    <row r="2009" spans="1:13" x14ac:dyDescent="0.2">
      <c r="A2009" s="12" t="s">
        <v>4221</v>
      </c>
      <c r="B2009" s="12" t="s">
        <v>3969</v>
      </c>
      <c r="C2009" s="12">
        <v>928111</v>
      </c>
      <c r="D2009" s="12">
        <v>943463</v>
      </c>
      <c r="E2009" s="12" t="s">
        <v>3943</v>
      </c>
      <c r="F2009" s="12">
        <v>4</v>
      </c>
      <c r="H2009" s="12" t="s">
        <v>3527</v>
      </c>
      <c r="I2009" s="41" t="s">
        <v>7561</v>
      </c>
      <c r="M2009" s="41" t="e">
        <f>VLOOKUP(I2009,错误mRNA总表!D:I,6,FALSE)</f>
        <v>#N/A</v>
      </c>
    </row>
    <row r="2010" spans="1:13" x14ac:dyDescent="0.2">
      <c r="A2010" s="12" t="s">
        <v>5004</v>
      </c>
      <c r="B2010" s="12" t="s">
        <v>3948</v>
      </c>
      <c r="C2010" s="12">
        <v>72039492</v>
      </c>
      <c r="D2010" s="12">
        <v>72209527</v>
      </c>
      <c r="E2010" s="12" t="s">
        <v>3943</v>
      </c>
      <c r="F2010" s="12">
        <v>1</v>
      </c>
      <c r="G2010" s="41" t="s">
        <v>40</v>
      </c>
      <c r="H2010" s="12" t="s">
        <v>172</v>
      </c>
      <c r="I2010" s="41" t="s">
        <v>2151</v>
      </c>
      <c r="J2010" s="41" t="s">
        <v>2151</v>
      </c>
      <c r="K2010" s="41" t="str">
        <f>VLOOKUP(J2010,错误mRNA总表!D:J,7,FALSE)</f>
        <v>纠后正确</v>
      </c>
      <c r="L2010" s="41" t="s">
        <v>3763</v>
      </c>
      <c r="M2010" s="41">
        <f>VLOOKUP(I2010,错误mRNA总表!D:I,6,FALSE)</f>
        <v>0</v>
      </c>
    </row>
    <row r="2011" spans="1:13" x14ac:dyDescent="0.2">
      <c r="A2011" s="12" t="s">
        <v>5005</v>
      </c>
      <c r="B2011" s="12" t="s">
        <v>3946</v>
      </c>
      <c r="C2011" s="12">
        <v>7465309</v>
      </c>
      <c r="D2011" s="12">
        <v>7470287</v>
      </c>
      <c r="E2011" s="12" t="s">
        <v>3943</v>
      </c>
      <c r="F2011" s="12">
        <v>1</v>
      </c>
      <c r="G2011" s="41" t="s">
        <v>47</v>
      </c>
      <c r="H2011" s="12" t="s">
        <v>146</v>
      </c>
      <c r="I2011" s="41" t="s">
        <v>2134</v>
      </c>
      <c r="J2011" s="41" t="s">
        <v>2134</v>
      </c>
      <c r="K2011" s="41" t="str">
        <f>VLOOKUP(J2011,错误mRNA总表!D:J,7,FALSE)</f>
        <v>纠后正确</v>
      </c>
      <c r="L2011" s="41" t="s">
        <v>3763</v>
      </c>
      <c r="M2011" s="41">
        <f>VLOOKUP(I2011,错误mRNA总表!D:I,6,FALSE)</f>
        <v>0</v>
      </c>
    </row>
    <row r="2012" spans="1:13" x14ac:dyDescent="0.2">
      <c r="A2012" s="12" t="s">
        <v>4453</v>
      </c>
      <c r="B2012" s="12" t="s">
        <v>3994</v>
      </c>
      <c r="C2012" s="12">
        <v>2474681</v>
      </c>
      <c r="D2012" s="12">
        <v>2479954</v>
      </c>
      <c r="E2012" s="12" t="s">
        <v>3943</v>
      </c>
      <c r="F2012" s="12">
        <v>1</v>
      </c>
      <c r="H2012" s="12" t="s">
        <v>3554</v>
      </c>
      <c r="I2012" s="41" t="s">
        <v>7562</v>
      </c>
      <c r="M2012" s="41" t="e">
        <f>VLOOKUP(I2012,错误mRNA总表!D:I,6,FALSE)</f>
        <v>#N/A</v>
      </c>
    </row>
    <row r="2013" spans="1:13" x14ac:dyDescent="0.2">
      <c r="A2013" s="12" t="s">
        <v>5006</v>
      </c>
      <c r="B2013" s="12" t="s">
        <v>4018</v>
      </c>
      <c r="C2013" s="12">
        <v>17443434</v>
      </c>
      <c r="D2013" s="12">
        <v>17981988</v>
      </c>
      <c r="E2013" s="12" t="s">
        <v>3940</v>
      </c>
      <c r="F2013" s="12">
        <v>1</v>
      </c>
      <c r="G2013" s="41" t="s">
        <v>241</v>
      </c>
      <c r="H2013" s="12" t="s">
        <v>5877</v>
      </c>
      <c r="I2013" s="41" t="s">
        <v>6938</v>
      </c>
      <c r="M2013" s="41" t="e">
        <f>VLOOKUP(I2013,错误mRNA总表!D:I,6,FALSE)</f>
        <v>#N/A</v>
      </c>
    </row>
    <row r="2014" spans="1:13" x14ac:dyDescent="0.2">
      <c r="A2014" s="12" t="s">
        <v>5007</v>
      </c>
      <c r="B2014" s="12" t="s">
        <v>3942</v>
      </c>
      <c r="C2014" s="12">
        <v>175810940</v>
      </c>
      <c r="D2014" s="12">
        <v>175811094</v>
      </c>
      <c r="E2014" s="12" t="s">
        <v>3940</v>
      </c>
      <c r="F2014" s="12">
        <v>2</v>
      </c>
      <c r="G2014" s="41" t="s">
        <v>186</v>
      </c>
      <c r="H2014" s="12" t="s">
        <v>6621</v>
      </c>
      <c r="I2014" s="41" t="s">
        <v>6814</v>
      </c>
      <c r="M2014" s="41" t="e">
        <f>VLOOKUP(I2014,错误mRNA总表!D:I,6,FALSE)</f>
        <v>#N/A</v>
      </c>
    </row>
    <row r="2015" spans="1:13" x14ac:dyDescent="0.2">
      <c r="A2015" s="12" t="s">
        <v>5008</v>
      </c>
      <c r="B2015" s="12" t="s">
        <v>4052</v>
      </c>
      <c r="C2015" s="12">
        <v>135367404</v>
      </c>
      <c r="D2015" s="12">
        <v>135381782</v>
      </c>
      <c r="E2015" s="12" t="s">
        <v>3943</v>
      </c>
      <c r="F2015" s="12">
        <v>3</v>
      </c>
      <c r="G2015" s="41" t="s">
        <v>93</v>
      </c>
      <c r="H2015" s="12" t="s">
        <v>6435</v>
      </c>
      <c r="I2015" s="41" t="s">
        <v>7563</v>
      </c>
      <c r="M2015" s="41" t="e">
        <f>VLOOKUP(I2015,错误mRNA总表!D:I,6,FALSE)</f>
        <v>#N/A</v>
      </c>
    </row>
    <row r="2016" spans="1:13" x14ac:dyDescent="0.2">
      <c r="A2016" s="12" t="s">
        <v>5009</v>
      </c>
      <c r="B2016" s="12" t="s">
        <v>3984</v>
      </c>
      <c r="C2016" s="12">
        <v>1980909</v>
      </c>
      <c r="D2016" s="12">
        <v>1985232</v>
      </c>
      <c r="E2016" s="12" t="s">
        <v>3943</v>
      </c>
      <c r="F2016" s="12">
        <v>1</v>
      </c>
      <c r="H2016" s="12" t="s">
        <v>6106</v>
      </c>
      <c r="I2016" s="41" t="s">
        <v>7564</v>
      </c>
      <c r="M2016" s="41" t="e">
        <f>VLOOKUP(I2016,错误mRNA总表!D:I,6,FALSE)</f>
        <v>#N/A</v>
      </c>
    </row>
    <row r="2017" spans="1:13" x14ac:dyDescent="0.2">
      <c r="A2017" s="12" t="s">
        <v>5010</v>
      </c>
      <c r="B2017" s="12" t="s">
        <v>3962</v>
      </c>
      <c r="C2017" s="12">
        <v>62329995</v>
      </c>
      <c r="D2017" s="12">
        <v>62331335</v>
      </c>
      <c r="E2017" s="12" t="s">
        <v>3940</v>
      </c>
      <c r="F2017" s="12">
        <v>1</v>
      </c>
      <c r="G2017" s="41" t="s">
        <v>53</v>
      </c>
      <c r="H2017" s="12" t="s">
        <v>6436</v>
      </c>
      <c r="I2017" s="41" t="s">
        <v>7565</v>
      </c>
      <c r="M2017" s="41" t="e">
        <f>VLOOKUP(I2017,错误mRNA总表!D:I,6,FALSE)</f>
        <v>#N/A</v>
      </c>
    </row>
    <row r="2018" spans="1:13" x14ac:dyDescent="0.2">
      <c r="A2018" s="12" t="s">
        <v>5011</v>
      </c>
      <c r="B2018" s="12" t="s">
        <v>4012</v>
      </c>
      <c r="C2018" s="12">
        <v>135800</v>
      </c>
      <c r="D2018" s="12">
        <v>138772</v>
      </c>
      <c r="E2018" s="12" t="s">
        <v>3940</v>
      </c>
      <c r="F2018" s="12">
        <v>1</v>
      </c>
      <c r="G2018" s="41" t="s">
        <v>121</v>
      </c>
      <c r="H2018" s="12" t="s">
        <v>198</v>
      </c>
      <c r="I2018" s="41" t="s">
        <v>2182</v>
      </c>
      <c r="J2018" s="41" t="s">
        <v>2182</v>
      </c>
      <c r="K2018" s="41" t="str">
        <f>VLOOKUP(J2018,错误mRNA总表!D:J,7,FALSE)</f>
        <v>纠后正确</v>
      </c>
      <c r="L2018" s="41" t="s">
        <v>3763</v>
      </c>
      <c r="M2018" s="41">
        <f>VLOOKUP(I2018,错误mRNA总表!D:I,6,FALSE)</f>
        <v>0</v>
      </c>
    </row>
    <row r="2019" spans="1:13" x14ac:dyDescent="0.2">
      <c r="A2019" s="12" t="s">
        <v>5012</v>
      </c>
      <c r="B2019" s="12" t="s">
        <v>3984</v>
      </c>
      <c r="C2019" s="12">
        <v>4393584</v>
      </c>
      <c r="D2019" s="12">
        <v>4393882</v>
      </c>
      <c r="E2019" s="12" t="s">
        <v>3943</v>
      </c>
      <c r="F2019" s="12">
        <v>1</v>
      </c>
      <c r="H2019" s="12" t="s">
        <v>3587</v>
      </c>
      <c r="I2019" s="41" t="s">
        <v>7566</v>
      </c>
      <c r="M2019" s="41" t="e">
        <f>VLOOKUP(I2019,错误mRNA总表!D:I,6,FALSE)</f>
        <v>#N/A</v>
      </c>
    </row>
    <row r="2020" spans="1:13" x14ac:dyDescent="0.2">
      <c r="A2020" s="12" t="s">
        <v>5013</v>
      </c>
      <c r="B2020" s="12" t="s">
        <v>5014</v>
      </c>
      <c r="C2020" s="12">
        <v>97336</v>
      </c>
      <c r="D2020" s="12">
        <v>97998</v>
      </c>
      <c r="E2020" s="12" t="s">
        <v>3940</v>
      </c>
      <c r="F2020" s="12">
        <v>436</v>
      </c>
      <c r="H2020" s="12" t="s">
        <v>3441</v>
      </c>
      <c r="I2020" s="41" t="s">
        <v>7567</v>
      </c>
      <c r="M2020" s="41" t="e">
        <f>VLOOKUP(I2020,错误mRNA总表!D:I,6,FALSE)</f>
        <v>#N/A</v>
      </c>
    </row>
    <row r="2021" spans="1:13" x14ac:dyDescent="0.2">
      <c r="A2021" s="12" t="s">
        <v>5013</v>
      </c>
      <c r="B2021" s="12" t="s">
        <v>5014</v>
      </c>
      <c r="C2021" s="12">
        <v>97336</v>
      </c>
      <c r="D2021" s="12">
        <v>97995</v>
      </c>
      <c r="E2021" s="12" t="s">
        <v>3940</v>
      </c>
      <c r="F2021" s="12">
        <v>1</v>
      </c>
      <c r="H2021" s="12" t="s">
        <v>3441</v>
      </c>
      <c r="I2021" s="41" t="s">
        <v>7567</v>
      </c>
      <c r="M2021" s="41" t="e">
        <f>VLOOKUP(I2021,错误mRNA总表!D:I,6,FALSE)</f>
        <v>#N/A</v>
      </c>
    </row>
    <row r="2022" spans="1:13" x14ac:dyDescent="0.2">
      <c r="A2022" s="12" t="s">
        <v>5015</v>
      </c>
      <c r="B2022" s="12" t="s">
        <v>4052</v>
      </c>
      <c r="C2022" s="12">
        <v>64571756</v>
      </c>
      <c r="D2022" s="12">
        <v>64572037</v>
      </c>
      <c r="E2022" s="12" t="s">
        <v>3943</v>
      </c>
      <c r="F2022" s="12">
        <v>1</v>
      </c>
      <c r="G2022" s="41" t="s">
        <v>93</v>
      </c>
      <c r="H2022" s="12" t="s">
        <v>6107</v>
      </c>
      <c r="I2022" s="41" t="s">
        <v>7568</v>
      </c>
      <c r="M2022" s="41" t="e">
        <f>VLOOKUP(I2022,错误mRNA总表!D:I,6,FALSE)</f>
        <v>#N/A</v>
      </c>
    </row>
    <row r="2023" spans="1:13" x14ac:dyDescent="0.2">
      <c r="A2023" s="12" t="s">
        <v>4043</v>
      </c>
      <c r="B2023" s="12" t="s">
        <v>3969</v>
      </c>
      <c r="C2023" s="12">
        <v>1187371</v>
      </c>
      <c r="D2023" s="12">
        <v>1187449</v>
      </c>
      <c r="E2023" s="12" t="s">
        <v>3943</v>
      </c>
      <c r="F2023" s="12">
        <v>1</v>
      </c>
      <c r="H2023" s="12" t="s">
        <v>6374</v>
      </c>
      <c r="I2023" s="41" t="s">
        <v>6905</v>
      </c>
      <c r="M2023" s="41" t="e">
        <f>VLOOKUP(I2023,错误mRNA总表!D:I,6,FALSE)</f>
        <v>#N/A</v>
      </c>
    </row>
    <row r="2024" spans="1:13" x14ac:dyDescent="0.2">
      <c r="A2024" s="12" t="s">
        <v>4043</v>
      </c>
      <c r="B2024" s="12" t="s">
        <v>3969</v>
      </c>
      <c r="C2024" s="12">
        <v>1187371</v>
      </c>
      <c r="D2024" s="12">
        <v>1188018</v>
      </c>
      <c r="E2024" s="12" t="s">
        <v>3940</v>
      </c>
      <c r="F2024" s="12">
        <v>1</v>
      </c>
      <c r="H2024" s="12" t="s">
        <v>6374</v>
      </c>
      <c r="I2024" s="41" t="s">
        <v>6905</v>
      </c>
      <c r="M2024" s="41" t="e">
        <f>VLOOKUP(I2024,错误mRNA总表!D:I,6,FALSE)</f>
        <v>#N/A</v>
      </c>
    </row>
    <row r="2025" spans="1:13" x14ac:dyDescent="0.2">
      <c r="A2025" s="12" t="s">
        <v>4043</v>
      </c>
      <c r="B2025" s="12" t="s">
        <v>3969</v>
      </c>
      <c r="C2025" s="12">
        <v>1187371</v>
      </c>
      <c r="D2025" s="12">
        <v>1188554</v>
      </c>
      <c r="E2025" s="12" t="s">
        <v>3943</v>
      </c>
      <c r="F2025" s="12">
        <v>4</v>
      </c>
      <c r="H2025" s="12" t="s">
        <v>6374</v>
      </c>
      <c r="I2025" s="41" t="s">
        <v>6905</v>
      </c>
      <c r="M2025" s="41" t="e">
        <f>VLOOKUP(I2025,错误mRNA总表!D:I,6,FALSE)</f>
        <v>#N/A</v>
      </c>
    </row>
    <row r="2026" spans="1:13" x14ac:dyDescent="0.2">
      <c r="A2026" s="12" t="s">
        <v>4043</v>
      </c>
      <c r="B2026" s="12" t="s">
        <v>3969</v>
      </c>
      <c r="C2026" s="12">
        <v>1187371</v>
      </c>
      <c r="D2026" s="12">
        <v>1188626</v>
      </c>
      <c r="E2026" s="12" t="s">
        <v>3940</v>
      </c>
      <c r="F2026" s="12">
        <v>5</v>
      </c>
      <c r="H2026" s="12" t="s">
        <v>6374</v>
      </c>
      <c r="I2026" s="41" t="s">
        <v>6905</v>
      </c>
      <c r="M2026" s="41" t="e">
        <f>VLOOKUP(I2026,错误mRNA总表!D:I,6,FALSE)</f>
        <v>#N/A</v>
      </c>
    </row>
    <row r="2027" spans="1:13" x14ac:dyDescent="0.2">
      <c r="A2027" s="12" t="s">
        <v>5016</v>
      </c>
      <c r="B2027" s="12" t="s">
        <v>3957</v>
      </c>
      <c r="C2027" s="12">
        <v>112831969</v>
      </c>
      <c r="D2027" s="12">
        <v>112832308</v>
      </c>
      <c r="E2027" s="12" t="s">
        <v>3940</v>
      </c>
      <c r="F2027" s="12">
        <v>1</v>
      </c>
      <c r="G2027" s="41" t="s">
        <v>36</v>
      </c>
      <c r="H2027" s="12" t="s">
        <v>985</v>
      </c>
      <c r="I2027" s="41" t="s">
        <v>3365</v>
      </c>
      <c r="J2027" s="41" t="s">
        <v>3365</v>
      </c>
      <c r="K2027" s="41" t="str">
        <f>VLOOKUP(J2027,错误mRNA总表!D:J,7,FALSE)</f>
        <v>纠后正确</v>
      </c>
      <c r="L2027" s="41" t="s">
        <v>3763</v>
      </c>
      <c r="M2027" s="41">
        <f>VLOOKUP(I2027,错误mRNA总表!D:I,6,FALSE)</f>
        <v>0</v>
      </c>
    </row>
    <row r="2028" spans="1:13" x14ac:dyDescent="0.2">
      <c r="A2028" s="12" t="s">
        <v>5016</v>
      </c>
      <c r="B2028" s="12" t="s">
        <v>3957</v>
      </c>
      <c r="C2028" s="12">
        <v>112831969</v>
      </c>
      <c r="D2028" s="12">
        <v>112832339</v>
      </c>
      <c r="E2028" s="12" t="s">
        <v>3943</v>
      </c>
      <c r="F2028" s="12">
        <v>1</v>
      </c>
      <c r="G2028" s="41" t="s">
        <v>36</v>
      </c>
      <c r="H2028" s="12" t="s">
        <v>985</v>
      </c>
      <c r="I2028" s="41" t="s">
        <v>3365</v>
      </c>
      <c r="J2028" s="41" t="s">
        <v>3365</v>
      </c>
      <c r="K2028" s="41" t="str">
        <f>VLOOKUP(J2028,错误mRNA总表!D:J,7,FALSE)</f>
        <v>纠后正确</v>
      </c>
      <c r="L2028" s="41" t="s">
        <v>3763</v>
      </c>
      <c r="M2028" s="41">
        <f>VLOOKUP(I2028,错误mRNA总表!D:I,6,FALSE)</f>
        <v>0</v>
      </c>
    </row>
    <row r="2029" spans="1:13" x14ac:dyDescent="0.2">
      <c r="A2029" s="12" t="s">
        <v>5017</v>
      </c>
      <c r="B2029" s="12" t="s">
        <v>4023</v>
      </c>
      <c r="C2029" s="12">
        <v>954315</v>
      </c>
      <c r="D2029" s="12">
        <v>955234</v>
      </c>
      <c r="E2029" s="12" t="s">
        <v>3943</v>
      </c>
      <c r="F2029" s="12">
        <v>1</v>
      </c>
      <c r="H2029" s="12" t="s">
        <v>3642</v>
      </c>
      <c r="I2029" s="41" t="s">
        <v>7569</v>
      </c>
      <c r="M2029" s="41" t="e">
        <f>VLOOKUP(I2029,错误mRNA总表!D:I,6,FALSE)</f>
        <v>#N/A</v>
      </c>
    </row>
    <row r="2030" spans="1:13" x14ac:dyDescent="0.2">
      <c r="A2030" s="12" t="s">
        <v>5018</v>
      </c>
      <c r="B2030" s="12" t="s">
        <v>3999</v>
      </c>
      <c r="C2030" s="12">
        <v>489200</v>
      </c>
      <c r="D2030" s="12">
        <v>498976</v>
      </c>
      <c r="E2030" s="12" t="s">
        <v>3940</v>
      </c>
      <c r="F2030" s="12">
        <v>22</v>
      </c>
      <c r="H2030" s="12" t="s">
        <v>6108</v>
      </c>
      <c r="I2030" s="41" t="s">
        <v>7570</v>
      </c>
      <c r="M2030" s="41" t="e">
        <f>VLOOKUP(I2030,错误mRNA总表!D:I,6,FALSE)</f>
        <v>#N/A</v>
      </c>
    </row>
    <row r="2031" spans="1:13" x14ac:dyDescent="0.2">
      <c r="A2031" s="12" t="s">
        <v>5018</v>
      </c>
      <c r="B2031" s="12" t="s">
        <v>3999</v>
      </c>
      <c r="C2031" s="12">
        <v>489200</v>
      </c>
      <c r="D2031" s="12">
        <v>498988</v>
      </c>
      <c r="E2031" s="12" t="s">
        <v>3940</v>
      </c>
      <c r="F2031" s="12">
        <v>17</v>
      </c>
      <c r="H2031" s="12" t="s">
        <v>6108</v>
      </c>
      <c r="I2031" s="41" t="s">
        <v>7570</v>
      </c>
      <c r="M2031" s="41" t="e">
        <f>VLOOKUP(I2031,错误mRNA总表!D:I,6,FALSE)</f>
        <v>#N/A</v>
      </c>
    </row>
    <row r="2032" spans="1:13" x14ac:dyDescent="0.2">
      <c r="A2032" s="12" t="s">
        <v>5018</v>
      </c>
      <c r="B2032" s="12" t="s">
        <v>3999</v>
      </c>
      <c r="C2032" s="12">
        <v>489200</v>
      </c>
      <c r="D2032" s="12">
        <v>499165</v>
      </c>
      <c r="E2032" s="12" t="s">
        <v>3940</v>
      </c>
      <c r="F2032" s="12">
        <v>148</v>
      </c>
      <c r="H2032" s="12" t="s">
        <v>6108</v>
      </c>
      <c r="I2032" s="41" t="s">
        <v>7570</v>
      </c>
      <c r="M2032" s="41" t="e">
        <f>VLOOKUP(I2032,错误mRNA总表!D:I,6,FALSE)</f>
        <v>#N/A</v>
      </c>
    </row>
    <row r="2033" spans="1:13" x14ac:dyDescent="0.2">
      <c r="A2033" s="12" t="s">
        <v>5018</v>
      </c>
      <c r="B2033" s="12" t="s">
        <v>3999</v>
      </c>
      <c r="C2033" s="12">
        <v>489200</v>
      </c>
      <c r="D2033" s="12">
        <v>499153</v>
      </c>
      <c r="E2033" s="12" t="s">
        <v>3943</v>
      </c>
      <c r="F2033" s="12">
        <v>2</v>
      </c>
      <c r="H2033" s="12" t="s">
        <v>6108</v>
      </c>
      <c r="I2033" s="41" t="s">
        <v>7570</v>
      </c>
      <c r="M2033" s="41" t="e">
        <f>VLOOKUP(I2033,错误mRNA总表!D:I,6,FALSE)</f>
        <v>#N/A</v>
      </c>
    </row>
    <row r="2034" spans="1:13" x14ac:dyDescent="0.2">
      <c r="A2034" s="12" t="s">
        <v>5018</v>
      </c>
      <c r="B2034" s="12" t="s">
        <v>3999</v>
      </c>
      <c r="C2034" s="12">
        <v>489200</v>
      </c>
      <c r="D2034" s="12">
        <v>499352</v>
      </c>
      <c r="E2034" s="12" t="s">
        <v>3940</v>
      </c>
      <c r="F2034" s="12">
        <v>1</v>
      </c>
      <c r="H2034" s="12" t="s">
        <v>6108</v>
      </c>
      <c r="I2034" s="41" t="s">
        <v>7570</v>
      </c>
      <c r="M2034" s="41" t="e">
        <f>VLOOKUP(I2034,错误mRNA总表!D:I,6,FALSE)</f>
        <v>#N/A</v>
      </c>
    </row>
    <row r="2035" spans="1:13" x14ac:dyDescent="0.2">
      <c r="A2035" s="12" t="s">
        <v>5018</v>
      </c>
      <c r="B2035" s="12" t="s">
        <v>3999</v>
      </c>
      <c r="C2035" s="12">
        <v>489200</v>
      </c>
      <c r="D2035" s="12">
        <v>499365</v>
      </c>
      <c r="E2035" s="12" t="s">
        <v>3940</v>
      </c>
      <c r="F2035" s="12">
        <v>1</v>
      </c>
      <c r="H2035" s="12" t="s">
        <v>6108</v>
      </c>
      <c r="I2035" s="41" t="s">
        <v>7570</v>
      </c>
      <c r="M2035" s="41" t="e">
        <f>VLOOKUP(I2035,错误mRNA总表!D:I,6,FALSE)</f>
        <v>#N/A</v>
      </c>
    </row>
    <row r="2036" spans="1:13" x14ac:dyDescent="0.2">
      <c r="A2036" s="12" t="s">
        <v>4294</v>
      </c>
      <c r="B2036" s="12" t="s">
        <v>3996</v>
      </c>
      <c r="C2036" s="12">
        <v>1143559</v>
      </c>
      <c r="D2036" s="12">
        <v>1158907</v>
      </c>
      <c r="E2036" s="12" t="s">
        <v>3943</v>
      </c>
      <c r="F2036" s="12">
        <v>8</v>
      </c>
      <c r="H2036" s="12" t="s">
        <v>3525</v>
      </c>
      <c r="I2036" s="41" t="s">
        <v>7571</v>
      </c>
      <c r="M2036" s="41" t="e">
        <f>VLOOKUP(I2036,错误mRNA总表!D:I,6,FALSE)</f>
        <v>#N/A</v>
      </c>
    </row>
    <row r="2037" spans="1:13" x14ac:dyDescent="0.2">
      <c r="A2037" s="12" t="s">
        <v>5019</v>
      </c>
      <c r="B2037" s="12" t="s">
        <v>3978</v>
      </c>
      <c r="C2037" s="12">
        <v>44754135</v>
      </c>
      <c r="D2037" s="12">
        <v>44765016</v>
      </c>
      <c r="E2037" s="12" t="s">
        <v>3940</v>
      </c>
      <c r="F2037" s="12">
        <v>1</v>
      </c>
      <c r="G2037" s="41" t="s">
        <v>86</v>
      </c>
      <c r="H2037" s="12" t="s">
        <v>6109</v>
      </c>
      <c r="I2037" s="41" t="s">
        <v>7572</v>
      </c>
      <c r="M2037" s="41" t="e">
        <f>VLOOKUP(I2037,错误mRNA总表!D:I,6,FALSE)</f>
        <v>#N/A</v>
      </c>
    </row>
    <row r="2038" spans="1:13" x14ac:dyDescent="0.2">
      <c r="A2038" s="12" t="s">
        <v>4430</v>
      </c>
      <c r="B2038" s="12" t="s">
        <v>3986</v>
      </c>
      <c r="C2038" s="12">
        <v>54695065</v>
      </c>
      <c r="D2038" s="12">
        <v>54698196</v>
      </c>
      <c r="E2038" s="12" t="s">
        <v>3943</v>
      </c>
      <c r="F2038" s="12">
        <v>3</v>
      </c>
      <c r="G2038" s="41" t="s">
        <v>50</v>
      </c>
      <c r="H2038" s="12" t="s">
        <v>3651</v>
      </c>
      <c r="I2038" s="41" t="s">
        <v>7573</v>
      </c>
      <c r="M2038" s="41" t="e">
        <f>VLOOKUP(I2038,错误mRNA总表!D:I,6,FALSE)</f>
        <v>#N/A</v>
      </c>
    </row>
    <row r="2039" spans="1:13" x14ac:dyDescent="0.2">
      <c r="A2039" s="12" t="s">
        <v>5020</v>
      </c>
      <c r="B2039" s="12" t="s">
        <v>3957</v>
      </c>
      <c r="C2039" s="12">
        <v>46638826</v>
      </c>
      <c r="D2039" s="12">
        <v>46694313</v>
      </c>
      <c r="E2039" s="12" t="s">
        <v>3943</v>
      </c>
      <c r="F2039" s="12">
        <v>2</v>
      </c>
      <c r="G2039" s="41" t="s">
        <v>36</v>
      </c>
      <c r="H2039" s="12" t="s">
        <v>6110</v>
      </c>
      <c r="I2039" s="41" t="s">
        <v>7574</v>
      </c>
      <c r="M2039" s="41" t="e">
        <f>VLOOKUP(I2039,错误mRNA总表!D:I,6,FALSE)</f>
        <v>#N/A</v>
      </c>
    </row>
    <row r="2040" spans="1:13" x14ac:dyDescent="0.2">
      <c r="A2040" s="12" t="s">
        <v>5021</v>
      </c>
      <c r="B2040" s="12" t="s">
        <v>4030</v>
      </c>
      <c r="C2040" s="12">
        <v>104394817</v>
      </c>
      <c r="D2040" s="12">
        <v>104518835</v>
      </c>
      <c r="E2040" s="12" t="s">
        <v>3943</v>
      </c>
      <c r="F2040" s="12">
        <v>1</v>
      </c>
      <c r="G2040" s="41" t="s">
        <v>81</v>
      </c>
      <c r="H2040" s="12" t="s">
        <v>6437</v>
      </c>
      <c r="I2040" s="41" t="s">
        <v>7575</v>
      </c>
      <c r="M2040" s="41" t="e">
        <f>VLOOKUP(I2040,错误mRNA总表!D:I,6,FALSE)</f>
        <v>#N/A</v>
      </c>
    </row>
    <row r="2041" spans="1:13" x14ac:dyDescent="0.2">
      <c r="A2041" s="12" t="s">
        <v>5022</v>
      </c>
      <c r="B2041" s="12" t="s">
        <v>4055</v>
      </c>
      <c r="C2041" s="12">
        <v>9980077</v>
      </c>
      <c r="D2041" s="12">
        <v>9994449</v>
      </c>
      <c r="E2041" s="12" t="s">
        <v>3943</v>
      </c>
      <c r="F2041" s="12">
        <v>3</v>
      </c>
      <c r="G2041" s="41" t="s">
        <v>212</v>
      </c>
      <c r="H2041" s="12" t="s">
        <v>6111</v>
      </c>
      <c r="I2041" s="41" t="s">
        <v>7576</v>
      </c>
      <c r="M2041" s="41" t="e">
        <f>VLOOKUP(I2041,错误mRNA总表!D:I,6,FALSE)</f>
        <v>#N/A</v>
      </c>
    </row>
    <row r="2042" spans="1:13" x14ac:dyDescent="0.2">
      <c r="A2042" s="12" t="s">
        <v>5023</v>
      </c>
      <c r="B2042" s="12" t="s">
        <v>3957</v>
      </c>
      <c r="C2042" s="12">
        <v>112831969</v>
      </c>
      <c r="D2042" s="12">
        <v>112832308</v>
      </c>
      <c r="E2042" s="12" t="s">
        <v>3940</v>
      </c>
      <c r="F2042" s="12">
        <v>1</v>
      </c>
      <c r="G2042" s="41" t="s">
        <v>36</v>
      </c>
      <c r="H2042" s="12" t="s">
        <v>984</v>
      </c>
      <c r="I2042" s="41" t="s">
        <v>3364</v>
      </c>
      <c r="J2042" s="41" t="s">
        <v>3364</v>
      </c>
      <c r="K2042" s="41" t="str">
        <f>VLOOKUP(J2042,错误mRNA总表!D:J,7,FALSE)</f>
        <v>纠后正确</v>
      </c>
      <c r="L2042" s="41" t="s">
        <v>3763</v>
      </c>
      <c r="M2042" s="41">
        <f>VLOOKUP(I2042,错误mRNA总表!D:I,6,FALSE)</f>
        <v>0</v>
      </c>
    </row>
    <row r="2043" spans="1:13" x14ac:dyDescent="0.2">
      <c r="A2043" s="12" t="s">
        <v>5023</v>
      </c>
      <c r="B2043" s="12" t="s">
        <v>3957</v>
      </c>
      <c r="C2043" s="12">
        <v>112831969</v>
      </c>
      <c r="D2043" s="12">
        <v>112832339</v>
      </c>
      <c r="E2043" s="12" t="s">
        <v>3943</v>
      </c>
      <c r="F2043" s="12">
        <v>1</v>
      </c>
      <c r="G2043" s="41" t="s">
        <v>36</v>
      </c>
      <c r="H2043" s="12" t="s">
        <v>984</v>
      </c>
      <c r="I2043" s="41" t="s">
        <v>3364</v>
      </c>
      <c r="J2043" s="41" t="s">
        <v>3364</v>
      </c>
      <c r="K2043" s="41" t="str">
        <f>VLOOKUP(J2043,错误mRNA总表!D:J,7,FALSE)</f>
        <v>纠后正确</v>
      </c>
      <c r="L2043" s="41" t="s">
        <v>3763</v>
      </c>
      <c r="M2043" s="41">
        <f>VLOOKUP(I2043,错误mRNA总表!D:I,6,FALSE)</f>
        <v>0</v>
      </c>
    </row>
    <row r="2044" spans="1:13" x14ac:dyDescent="0.2">
      <c r="A2044" s="12" t="s">
        <v>5024</v>
      </c>
      <c r="B2044" s="12" t="s">
        <v>4354</v>
      </c>
      <c r="C2044" s="12">
        <v>16012</v>
      </c>
      <c r="D2044" s="12">
        <v>16016</v>
      </c>
      <c r="E2044" s="12" t="s">
        <v>3943</v>
      </c>
      <c r="F2044" s="12">
        <v>1</v>
      </c>
      <c r="H2044" s="12" t="s">
        <v>3440</v>
      </c>
      <c r="I2044" s="41" t="s">
        <v>7433</v>
      </c>
      <c r="M2044" s="41" t="e">
        <f>VLOOKUP(I2044,错误mRNA总表!D:I,6,FALSE)</f>
        <v>#N/A</v>
      </c>
    </row>
    <row r="2045" spans="1:13" x14ac:dyDescent="0.2">
      <c r="A2045" s="12" t="s">
        <v>5025</v>
      </c>
      <c r="B2045" s="12" t="s">
        <v>4035</v>
      </c>
      <c r="C2045" s="12">
        <v>20532810</v>
      </c>
      <c r="D2045" s="12">
        <v>20664046</v>
      </c>
      <c r="E2045" s="12" t="s">
        <v>3940</v>
      </c>
      <c r="F2045" s="12">
        <v>1</v>
      </c>
      <c r="G2045" s="41" t="s">
        <v>106</v>
      </c>
      <c r="H2045" s="12" t="s">
        <v>6581</v>
      </c>
      <c r="I2045" s="41" t="s">
        <v>7577</v>
      </c>
      <c r="M2045" s="41" t="e">
        <f>VLOOKUP(I2045,错误mRNA总表!D:I,6,FALSE)</f>
        <v>#N/A</v>
      </c>
    </row>
    <row r="2046" spans="1:13" x14ac:dyDescent="0.2">
      <c r="A2046" s="12" t="s">
        <v>5026</v>
      </c>
      <c r="B2046" s="12" t="s">
        <v>4066</v>
      </c>
      <c r="C2046" s="12">
        <v>6422526</v>
      </c>
      <c r="D2046" s="12">
        <v>6422728</v>
      </c>
      <c r="E2046" s="12" t="s">
        <v>3943</v>
      </c>
      <c r="F2046" s="12">
        <v>3</v>
      </c>
      <c r="H2046" s="12" t="s">
        <v>6112</v>
      </c>
      <c r="I2046" s="41" t="s">
        <v>7578</v>
      </c>
      <c r="M2046" s="41" t="e">
        <f>VLOOKUP(I2046,错误mRNA总表!D:I,6,FALSE)</f>
        <v>#N/A</v>
      </c>
    </row>
    <row r="2047" spans="1:13" x14ac:dyDescent="0.2">
      <c r="A2047" s="12" t="s">
        <v>4418</v>
      </c>
      <c r="B2047" s="12" t="s">
        <v>3964</v>
      </c>
      <c r="C2047" s="12">
        <v>2233818</v>
      </c>
      <c r="D2047" s="12">
        <v>2252155</v>
      </c>
      <c r="E2047" s="12" t="s">
        <v>3943</v>
      </c>
      <c r="F2047" s="12">
        <v>1</v>
      </c>
      <c r="H2047" s="12" t="s">
        <v>3420</v>
      </c>
      <c r="I2047" s="41" t="s">
        <v>7579</v>
      </c>
      <c r="M2047" s="41" t="e">
        <f>VLOOKUP(I2047,错误mRNA总表!D:I,6,FALSE)</f>
        <v>#N/A</v>
      </c>
    </row>
    <row r="2048" spans="1:13" x14ac:dyDescent="0.2">
      <c r="A2048" s="12" t="s">
        <v>4418</v>
      </c>
      <c r="B2048" s="12" t="s">
        <v>3964</v>
      </c>
      <c r="C2048" s="12">
        <v>2233818</v>
      </c>
      <c r="D2048" s="12">
        <v>2252167</v>
      </c>
      <c r="E2048" s="12" t="s">
        <v>3940</v>
      </c>
      <c r="F2048" s="12">
        <v>1</v>
      </c>
      <c r="H2048" s="12" t="s">
        <v>3420</v>
      </c>
      <c r="I2048" s="41" t="s">
        <v>7579</v>
      </c>
      <c r="M2048" s="41" t="e">
        <f>VLOOKUP(I2048,错误mRNA总表!D:I,6,FALSE)</f>
        <v>#N/A</v>
      </c>
    </row>
    <row r="2049" spans="1:13" x14ac:dyDescent="0.2">
      <c r="A2049" s="12" t="s">
        <v>4418</v>
      </c>
      <c r="B2049" s="12" t="s">
        <v>3964</v>
      </c>
      <c r="C2049" s="12">
        <v>2233818</v>
      </c>
      <c r="D2049" s="12">
        <v>2252171</v>
      </c>
      <c r="E2049" s="12" t="s">
        <v>3943</v>
      </c>
      <c r="F2049" s="12">
        <v>1</v>
      </c>
      <c r="H2049" s="12" t="s">
        <v>3420</v>
      </c>
      <c r="I2049" s="41" t="s">
        <v>7579</v>
      </c>
      <c r="M2049" s="41" t="e">
        <f>VLOOKUP(I2049,错误mRNA总表!D:I,6,FALSE)</f>
        <v>#N/A</v>
      </c>
    </row>
    <row r="2050" spans="1:13" x14ac:dyDescent="0.2">
      <c r="A2050" s="12" t="s">
        <v>4418</v>
      </c>
      <c r="B2050" s="12" t="s">
        <v>3964</v>
      </c>
      <c r="C2050" s="12">
        <v>2233818</v>
      </c>
      <c r="D2050" s="12">
        <v>2254632</v>
      </c>
      <c r="E2050" s="12" t="s">
        <v>3943</v>
      </c>
      <c r="F2050" s="12">
        <v>1</v>
      </c>
      <c r="H2050" s="12" t="s">
        <v>3420</v>
      </c>
      <c r="I2050" s="41" t="s">
        <v>7579</v>
      </c>
      <c r="M2050" s="41" t="e">
        <f>VLOOKUP(I2050,错误mRNA总表!D:I,6,FALSE)</f>
        <v>#N/A</v>
      </c>
    </row>
    <row r="2051" spans="1:13" x14ac:dyDescent="0.2">
      <c r="A2051" s="12" t="s">
        <v>4418</v>
      </c>
      <c r="B2051" s="12" t="s">
        <v>3964</v>
      </c>
      <c r="C2051" s="12">
        <v>2233818</v>
      </c>
      <c r="D2051" s="12">
        <v>2254639</v>
      </c>
      <c r="E2051" s="12" t="s">
        <v>3943</v>
      </c>
      <c r="F2051" s="12">
        <v>1</v>
      </c>
      <c r="H2051" s="12" t="s">
        <v>3420</v>
      </c>
      <c r="I2051" s="41" t="s">
        <v>7579</v>
      </c>
      <c r="M2051" s="41" t="e">
        <f>VLOOKUP(I2051,错误mRNA总表!D:I,6,FALSE)</f>
        <v>#N/A</v>
      </c>
    </row>
    <row r="2052" spans="1:13" x14ac:dyDescent="0.2">
      <c r="A2052" s="12" t="s">
        <v>4418</v>
      </c>
      <c r="B2052" s="12" t="s">
        <v>3964</v>
      </c>
      <c r="C2052" s="12">
        <v>2233818</v>
      </c>
      <c r="D2052" s="12">
        <v>2254645</v>
      </c>
      <c r="E2052" s="12" t="s">
        <v>3943</v>
      </c>
      <c r="F2052" s="12">
        <v>1</v>
      </c>
      <c r="H2052" s="12" t="s">
        <v>3420</v>
      </c>
      <c r="I2052" s="41" t="s">
        <v>7579</v>
      </c>
      <c r="M2052" s="41" t="e">
        <f>VLOOKUP(I2052,错误mRNA总表!D:I,6,FALSE)</f>
        <v>#N/A</v>
      </c>
    </row>
    <row r="2053" spans="1:13" x14ac:dyDescent="0.2">
      <c r="A2053" s="12" t="s">
        <v>5027</v>
      </c>
      <c r="B2053" s="12" t="s">
        <v>3964</v>
      </c>
      <c r="C2053" s="12">
        <v>2234272</v>
      </c>
      <c r="D2053" s="12">
        <v>2252155</v>
      </c>
      <c r="E2053" s="12" t="s">
        <v>3943</v>
      </c>
      <c r="F2053" s="12">
        <v>1</v>
      </c>
      <c r="H2053" s="12" t="s">
        <v>6113</v>
      </c>
      <c r="I2053" s="41" t="s">
        <v>7580</v>
      </c>
      <c r="M2053" s="41" t="e">
        <f>VLOOKUP(I2053,错误mRNA总表!D:I,6,FALSE)</f>
        <v>#N/A</v>
      </c>
    </row>
    <row r="2054" spans="1:13" x14ac:dyDescent="0.2">
      <c r="A2054" s="12" t="s">
        <v>5027</v>
      </c>
      <c r="B2054" s="12" t="s">
        <v>3964</v>
      </c>
      <c r="C2054" s="12">
        <v>2234272</v>
      </c>
      <c r="D2054" s="12">
        <v>2252167</v>
      </c>
      <c r="E2054" s="12" t="s">
        <v>3940</v>
      </c>
      <c r="F2054" s="12">
        <v>1</v>
      </c>
      <c r="H2054" s="12" t="s">
        <v>6113</v>
      </c>
      <c r="I2054" s="41" t="s">
        <v>7580</v>
      </c>
      <c r="M2054" s="41" t="e">
        <f>VLOOKUP(I2054,错误mRNA总表!D:I,6,FALSE)</f>
        <v>#N/A</v>
      </c>
    </row>
    <row r="2055" spans="1:13" x14ac:dyDescent="0.2">
      <c r="A2055" s="12" t="s">
        <v>5027</v>
      </c>
      <c r="B2055" s="12" t="s">
        <v>3964</v>
      </c>
      <c r="C2055" s="12">
        <v>2234272</v>
      </c>
      <c r="D2055" s="12">
        <v>2252171</v>
      </c>
      <c r="E2055" s="12" t="s">
        <v>3943</v>
      </c>
      <c r="F2055" s="12">
        <v>1</v>
      </c>
      <c r="H2055" s="12" t="s">
        <v>6113</v>
      </c>
      <c r="I2055" s="41" t="s">
        <v>7580</v>
      </c>
      <c r="M2055" s="41" t="e">
        <f>VLOOKUP(I2055,错误mRNA总表!D:I,6,FALSE)</f>
        <v>#N/A</v>
      </c>
    </row>
    <row r="2056" spans="1:13" x14ac:dyDescent="0.2">
      <c r="A2056" s="12" t="s">
        <v>5027</v>
      </c>
      <c r="B2056" s="12" t="s">
        <v>3964</v>
      </c>
      <c r="C2056" s="12">
        <v>2234272</v>
      </c>
      <c r="D2056" s="12">
        <v>2254632</v>
      </c>
      <c r="E2056" s="12" t="s">
        <v>3943</v>
      </c>
      <c r="F2056" s="12">
        <v>1</v>
      </c>
      <c r="H2056" s="12" t="s">
        <v>6113</v>
      </c>
      <c r="I2056" s="41" t="s">
        <v>7580</v>
      </c>
      <c r="M2056" s="41" t="e">
        <f>VLOOKUP(I2056,错误mRNA总表!D:I,6,FALSE)</f>
        <v>#N/A</v>
      </c>
    </row>
    <row r="2057" spans="1:13" x14ac:dyDescent="0.2">
      <c r="A2057" s="12" t="s">
        <v>5027</v>
      </c>
      <c r="B2057" s="12" t="s">
        <v>3964</v>
      </c>
      <c r="C2057" s="12">
        <v>2234272</v>
      </c>
      <c r="D2057" s="12">
        <v>2254639</v>
      </c>
      <c r="E2057" s="12" t="s">
        <v>3943</v>
      </c>
      <c r="F2057" s="12">
        <v>1</v>
      </c>
      <c r="H2057" s="12" t="s">
        <v>6113</v>
      </c>
      <c r="I2057" s="41" t="s">
        <v>7580</v>
      </c>
      <c r="M2057" s="41" t="e">
        <f>VLOOKUP(I2057,错误mRNA总表!D:I,6,FALSE)</f>
        <v>#N/A</v>
      </c>
    </row>
    <row r="2058" spans="1:13" x14ac:dyDescent="0.2">
      <c r="A2058" s="12" t="s">
        <v>5027</v>
      </c>
      <c r="B2058" s="12" t="s">
        <v>3964</v>
      </c>
      <c r="C2058" s="12">
        <v>2234272</v>
      </c>
      <c r="D2058" s="12">
        <v>2254645</v>
      </c>
      <c r="E2058" s="12" t="s">
        <v>3943</v>
      </c>
      <c r="F2058" s="12">
        <v>1</v>
      </c>
      <c r="H2058" s="12" t="s">
        <v>6113</v>
      </c>
      <c r="I2058" s="41" t="s">
        <v>7580</v>
      </c>
      <c r="M2058" s="41" t="e">
        <f>VLOOKUP(I2058,错误mRNA总表!D:I,6,FALSE)</f>
        <v>#N/A</v>
      </c>
    </row>
    <row r="2059" spans="1:13" x14ac:dyDescent="0.2">
      <c r="A2059" s="12" t="s">
        <v>5028</v>
      </c>
      <c r="B2059" s="12" t="s">
        <v>3957</v>
      </c>
      <c r="C2059" s="12">
        <v>67777775</v>
      </c>
      <c r="D2059" s="12">
        <v>67786065</v>
      </c>
      <c r="E2059" s="12" t="s">
        <v>3940</v>
      </c>
      <c r="F2059" s="12">
        <v>1</v>
      </c>
      <c r="G2059" s="41" t="s">
        <v>36</v>
      </c>
      <c r="H2059" s="12" t="s">
        <v>959</v>
      </c>
      <c r="I2059" s="41" t="s">
        <v>7581</v>
      </c>
      <c r="J2059" s="41" t="s">
        <v>2268</v>
      </c>
      <c r="K2059" s="41" t="str">
        <f>VLOOKUP(J2059,错误mRNA总表!D:J,7,FALSE)</f>
        <v>纠后正确</v>
      </c>
      <c r="M2059" s="41" t="e">
        <f>VLOOKUP(I2059,错误mRNA总表!D:I,6,FALSE)</f>
        <v>#N/A</v>
      </c>
    </row>
    <row r="2060" spans="1:13" x14ac:dyDescent="0.2">
      <c r="A2060" s="12" t="s">
        <v>5028</v>
      </c>
      <c r="B2060" s="12" t="s">
        <v>3957</v>
      </c>
      <c r="C2060" s="12">
        <v>67777775</v>
      </c>
      <c r="D2060" s="12">
        <v>67789294</v>
      </c>
      <c r="E2060" s="12" t="s">
        <v>3940</v>
      </c>
      <c r="F2060" s="12">
        <v>1</v>
      </c>
      <c r="G2060" s="41" t="s">
        <v>36</v>
      </c>
      <c r="H2060" s="12" t="s">
        <v>959</v>
      </c>
      <c r="I2060" s="41" t="s">
        <v>7581</v>
      </c>
      <c r="J2060" s="41" t="s">
        <v>2268</v>
      </c>
      <c r="K2060" s="41" t="str">
        <f>VLOOKUP(J2060,错误mRNA总表!D:J,7,FALSE)</f>
        <v>纠后正确</v>
      </c>
      <c r="M2060" s="41" t="e">
        <f>VLOOKUP(I2060,错误mRNA总表!D:I,6,FALSE)</f>
        <v>#N/A</v>
      </c>
    </row>
    <row r="2061" spans="1:13" x14ac:dyDescent="0.2">
      <c r="A2061" s="12" t="s">
        <v>5028</v>
      </c>
      <c r="B2061" s="12" t="s">
        <v>3957</v>
      </c>
      <c r="C2061" s="12">
        <v>67777775</v>
      </c>
      <c r="D2061" s="12">
        <v>67795380</v>
      </c>
      <c r="E2061" s="12" t="s">
        <v>3940</v>
      </c>
      <c r="F2061" s="12">
        <v>1</v>
      </c>
      <c r="G2061" s="41" t="s">
        <v>36</v>
      </c>
      <c r="H2061" s="12" t="s">
        <v>959</v>
      </c>
      <c r="I2061" s="41" t="s">
        <v>7581</v>
      </c>
      <c r="J2061" s="41" t="s">
        <v>2268</v>
      </c>
      <c r="K2061" s="41" t="str">
        <f>VLOOKUP(J2061,错误mRNA总表!D:J,7,FALSE)</f>
        <v>纠后正确</v>
      </c>
      <c r="M2061" s="41" t="e">
        <f>VLOOKUP(I2061,错误mRNA总表!D:I,6,FALSE)</f>
        <v>#N/A</v>
      </c>
    </row>
    <row r="2062" spans="1:13" x14ac:dyDescent="0.2">
      <c r="A2062" s="12" t="s">
        <v>4232</v>
      </c>
      <c r="B2062" s="12" t="s">
        <v>4001</v>
      </c>
      <c r="C2062" s="12">
        <v>3477358</v>
      </c>
      <c r="D2062" s="12">
        <v>3486917</v>
      </c>
      <c r="E2062" s="12" t="s">
        <v>3940</v>
      </c>
      <c r="F2062" s="12">
        <v>1</v>
      </c>
      <c r="H2062" s="12" t="s">
        <v>5836</v>
      </c>
      <c r="I2062" s="41" t="s">
        <v>7582</v>
      </c>
      <c r="M2062" s="41" t="e">
        <f>VLOOKUP(I2062,错误mRNA总表!D:I,6,FALSE)</f>
        <v>#N/A</v>
      </c>
    </row>
    <row r="2063" spans="1:13" x14ac:dyDescent="0.2">
      <c r="A2063" s="12" t="s">
        <v>5029</v>
      </c>
      <c r="B2063" s="12" t="s">
        <v>3948</v>
      </c>
      <c r="C2063" s="12">
        <v>100472701</v>
      </c>
      <c r="D2063" s="12">
        <v>100472933</v>
      </c>
      <c r="E2063" s="12" t="s">
        <v>3940</v>
      </c>
      <c r="F2063" s="12">
        <v>1</v>
      </c>
      <c r="G2063" s="41" t="s">
        <v>40</v>
      </c>
      <c r="H2063" s="12" t="s">
        <v>6607</v>
      </c>
      <c r="I2063" s="41" t="s">
        <v>7583</v>
      </c>
      <c r="M2063" s="41" t="e">
        <f>VLOOKUP(I2063,错误mRNA总表!D:I,6,FALSE)</f>
        <v>#N/A</v>
      </c>
    </row>
    <row r="2064" spans="1:13" x14ac:dyDescent="0.2">
      <c r="A2064" s="12" t="s">
        <v>5030</v>
      </c>
      <c r="B2064" s="12" t="s">
        <v>4339</v>
      </c>
      <c r="C2064" s="12">
        <v>11622</v>
      </c>
      <c r="D2064" s="12">
        <v>11631</v>
      </c>
      <c r="E2064" s="12" t="s">
        <v>3943</v>
      </c>
      <c r="F2064" s="12">
        <v>7</v>
      </c>
      <c r="H2064" s="12" t="s">
        <v>3621</v>
      </c>
      <c r="I2064" s="41" t="s">
        <v>6930</v>
      </c>
      <c r="M2064" s="41" t="e">
        <f>VLOOKUP(I2064,错误mRNA总表!D:I,6,FALSE)</f>
        <v>#N/A</v>
      </c>
    </row>
    <row r="2065" spans="1:13" x14ac:dyDescent="0.2">
      <c r="A2065" s="12" t="s">
        <v>5030</v>
      </c>
      <c r="B2065" s="12" t="s">
        <v>4339</v>
      </c>
      <c r="C2065" s="12">
        <v>11622</v>
      </c>
      <c r="D2065" s="12">
        <v>11649</v>
      </c>
      <c r="E2065" s="12" t="s">
        <v>3943</v>
      </c>
      <c r="F2065" s="12">
        <v>6</v>
      </c>
      <c r="H2065" s="12" t="s">
        <v>3621</v>
      </c>
      <c r="I2065" s="41" t="s">
        <v>6930</v>
      </c>
      <c r="M2065" s="41" t="e">
        <f>VLOOKUP(I2065,错误mRNA总表!D:I,6,FALSE)</f>
        <v>#N/A</v>
      </c>
    </row>
    <row r="2066" spans="1:13" x14ac:dyDescent="0.2">
      <c r="A2066" s="12" t="s">
        <v>4202</v>
      </c>
      <c r="B2066" s="12" t="s">
        <v>4089</v>
      </c>
      <c r="C2066" s="12">
        <v>165232</v>
      </c>
      <c r="D2066" s="12">
        <v>169309</v>
      </c>
      <c r="E2066" s="12" t="s">
        <v>3943</v>
      </c>
      <c r="F2066" s="12">
        <v>3</v>
      </c>
      <c r="H2066" s="12" t="s">
        <v>5827</v>
      </c>
      <c r="I2066" s="41" t="s">
        <v>6807</v>
      </c>
      <c r="M2066" s="41" t="e">
        <f>VLOOKUP(I2066,错误mRNA总表!D:I,6,FALSE)</f>
        <v>#N/A</v>
      </c>
    </row>
    <row r="2067" spans="1:13" x14ac:dyDescent="0.2">
      <c r="A2067" s="12" t="s">
        <v>5031</v>
      </c>
      <c r="B2067" s="12" t="s">
        <v>4149</v>
      </c>
      <c r="C2067" s="12">
        <v>490392</v>
      </c>
      <c r="D2067" s="12">
        <v>493217</v>
      </c>
      <c r="E2067" s="12" t="s">
        <v>3940</v>
      </c>
      <c r="F2067" s="12">
        <v>3</v>
      </c>
      <c r="H2067" s="12" t="s">
        <v>3674</v>
      </c>
      <c r="I2067" s="41" t="s">
        <v>7584</v>
      </c>
      <c r="M2067" s="41" t="e">
        <f>VLOOKUP(I2067,错误mRNA总表!D:I,6,FALSE)</f>
        <v>#N/A</v>
      </c>
    </row>
    <row r="2068" spans="1:13" x14ac:dyDescent="0.2">
      <c r="A2068" s="12" t="s">
        <v>5032</v>
      </c>
      <c r="B2068" s="12" t="s">
        <v>4052</v>
      </c>
      <c r="C2068" s="12">
        <v>7601232</v>
      </c>
      <c r="D2068" s="12">
        <v>7605077</v>
      </c>
      <c r="E2068" s="12" t="s">
        <v>3943</v>
      </c>
      <c r="F2068" s="12">
        <v>1</v>
      </c>
      <c r="G2068" s="41" t="s">
        <v>93</v>
      </c>
      <c r="H2068" s="12" t="s">
        <v>92</v>
      </c>
      <c r="I2068" s="41" t="s">
        <v>2102</v>
      </c>
      <c r="J2068" s="41" t="s">
        <v>2102</v>
      </c>
      <c r="K2068" s="41" t="str">
        <f>VLOOKUP(J2068,错误mRNA总表!D:J,7,FALSE)</f>
        <v>纠后正确</v>
      </c>
      <c r="L2068" s="41" t="s">
        <v>3763</v>
      </c>
      <c r="M2068" s="41">
        <f>VLOOKUP(I2068,错误mRNA总表!D:I,6,FALSE)</f>
        <v>0</v>
      </c>
    </row>
    <row r="2069" spans="1:13" x14ac:dyDescent="0.2">
      <c r="A2069" s="12" t="s">
        <v>5033</v>
      </c>
      <c r="B2069" s="12" t="s">
        <v>3973</v>
      </c>
      <c r="C2069" s="12">
        <v>156338980</v>
      </c>
      <c r="D2069" s="12">
        <v>156354354</v>
      </c>
      <c r="E2069" s="12" t="s">
        <v>3943</v>
      </c>
      <c r="F2069" s="12">
        <v>1</v>
      </c>
      <c r="G2069" s="41" t="s">
        <v>139</v>
      </c>
      <c r="H2069" s="12" t="s">
        <v>6114</v>
      </c>
      <c r="I2069" s="41" t="s">
        <v>7585</v>
      </c>
      <c r="M2069" s="41" t="e">
        <f>VLOOKUP(I2069,错误mRNA总表!D:I,6,FALSE)</f>
        <v>#N/A</v>
      </c>
    </row>
    <row r="2070" spans="1:13" x14ac:dyDescent="0.2">
      <c r="A2070" s="12" t="s">
        <v>5034</v>
      </c>
      <c r="B2070" s="12" t="s">
        <v>4658</v>
      </c>
      <c r="C2070" s="12">
        <v>124484</v>
      </c>
      <c r="D2070" s="12">
        <v>124892</v>
      </c>
      <c r="E2070" s="12" t="s">
        <v>3940</v>
      </c>
      <c r="F2070" s="12">
        <v>28</v>
      </c>
      <c r="H2070" s="12" t="s">
        <v>3609</v>
      </c>
      <c r="I2070" s="41" t="s">
        <v>7586</v>
      </c>
      <c r="M2070" s="41" t="e">
        <f>VLOOKUP(I2070,错误mRNA总表!D:I,6,FALSE)</f>
        <v>#N/A</v>
      </c>
    </row>
    <row r="2071" spans="1:13" x14ac:dyDescent="0.2">
      <c r="A2071" s="12" t="s">
        <v>5034</v>
      </c>
      <c r="B2071" s="12" t="s">
        <v>4658</v>
      </c>
      <c r="C2071" s="12">
        <v>124484</v>
      </c>
      <c r="D2071" s="12">
        <v>128049</v>
      </c>
      <c r="E2071" s="12" t="s">
        <v>3940</v>
      </c>
      <c r="F2071" s="12">
        <v>63</v>
      </c>
      <c r="H2071" s="12" t="s">
        <v>3609</v>
      </c>
      <c r="I2071" s="41" t="s">
        <v>7586</v>
      </c>
      <c r="M2071" s="41" t="e">
        <f>VLOOKUP(I2071,错误mRNA总表!D:I,6,FALSE)</f>
        <v>#N/A</v>
      </c>
    </row>
    <row r="2072" spans="1:13" x14ac:dyDescent="0.2">
      <c r="A2072" s="12" t="s">
        <v>5034</v>
      </c>
      <c r="B2072" s="12" t="s">
        <v>4658</v>
      </c>
      <c r="C2072" s="12">
        <v>124484</v>
      </c>
      <c r="D2072" s="12">
        <v>129301</v>
      </c>
      <c r="E2072" s="12" t="s">
        <v>3940</v>
      </c>
      <c r="F2072" s="12">
        <v>99</v>
      </c>
      <c r="H2072" s="12" t="s">
        <v>3609</v>
      </c>
      <c r="I2072" s="41" t="s">
        <v>7586</v>
      </c>
      <c r="M2072" s="41" t="e">
        <f>VLOOKUP(I2072,错误mRNA总表!D:I,6,FALSE)</f>
        <v>#N/A</v>
      </c>
    </row>
    <row r="2073" spans="1:13" x14ac:dyDescent="0.2">
      <c r="A2073" s="12" t="s">
        <v>5034</v>
      </c>
      <c r="B2073" s="12" t="s">
        <v>4658</v>
      </c>
      <c r="C2073" s="12">
        <v>124484</v>
      </c>
      <c r="D2073" s="12">
        <v>131289</v>
      </c>
      <c r="E2073" s="12" t="s">
        <v>3940</v>
      </c>
      <c r="F2073" s="12">
        <v>521</v>
      </c>
      <c r="H2073" s="12" t="s">
        <v>3609</v>
      </c>
      <c r="I2073" s="41" t="s">
        <v>7586</v>
      </c>
      <c r="M2073" s="41" t="e">
        <f>VLOOKUP(I2073,错误mRNA总表!D:I,6,FALSE)</f>
        <v>#N/A</v>
      </c>
    </row>
    <row r="2074" spans="1:13" x14ac:dyDescent="0.2">
      <c r="A2074" s="12" t="s">
        <v>5034</v>
      </c>
      <c r="B2074" s="12" t="s">
        <v>4658</v>
      </c>
      <c r="C2074" s="12">
        <v>124484</v>
      </c>
      <c r="D2074" s="12">
        <v>134769</v>
      </c>
      <c r="E2074" s="12" t="s">
        <v>3940</v>
      </c>
      <c r="F2074" s="12">
        <v>736</v>
      </c>
      <c r="H2074" s="12" t="s">
        <v>3609</v>
      </c>
      <c r="I2074" s="41" t="s">
        <v>7586</v>
      </c>
      <c r="M2074" s="41" t="e">
        <f>VLOOKUP(I2074,错误mRNA总表!D:I,6,FALSE)</f>
        <v>#N/A</v>
      </c>
    </row>
    <row r="2075" spans="1:13" x14ac:dyDescent="0.2">
      <c r="A2075" s="12" t="s">
        <v>5034</v>
      </c>
      <c r="B2075" s="12" t="s">
        <v>4658</v>
      </c>
      <c r="C2075" s="12">
        <v>124484</v>
      </c>
      <c r="D2075" s="12">
        <v>143906</v>
      </c>
      <c r="E2075" s="12" t="s">
        <v>3940</v>
      </c>
      <c r="F2075" s="12">
        <v>17</v>
      </c>
      <c r="H2075" s="12" t="s">
        <v>3609</v>
      </c>
      <c r="I2075" s="41" t="s">
        <v>7586</v>
      </c>
      <c r="M2075" s="41" t="e">
        <f>VLOOKUP(I2075,错误mRNA总表!D:I,6,FALSE)</f>
        <v>#N/A</v>
      </c>
    </row>
    <row r="2076" spans="1:13" x14ac:dyDescent="0.2">
      <c r="A2076" s="12" t="s">
        <v>5034</v>
      </c>
      <c r="B2076" s="12" t="s">
        <v>4658</v>
      </c>
      <c r="C2076" s="12">
        <v>124484</v>
      </c>
      <c r="D2076" s="12">
        <v>144662</v>
      </c>
      <c r="E2076" s="12" t="s">
        <v>3940</v>
      </c>
      <c r="F2076" s="12">
        <v>246</v>
      </c>
      <c r="H2076" s="12" t="s">
        <v>3609</v>
      </c>
      <c r="I2076" s="41" t="s">
        <v>7586</v>
      </c>
      <c r="M2076" s="41" t="e">
        <f>VLOOKUP(I2076,错误mRNA总表!D:I,6,FALSE)</f>
        <v>#N/A</v>
      </c>
    </row>
    <row r="2077" spans="1:13" x14ac:dyDescent="0.2">
      <c r="A2077" s="12" t="s">
        <v>5034</v>
      </c>
      <c r="B2077" s="12" t="s">
        <v>4658</v>
      </c>
      <c r="C2077" s="12">
        <v>124484</v>
      </c>
      <c r="D2077" s="12">
        <v>147142</v>
      </c>
      <c r="E2077" s="12" t="s">
        <v>3940</v>
      </c>
      <c r="F2077" s="12">
        <v>44</v>
      </c>
      <c r="H2077" s="12" t="s">
        <v>3609</v>
      </c>
      <c r="I2077" s="41" t="s">
        <v>7586</v>
      </c>
      <c r="M2077" s="41" t="e">
        <f>VLOOKUP(I2077,错误mRNA总表!D:I,6,FALSE)</f>
        <v>#N/A</v>
      </c>
    </row>
    <row r="2078" spans="1:13" x14ac:dyDescent="0.2">
      <c r="A2078" s="12" t="s">
        <v>5035</v>
      </c>
      <c r="B2078" s="12" t="s">
        <v>4069</v>
      </c>
      <c r="C2078" s="12">
        <v>43018148</v>
      </c>
      <c r="D2078" s="12">
        <v>43083808</v>
      </c>
      <c r="E2078" s="12" t="s">
        <v>3940</v>
      </c>
      <c r="F2078" s="12">
        <v>21</v>
      </c>
      <c r="G2078" s="41" t="s">
        <v>179</v>
      </c>
      <c r="H2078" s="12" t="s">
        <v>6115</v>
      </c>
      <c r="I2078" s="41" t="s">
        <v>7587</v>
      </c>
      <c r="M2078" s="41" t="e">
        <f>VLOOKUP(I2078,错误mRNA总表!D:I,6,FALSE)</f>
        <v>#N/A</v>
      </c>
    </row>
    <row r="2079" spans="1:13" x14ac:dyDescent="0.2">
      <c r="A2079" s="12" t="s">
        <v>5035</v>
      </c>
      <c r="B2079" s="12" t="s">
        <v>4069</v>
      </c>
      <c r="C2079" s="12">
        <v>43018148</v>
      </c>
      <c r="D2079" s="12">
        <v>43086933</v>
      </c>
      <c r="E2079" s="12" t="s">
        <v>3943</v>
      </c>
      <c r="F2079" s="12">
        <v>5</v>
      </c>
      <c r="G2079" s="41" t="s">
        <v>179</v>
      </c>
      <c r="H2079" s="12" t="s">
        <v>6115</v>
      </c>
      <c r="I2079" s="41" t="s">
        <v>7587</v>
      </c>
      <c r="M2079" s="41" t="e">
        <f>VLOOKUP(I2079,错误mRNA总表!D:I,6,FALSE)</f>
        <v>#N/A</v>
      </c>
    </row>
    <row r="2080" spans="1:13" x14ac:dyDescent="0.2">
      <c r="A2080" s="12" t="s">
        <v>5035</v>
      </c>
      <c r="B2080" s="12" t="s">
        <v>4069</v>
      </c>
      <c r="C2080" s="12">
        <v>43018148</v>
      </c>
      <c r="D2080" s="12">
        <v>43083790</v>
      </c>
      <c r="E2080" s="12" t="s">
        <v>3943</v>
      </c>
      <c r="F2080" s="12">
        <v>5</v>
      </c>
      <c r="G2080" s="41" t="s">
        <v>179</v>
      </c>
      <c r="H2080" s="12" t="s">
        <v>6115</v>
      </c>
      <c r="I2080" s="41" t="s">
        <v>7587</v>
      </c>
      <c r="M2080" s="41" t="e">
        <f>VLOOKUP(I2080,错误mRNA总表!D:I,6,FALSE)</f>
        <v>#N/A</v>
      </c>
    </row>
    <row r="2081" spans="1:13" x14ac:dyDescent="0.2">
      <c r="A2081" s="12" t="s">
        <v>5035</v>
      </c>
      <c r="B2081" s="12" t="s">
        <v>4069</v>
      </c>
      <c r="C2081" s="12">
        <v>43018148</v>
      </c>
      <c r="D2081" s="12">
        <v>43083803</v>
      </c>
      <c r="E2081" s="12" t="s">
        <v>3943</v>
      </c>
      <c r="F2081" s="12">
        <v>2</v>
      </c>
      <c r="G2081" s="41" t="s">
        <v>179</v>
      </c>
      <c r="H2081" s="12" t="s">
        <v>6115</v>
      </c>
      <c r="I2081" s="41" t="s">
        <v>7587</v>
      </c>
      <c r="M2081" s="41" t="e">
        <f>VLOOKUP(I2081,错误mRNA总表!D:I,6,FALSE)</f>
        <v>#N/A</v>
      </c>
    </row>
    <row r="2082" spans="1:13" x14ac:dyDescent="0.2">
      <c r="A2082" s="12" t="s">
        <v>5036</v>
      </c>
      <c r="B2082" s="12" t="s">
        <v>3966</v>
      </c>
      <c r="C2082" s="12">
        <v>22838767</v>
      </c>
      <c r="D2082" s="12">
        <v>22840122</v>
      </c>
      <c r="E2082" s="12" t="s">
        <v>3940</v>
      </c>
      <c r="F2082" s="12">
        <v>4</v>
      </c>
      <c r="G2082" s="41" t="s">
        <v>43</v>
      </c>
      <c r="H2082" s="12" t="s">
        <v>6527</v>
      </c>
      <c r="I2082" s="41" t="s">
        <v>7588</v>
      </c>
      <c r="M2082" s="41" t="e">
        <f>VLOOKUP(I2082,错误mRNA总表!D:I,6,FALSE)</f>
        <v>#N/A</v>
      </c>
    </row>
    <row r="2083" spans="1:13" x14ac:dyDescent="0.2">
      <c r="A2083" s="12" t="s">
        <v>5036</v>
      </c>
      <c r="B2083" s="12" t="s">
        <v>3966</v>
      </c>
      <c r="C2083" s="12">
        <v>22838767</v>
      </c>
      <c r="D2083" s="12">
        <v>22841789</v>
      </c>
      <c r="E2083" s="12" t="s">
        <v>3940</v>
      </c>
      <c r="F2083" s="12">
        <v>15</v>
      </c>
      <c r="G2083" s="41" t="s">
        <v>43</v>
      </c>
      <c r="H2083" s="12" t="s">
        <v>6527</v>
      </c>
      <c r="I2083" s="41" t="s">
        <v>7588</v>
      </c>
      <c r="M2083" s="41" t="e">
        <f>VLOOKUP(I2083,错误mRNA总表!D:I,6,FALSE)</f>
        <v>#N/A</v>
      </c>
    </row>
    <row r="2084" spans="1:13" x14ac:dyDescent="0.2">
      <c r="A2084" s="12" t="s">
        <v>5036</v>
      </c>
      <c r="B2084" s="12" t="s">
        <v>3966</v>
      </c>
      <c r="C2084" s="12">
        <v>22838767</v>
      </c>
      <c r="D2084" s="12">
        <v>22841830</v>
      </c>
      <c r="E2084" s="12" t="s">
        <v>3940</v>
      </c>
      <c r="F2084" s="12">
        <v>2</v>
      </c>
      <c r="G2084" s="41" t="s">
        <v>43</v>
      </c>
      <c r="H2084" s="12" t="s">
        <v>6527</v>
      </c>
      <c r="I2084" s="41" t="s">
        <v>7588</v>
      </c>
      <c r="M2084" s="41" t="e">
        <f>VLOOKUP(I2084,错误mRNA总表!D:I,6,FALSE)</f>
        <v>#N/A</v>
      </c>
    </row>
    <row r="2085" spans="1:13" x14ac:dyDescent="0.2">
      <c r="A2085" s="12" t="s">
        <v>5037</v>
      </c>
      <c r="B2085" s="12" t="s">
        <v>3957</v>
      </c>
      <c r="C2085" s="12">
        <v>35453374</v>
      </c>
      <c r="D2085" s="12">
        <v>35453796</v>
      </c>
      <c r="E2085" s="12" t="s">
        <v>3943</v>
      </c>
      <c r="F2085" s="12">
        <v>1</v>
      </c>
      <c r="G2085" s="41" t="s">
        <v>36</v>
      </c>
      <c r="H2085" s="12" t="s">
        <v>6262</v>
      </c>
      <c r="I2085" s="41" t="s">
        <v>7589</v>
      </c>
      <c r="M2085" s="41" t="e">
        <f>VLOOKUP(I2085,错误mRNA总表!D:I,6,FALSE)</f>
        <v>#N/A</v>
      </c>
    </row>
    <row r="2086" spans="1:13" x14ac:dyDescent="0.2">
      <c r="A2086" s="12" t="s">
        <v>4116</v>
      </c>
      <c r="B2086" s="12" t="s">
        <v>3964</v>
      </c>
      <c r="C2086" s="12">
        <v>4158815</v>
      </c>
      <c r="D2086" s="12">
        <v>4164439</v>
      </c>
      <c r="E2086" s="12" t="s">
        <v>3940</v>
      </c>
      <c r="F2086" s="12">
        <v>3</v>
      </c>
      <c r="H2086" s="12" t="s">
        <v>3583</v>
      </c>
      <c r="I2086" s="41" t="s">
        <v>7590</v>
      </c>
      <c r="M2086" s="41" t="e">
        <f>VLOOKUP(I2086,错误mRNA总表!D:I,6,FALSE)</f>
        <v>#N/A</v>
      </c>
    </row>
    <row r="2087" spans="1:13" x14ac:dyDescent="0.2">
      <c r="A2087" s="12" t="s">
        <v>5038</v>
      </c>
      <c r="B2087" s="12" t="s">
        <v>3986</v>
      </c>
      <c r="C2087" s="12">
        <v>16244838</v>
      </c>
      <c r="D2087" s="12">
        <v>16268212</v>
      </c>
      <c r="E2087" s="12" t="s">
        <v>3943</v>
      </c>
      <c r="F2087" s="12">
        <v>1</v>
      </c>
      <c r="G2087" s="41" t="s">
        <v>50</v>
      </c>
      <c r="H2087" s="12" t="s">
        <v>88</v>
      </c>
      <c r="I2087" s="41" t="s">
        <v>2100</v>
      </c>
      <c r="J2087" s="41" t="s">
        <v>2100</v>
      </c>
      <c r="K2087" s="41" t="str">
        <f>VLOOKUP(J2087,错误mRNA总表!D:J,7,FALSE)</f>
        <v>纠后正确</v>
      </c>
      <c r="L2087" s="41" t="s">
        <v>3763</v>
      </c>
      <c r="M2087" s="41">
        <f>VLOOKUP(I2087,错误mRNA总表!D:I,6,FALSE)</f>
        <v>0</v>
      </c>
    </row>
    <row r="2088" spans="1:13" x14ac:dyDescent="0.2">
      <c r="A2088" s="12" t="s">
        <v>5039</v>
      </c>
      <c r="B2088" s="12" t="s">
        <v>4154</v>
      </c>
      <c r="C2088" s="12">
        <v>406115</v>
      </c>
      <c r="D2088" s="12">
        <v>412945</v>
      </c>
      <c r="E2088" s="12" t="s">
        <v>3943</v>
      </c>
      <c r="F2088" s="12">
        <v>4</v>
      </c>
      <c r="H2088" s="12" t="s">
        <v>3663</v>
      </c>
      <c r="I2088" s="41" t="s">
        <v>6770</v>
      </c>
      <c r="M2088" s="41" t="e">
        <f>VLOOKUP(I2088,错误mRNA总表!D:I,6,FALSE)</f>
        <v>#N/A</v>
      </c>
    </row>
    <row r="2089" spans="1:13" x14ac:dyDescent="0.2">
      <c r="A2089" s="12" t="s">
        <v>4212</v>
      </c>
      <c r="B2089" s="12" t="s">
        <v>3994</v>
      </c>
      <c r="C2089" s="12">
        <v>3565774</v>
      </c>
      <c r="D2089" s="12">
        <v>3565811</v>
      </c>
      <c r="E2089" s="12" t="s">
        <v>3940</v>
      </c>
      <c r="F2089" s="12">
        <v>6</v>
      </c>
      <c r="H2089" s="12" t="s">
        <v>5831</v>
      </c>
      <c r="I2089" s="41" t="s">
        <v>7591</v>
      </c>
      <c r="M2089" s="41" t="e">
        <f>VLOOKUP(I2089,错误mRNA总表!D:I,6,FALSE)</f>
        <v>#N/A</v>
      </c>
    </row>
    <row r="2090" spans="1:13" x14ac:dyDescent="0.2">
      <c r="A2090" s="12" t="s">
        <v>5040</v>
      </c>
      <c r="B2090" s="12" t="s">
        <v>3973</v>
      </c>
      <c r="C2090" s="12">
        <v>1571100</v>
      </c>
      <c r="D2090" s="12">
        <v>1590440</v>
      </c>
      <c r="E2090" s="12" t="s">
        <v>3943</v>
      </c>
      <c r="F2090" s="12">
        <v>1</v>
      </c>
      <c r="G2090" s="41" t="s">
        <v>139</v>
      </c>
      <c r="H2090" s="12" t="s">
        <v>314</v>
      </c>
      <c r="I2090" s="41" t="s">
        <v>2220</v>
      </c>
      <c r="J2090" s="41" t="s">
        <v>2220</v>
      </c>
      <c r="K2090" s="41" t="str">
        <f>VLOOKUP(J2090,错误mRNA总表!D:J,7,FALSE)</f>
        <v>rs号无此变体，区间略有变化，加77个氨基酸chr1:1571126-1586818</v>
      </c>
      <c r="L2090" s="41" t="s">
        <v>3866</v>
      </c>
      <c r="M2090" s="41" t="str">
        <f>VLOOKUP(I2090,错误mRNA总表!D:I,6,FALSE)</f>
        <v>rs号无此变体，区间略有变化，加77个氨基酸chr1:1571126-1586818</v>
      </c>
    </row>
    <row r="2091" spans="1:13" x14ac:dyDescent="0.2">
      <c r="A2091" s="12" t="s">
        <v>5040</v>
      </c>
      <c r="B2091" s="12" t="s">
        <v>3973</v>
      </c>
      <c r="C2091" s="12">
        <v>1571100</v>
      </c>
      <c r="D2091" s="12">
        <v>1580623</v>
      </c>
      <c r="E2091" s="12" t="s">
        <v>3940</v>
      </c>
      <c r="F2091" s="12">
        <v>229</v>
      </c>
      <c r="G2091" s="41" t="s">
        <v>139</v>
      </c>
      <c r="H2091" s="12" t="s">
        <v>314</v>
      </c>
      <c r="I2091" s="41" t="s">
        <v>2220</v>
      </c>
      <c r="J2091" s="41" t="s">
        <v>2220</v>
      </c>
      <c r="K2091" s="41" t="str">
        <f>VLOOKUP(J2091,错误mRNA总表!D:J,7,FALSE)</f>
        <v>rs号无此变体，区间略有变化，加77个氨基酸chr1:1571126-1586818</v>
      </c>
      <c r="L2091" s="41" t="s">
        <v>3866</v>
      </c>
      <c r="M2091" s="41" t="str">
        <f>VLOOKUP(I2091,错误mRNA总表!D:I,6,FALSE)</f>
        <v>rs号无此变体，区间略有变化，加77个氨基酸chr1:1571126-1586818</v>
      </c>
    </row>
    <row r="2092" spans="1:13" x14ac:dyDescent="0.2">
      <c r="A2092" s="12" t="s">
        <v>4947</v>
      </c>
      <c r="B2092" s="12" t="s">
        <v>3969</v>
      </c>
      <c r="C2092" s="12">
        <v>2423431</v>
      </c>
      <c r="D2092" s="12">
        <v>2428734</v>
      </c>
      <c r="E2092" s="12" t="s">
        <v>3943</v>
      </c>
      <c r="F2092" s="12">
        <v>1</v>
      </c>
      <c r="H2092" s="12" t="s">
        <v>3553</v>
      </c>
      <c r="I2092" s="41" t="s">
        <v>7592</v>
      </c>
      <c r="M2092" s="41" t="e">
        <f>VLOOKUP(I2092,错误mRNA总表!D:I,6,FALSE)</f>
        <v>#N/A</v>
      </c>
    </row>
    <row r="2093" spans="1:13" x14ac:dyDescent="0.2">
      <c r="A2093" s="12" t="s">
        <v>4424</v>
      </c>
      <c r="B2093" s="12" t="s">
        <v>3989</v>
      </c>
      <c r="C2093" s="12">
        <v>2937602</v>
      </c>
      <c r="D2093" s="12">
        <v>2937698</v>
      </c>
      <c r="E2093" s="12" t="s">
        <v>3943</v>
      </c>
      <c r="F2093" s="12">
        <v>4</v>
      </c>
      <c r="H2093" s="12" t="s">
        <v>3558</v>
      </c>
      <c r="I2093" s="41" t="s">
        <v>7593</v>
      </c>
      <c r="M2093" s="41" t="e">
        <f>VLOOKUP(I2093,错误mRNA总表!D:I,6,FALSE)</f>
        <v>#N/A</v>
      </c>
    </row>
    <row r="2094" spans="1:13" x14ac:dyDescent="0.2">
      <c r="A2094" s="12" t="s">
        <v>5041</v>
      </c>
      <c r="B2094" s="12" t="s">
        <v>3954</v>
      </c>
      <c r="C2094" s="12">
        <v>185286714</v>
      </c>
      <c r="D2094" s="12">
        <v>185287089</v>
      </c>
      <c r="E2094" s="12" t="s">
        <v>3943</v>
      </c>
      <c r="F2094" s="12">
        <v>1</v>
      </c>
      <c r="G2094" s="41" t="s">
        <v>569</v>
      </c>
      <c r="H2094" s="12" t="s">
        <v>6116</v>
      </c>
      <c r="I2094" s="41" t="s">
        <v>7594</v>
      </c>
      <c r="M2094" s="41" t="e">
        <f>VLOOKUP(I2094,错误mRNA总表!D:I,6,FALSE)</f>
        <v>#N/A</v>
      </c>
    </row>
    <row r="2095" spans="1:13" x14ac:dyDescent="0.2">
      <c r="A2095" s="12" t="s">
        <v>5042</v>
      </c>
      <c r="B2095" s="12" t="s">
        <v>3946</v>
      </c>
      <c r="C2095" s="12">
        <v>41363846</v>
      </c>
      <c r="D2095" s="12">
        <v>41371770</v>
      </c>
      <c r="E2095" s="12" t="s">
        <v>3943</v>
      </c>
      <c r="F2095" s="12">
        <v>1</v>
      </c>
      <c r="G2095" s="41" t="s">
        <v>47</v>
      </c>
      <c r="H2095" s="12" t="s">
        <v>6117</v>
      </c>
      <c r="I2095" s="41" t="s">
        <v>7595</v>
      </c>
      <c r="M2095" s="41" t="e">
        <f>VLOOKUP(I2095,错误mRNA总表!D:I,6,FALSE)</f>
        <v>#N/A</v>
      </c>
    </row>
    <row r="2096" spans="1:13" x14ac:dyDescent="0.2">
      <c r="A2096" s="12" t="s">
        <v>5043</v>
      </c>
      <c r="B2096" s="12" t="s">
        <v>3954</v>
      </c>
      <c r="C2096" s="12">
        <v>53179</v>
      </c>
      <c r="D2096" s="12">
        <v>85997</v>
      </c>
      <c r="E2096" s="12" t="s">
        <v>3940</v>
      </c>
      <c r="F2096" s="12">
        <v>1</v>
      </c>
      <c r="G2096" s="41" t="s">
        <v>569</v>
      </c>
      <c r="H2096" s="12" t="s">
        <v>568</v>
      </c>
      <c r="I2096" s="41" t="s">
        <v>7596</v>
      </c>
      <c r="J2096" s="41" t="s">
        <v>3322</v>
      </c>
      <c r="K2096" s="41" t="str">
        <f>VLOOKUP(J2096,错误mRNA总表!D:J,7,FALSE)</f>
        <v>纠后正确</v>
      </c>
      <c r="M2096" s="41" t="e">
        <f>VLOOKUP(I2096,错误mRNA总表!D:I,6,FALSE)</f>
        <v>#N/A</v>
      </c>
    </row>
    <row r="2097" spans="1:13" x14ac:dyDescent="0.2">
      <c r="A2097" s="12" t="s">
        <v>5043</v>
      </c>
      <c r="B2097" s="12" t="s">
        <v>3954</v>
      </c>
      <c r="C2097" s="12">
        <v>53179</v>
      </c>
      <c r="D2097" s="12">
        <v>86017</v>
      </c>
      <c r="E2097" s="12" t="s">
        <v>3940</v>
      </c>
      <c r="F2097" s="12">
        <v>1</v>
      </c>
      <c r="G2097" s="41" t="s">
        <v>569</v>
      </c>
      <c r="H2097" s="12" t="s">
        <v>568</v>
      </c>
      <c r="I2097" s="41" t="s">
        <v>7596</v>
      </c>
      <c r="J2097" s="41" t="s">
        <v>3322</v>
      </c>
      <c r="K2097" s="41" t="str">
        <f>VLOOKUP(J2097,错误mRNA总表!D:J,7,FALSE)</f>
        <v>纠后正确</v>
      </c>
      <c r="M2097" s="41" t="e">
        <f>VLOOKUP(I2097,错误mRNA总表!D:I,6,FALSE)</f>
        <v>#N/A</v>
      </c>
    </row>
    <row r="2098" spans="1:13" x14ac:dyDescent="0.2">
      <c r="A2098" s="12" t="s">
        <v>5043</v>
      </c>
      <c r="B2098" s="12" t="s">
        <v>3954</v>
      </c>
      <c r="C2098" s="12">
        <v>53179</v>
      </c>
      <c r="D2098" s="12">
        <v>86033</v>
      </c>
      <c r="E2098" s="12" t="s">
        <v>3943</v>
      </c>
      <c r="F2098" s="12">
        <v>2</v>
      </c>
      <c r="G2098" s="41" t="s">
        <v>569</v>
      </c>
      <c r="H2098" s="12" t="s">
        <v>568</v>
      </c>
      <c r="I2098" s="41" t="s">
        <v>7596</v>
      </c>
      <c r="J2098" s="41" t="s">
        <v>3322</v>
      </c>
      <c r="K2098" s="41" t="str">
        <f>VLOOKUP(J2098,错误mRNA总表!D:J,7,FALSE)</f>
        <v>纠后正确</v>
      </c>
      <c r="M2098" s="41" t="e">
        <f>VLOOKUP(I2098,错误mRNA总表!D:I,6,FALSE)</f>
        <v>#N/A</v>
      </c>
    </row>
    <row r="2099" spans="1:13" x14ac:dyDescent="0.2">
      <c r="A2099" s="12" t="s">
        <v>5043</v>
      </c>
      <c r="B2099" s="12" t="s">
        <v>3954</v>
      </c>
      <c r="C2099" s="12">
        <v>53179</v>
      </c>
      <c r="D2099" s="12">
        <v>86102</v>
      </c>
      <c r="E2099" s="12" t="s">
        <v>3940</v>
      </c>
      <c r="F2099" s="12">
        <v>1</v>
      </c>
      <c r="G2099" s="41" t="s">
        <v>569</v>
      </c>
      <c r="H2099" s="12" t="s">
        <v>568</v>
      </c>
      <c r="I2099" s="41" t="s">
        <v>7596</v>
      </c>
      <c r="J2099" s="41" t="s">
        <v>3322</v>
      </c>
      <c r="K2099" s="41" t="str">
        <f>VLOOKUP(J2099,错误mRNA总表!D:J,7,FALSE)</f>
        <v>纠后正确</v>
      </c>
      <c r="M2099" s="41" t="e">
        <f>VLOOKUP(I2099,错误mRNA总表!D:I,6,FALSE)</f>
        <v>#N/A</v>
      </c>
    </row>
    <row r="2100" spans="1:13" x14ac:dyDescent="0.2">
      <c r="A2100" s="12" t="s">
        <v>5043</v>
      </c>
      <c r="B2100" s="12" t="s">
        <v>3954</v>
      </c>
      <c r="C2100" s="12">
        <v>53179</v>
      </c>
      <c r="D2100" s="12">
        <v>87314</v>
      </c>
      <c r="E2100" s="12" t="s">
        <v>3940</v>
      </c>
      <c r="F2100" s="12">
        <v>1</v>
      </c>
      <c r="G2100" s="41" t="s">
        <v>569</v>
      </c>
      <c r="H2100" s="12" t="s">
        <v>568</v>
      </c>
      <c r="I2100" s="41" t="s">
        <v>7596</v>
      </c>
      <c r="J2100" s="41" t="s">
        <v>3322</v>
      </c>
      <c r="K2100" s="41" t="str">
        <f>VLOOKUP(J2100,错误mRNA总表!D:J,7,FALSE)</f>
        <v>纠后正确</v>
      </c>
      <c r="M2100" s="41" t="e">
        <f>VLOOKUP(I2100,错误mRNA总表!D:I,6,FALSE)</f>
        <v>#N/A</v>
      </c>
    </row>
    <row r="2101" spans="1:13" x14ac:dyDescent="0.2">
      <c r="A2101" s="12" t="s">
        <v>5043</v>
      </c>
      <c r="B2101" s="12" t="s">
        <v>3954</v>
      </c>
      <c r="C2101" s="12">
        <v>53179</v>
      </c>
      <c r="D2101" s="12">
        <v>87626</v>
      </c>
      <c r="E2101" s="12" t="s">
        <v>3940</v>
      </c>
      <c r="F2101" s="12">
        <v>1</v>
      </c>
      <c r="G2101" s="41" t="s">
        <v>569</v>
      </c>
      <c r="H2101" s="12" t="s">
        <v>568</v>
      </c>
      <c r="I2101" s="41" t="s">
        <v>7596</v>
      </c>
      <c r="J2101" s="41" t="s">
        <v>3322</v>
      </c>
      <c r="K2101" s="41" t="str">
        <f>VLOOKUP(J2101,错误mRNA总表!D:J,7,FALSE)</f>
        <v>纠后正确</v>
      </c>
      <c r="M2101" s="41" t="e">
        <f>VLOOKUP(I2101,错误mRNA总表!D:I,6,FALSE)</f>
        <v>#N/A</v>
      </c>
    </row>
    <row r="2102" spans="1:13" x14ac:dyDescent="0.2">
      <c r="A2102" s="12" t="s">
        <v>5044</v>
      </c>
      <c r="B2102" s="12" t="s">
        <v>4339</v>
      </c>
      <c r="C2102" s="12">
        <v>11640</v>
      </c>
      <c r="D2102" s="12">
        <v>11644</v>
      </c>
      <c r="E2102" s="12" t="s">
        <v>3943</v>
      </c>
      <c r="F2102" s="12">
        <v>3</v>
      </c>
      <c r="H2102" s="12" t="s">
        <v>3622</v>
      </c>
      <c r="I2102" s="41" t="s">
        <v>7597</v>
      </c>
      <c r="M2102" s="41" t="e">
        <f>VLOOKUP(I2102,错误mRNA总表!D:I,6,FALSE)</f>
        <v>#N/A</v>
      </c>
    </row>
    <row r="2103" spans="1:13" x14ac:dyDescent="0.2">
      <c r="A2103" s="12" t="s">
        <v>5044</v>
      </c>
      <c r="B2103" s="12" t="s">
        <v>4339</v>
      </c>
      <c r="C2103" s="12">
        <v>11640</v>
      </c>
      <c r="D2103" s="12">
        <v>11653</v>
      </c>
      <c r="E2103" s="12" t="s">
        <v>3943</v>
      </c>
      <c r="F2103" s="12">
        <v>3</v>
      </c>
      <c r="H2103" s="12" t="s">
        <v>3622</v>
      </c>
      <c r="I2103" s="41" t="s">
        <v>7597</v>
      </c>
      <c r="M2103" s="41" t="e">
        <f>VLOOKUP(I2103,错误mRNA总表!D:I,6,FALSE)</f>
        <v>#N/A</v>
      </c>
    </row>
    <row r="2104" spans="1:13" x14ac:dyDescent="0.2">
      <c r="A2104" s="12" t="s">
        <v>4033</v>
      </c>
      <c r="B2104" s="12" t="s">
        <v>3989</v>
      </c>
      <c r="C2104" s="12">
        <v>2959804</v>
      </c>
      <c r="D2104" s="12">
        <v>2959820</v>
      </c>
      <c r="E2104" s="12" t="s">
        <v>3943</v>
      </c>
      <c r="F2104" s="12">
        <v>5</v>
      </c>
      <c r="H2104" s="12" t="s">
        <v>3566</v>
      </c>
      <c r="I2104" s="41" t="s">
        <v>7598</v>
      </c>
      <c r="M2104" s="41" t="e">
        <f>VLOOKUP(I2104,错误mRNA总表!D:I,6,FALSE)</f>
        <v>#N/A</v>
      </c>
    </row>
    <row r="2105" spans="1:13" x14ac:dyDescent="0.2">
      <c r="A2105" s="12" t="s">
        <v>4033</v>
      </c>
      <c r="B2105" s="12" t="s">
        <v>3989</v>
      </c>
      <c r="C2105" s="12">
        <v>2959804</v>
      </c>
      <c r="D2105" s="12">
        <v>2960280</v>
      </c>
      <c r="E2105" s="12" t="s">
        <v>3943</v>
      </c>
      <c r="F2105" s="12">
        <v>1</v>
      </c>
      <c r="H2105" s="12" t="s">
        <v>3566</v>
      </c>
      <c r="I2105" s="41" t="s">
        <v>7598</v>
      </c>
      <c r="M2105" s="41" t="e">
        <f>VLOOKUP(I2105,错误mRNA总表!D:I,6,FALSE)</f>
        <v>#N/A</v>
      </c>
    </row>
    <row r="2106" spans="1:13" x14ac:dyDescent="0.2">
      <c r="A2106" s="12" t="s">
        <v>4033</v>
      </c>
      <c r="B2106" s="12" t="s">
        <v>3989</v>
      </c>
      <c r="C2106" s="12">
        <v>2959804</v>
      </c>
      <c r="D2106" s="12">
        <v>2960400</v>
      </c>
      <c r="E2106" s="12" t="s">
        <v>3940</v>
      </c>
      <c r="F2106" s="12">
        <v>1</v>
      </c>
      <c r="H2106" s="12" t="s">
        <v>3566</v>
      </c>
      <c r="I2106" s="41" t="s">
        <v>7598</v>
      </c>
      <c r="M2106" s="41" t="e">
        <f>VLOOKUP(I2106,错误mRNA总表!D:I,6,FALSE)</f>
        <v>#N/A</v>
      </c>
    </row>
    <row r="2107" spans="1:13" x14ac:dyDescent="0.2">
      <c r="A2107" s="12" t="s">
        <v>5045</v>
      </c>
      <c r="B2107" s="12" t="s">
        <v>4012</v>
      </c>
      <c r="C2107" s="12">
        <v>30759620</v>
      </c>
      <c r="D2107" s="12">
        <v>30768502</v>
      </c>
      <c r="E2107" s="12" t="s">
        <v>3943</v>
      </c>
      <c r="F2107" s="12">
        <v>7</v>
      </c>
      <c r="G2107" s="41" t="s">
        <v>121</v>
      </c>
      <c r="H2107" s="12" t="s">
        <v>6438</v>
      </c>
      <c r="I2107" s="41" t="s">
        <v>7599</v>
      </c>
      <c r="M2107" s="41" t="e">
        <f>VLOOKUP(I2107,错误mRNA总表!D:I,6,FALSE)</f>
        <v>#N/A</v>
      </c>
    </row>
    <row r="2108" spans="1:13" x14ac:dyDescent="0.2">
      <c r="A2108" s="12" t="s">
        <v>5046</v>
      </c>
      <c r="B2108" s="12" t="s">
        <v>3989</v>
      </c>
      <c r="C2108" s="12">
        <v>3338804</v>
      </c>
      <c r="D2108" s="12">
        <v>3338938</v>
      </c>
      <c r="E2108" s="12" t="s">
        <v>3940</v>
      </c>
      <c r="F2108" s="12">
        <v>3</v>
      </c>
      <c r="H2108" s="12" t="s">
        <v>3576</v>
      </c>
      <c r="I2108" s="41" t="s">
        <v>7600</v>
      </c>
      <c r="M2108" s="41" t="e">
        <f>VLOOKUP(I2108,错误mRNA总表!D:I,6,FALSE)</f>
        <v>#N/A</v>
      </c>
    </row>
    <row r="2109" spans="1:13" x14ac:dyDescent="0.2">
      <c r="A2109" s="12" t="s">
        <v>4721</v>
      </c>
      <c r="B2109" s="12" t="s">
        <v>3969</v>
      </c>
      <c r="C2109" s="12">
        <v>4567658</v>
      </c>
      <c r="D2109" s="12">
        <v>4567711</v>
      </c>
      <c r="E2109" s="12" t="s">
        <v>3943</v>
      </c>
      <c r="F2109" s="12">
        <v>2</v>
      </c>
      <c r="H2109" s="12" t="s">
        <v>3594</v>
      </c>
      <c r="I2109" s="41" t="s">
        <v>7601</v>
      </c>
      <c r="M2109" s="41" t="e">
        <f>VLOOKUP(I2109,错误mRNA总表!D:I,6,FALSE)</f>
        <v>#N/A</v>
      </c>
    </row>
    <row r="2110" spans="1:13" x14ac:dyDescent="0.2">
      <c r="A2110" s="12" t="s">
        <v>5047</v>
      </c>
      <c r="B2110" s="12" t="s">
        <v>3991</v>
      </c>
      <c r="C2110" s="12">
        <v>99841</v>
      </c>
      <c r="D2110" s="12">
        <v>100441</v>
      </c>
      <c r="E2110" s="12" t="s">
        <v>3943</v>
      </c>
      <c r="F2110" s="12">
        <v>1</v>
      </c>
      <c r="H2110" s="12" t="s">
        <v>6118</v>
      </c>
      <c r="I2110" s="41" t="s">
        <v>6654</v>
      </c>
      <c r="M2110" s="41" t="e">
        <f>VLOOKUP(I2110,错误mRNA总表!D:I,6,FALSE)</f>
        <v>#N/A</v>
      </c>
    </row>
    <row r="2111" spans="1:13" x14ac:dyDescent="0.2">
      <c r="A2111" s="12" t="s">
        <v>5048</v>
      </c>
      <c r="B2111" s="12" t="s">
        <v>3957</v>
      </c>
      <c r="C2111" s="12">
        <v>46638826</v>
      </c>
      <c r="D2111" s="12">
        <v>46694313</v>
      </c>
      <c r="E2111" s="12" t="s">
        <v>3943</v>
      </c>
      <c r="F2111" s="12">
        <v>2</v>
      </c>
      <c r="G2111" s="41" t="s">
        <v>36</v>
      </c>
      <c r="H2111" s="12" t="s">
        <v>6119</v>
      </c>
      <c r="I2111" s="41" t="s">
        <v>7602</v>
      </c>
      <c r="M2111" s="41" t="e">
        <f>VLOOKUP(I2111,错误mRNA总表!D:I,6,FALSE)</f>
        <v>#N/A</v>
      </c>
    </row>
    <row r="2112" spans="1:13" x14ac:dyDescent="0.2">
      <c r="A2112" s="12" t="s">
        <v>5049</v>
      </c>
      <c r="B2112" s="12" t="s">
        <v>4018</v>
      </c>
      <c r="C2112" s="12">
        <v>46825097</v>
      </c>
      <c r="D2112" s="12">
        <v>46924439</v>
      </c>
      <c r="E2112" s="12" t="s">
        <v>3943</v>
      </c>
      <c r="F2112" s="12">
        <v>9</v>
      </c>
      <c r="G2112" s="41" t="s">
        <v>241</v>
      </c>
      <c r="H2112" s="12" t="s">
        <v>1330</v>
      </c>
      <c r="I2112" s="41" t="s">
        <v>2292</v>
      </c>
      <c r="J2112" s="41" t="s">
        <v>2292</v>
      </c>
      <c r="K2112" s="41" t="str">
        <f>VLOOKUP(J2112,错误mRNA总表!D:J,7,FALSE)</f>
        <v>纠后正确，少3个氨基酸chr21:46924440-46932312</v>
      </c>
      <c r="L2112" s="41" t="s">
        <v>8350</v>
      </c>
      <c r="M2112" s="41">
        <f>VLOOKUP(I2112,错误mRNA总表!D:I,6,FALSE)</f>
        <v>0</v>
      </c>
    </row>
    <row r="2113" spans="1:13" x14ac:dyDescent="0.2">
      <c r="A2113" s="12" t="s">
        <v>5050</v>
      </c>
      <c r="B2113" s="12" t="s">
        <v>3973</v>
      </c>
      <c r="C2113" s="12">
        <v>150190717</v>
      </c>
      <c r="D2113" s="12">
        <v>150192506</v>
      </c>
      <c r="E2113" s="12" t="s">
        <v>3943</v>
      </c>
      <c r="F2113" s="12">
        <v>3</v>
      </c>
      <c r="G2113" s="41" t="s">
        <v>139</v>
      </c>
      <c r="H2113" s="12" t="s">
        <v>3502</v>
      </c>
      <c r="I2113" s="41" t="s">
        <v>7603</v>
      </c>
      <c r="M2113" s="41" t="e">
        <f>VLOOKUP(I2113,错误mRNA总表!D:I,6,FALSE)</f>
        <v>#N/A</v>
      </c>
    </row>
    <row r="2114" spans="1:13" x14ac:dyDescent="0.2">
      <c r="A2114" s="12" t="s">
        <v>4977</v>
      </c>
      <c r="B2114" s="12" t="s">
        <v>3969</v>
      </c>
      <c r="C2114" s="12">
        <v>928111</v>
      </c>
      <c r="D2114" s="12">
        <v>943463</v>
      </c>
      <c r="E2114" s="12" t="s">
        <v>3943</v>
      </c>
      <c r="F2114" s="12">
        <v>4</v>
      </c>
      <c r="H2114" s="12" t="s">
        <v>3530</v>
      </c>
      <c r="I2114" s="41" t="s">
        <v>7604</v>
      </c>
      <c r="M2114" s="41" t="e">
        <f>VLOOKUP(I2114,错误mRNA总表!D:I,6,FALSE)</f>
        <v>#N/A</v>
      </c>
    </row>
    <row r="2115" spans="1:13" x14ac:dyDescent="0.2">
      <c r="A2115" s="12" t="s">
        <v>5051</v>
      </c>
      <c r="B2115" s="12" t="s">
        <v>3946</v>
      </c>
      <c r="C2115" s="12">
        <v>41363846</v>
      </c>
      <c r="D2115" s="12">
        <v>41371770</v>
      </c>
      <c r="E2115" s="12" t="s">
        <v>3943</v>
      </c>
      <c r="F2115" s="12">
        <v>1</v>
      </c>
      <c r="G2115" s="41" t="s">
        <v>47</v>
      </c>
      <c r="H2115" s="12" t="s">
        <v>6528</v>
      </c>
      <c r="I2115" s="41" t="s">
        <v>7605</v>
      </c>
      <c r="M2115" s="41" t="e">
        <f>VLOOKUP(I2115,错误mRNA总表!D:I,6,FALSE)</f>
        <v>#N/A</v>
      </c>
    </row>
    <row r="2116" spans="1:13" x14ac:dyDescent="0.2">
      <c r="A2116" s="12" t="s">
        <v>5052</v>
      </c>
      <c r="B2116" s="12" t="s">
        <v>3986</v>
      </c>
      <c r="C2116" s="12">
        <v>58694356</v>
      </c>
      <c r="D2116" s="12">
        <v>58718361</v>
      </c>
      <c r="E2116" s="12" t="s">
        <v>3940</v>
      </c>
      <c r="F2116" s="12">
        <v>1</v>
      </c>
      <c r="G2116" s="41" t="s">
        <v>50</v>
      </c>
      <c r="H2116" s="12" t="s">
        <v>234</v>
      </c>
      <c r="I2116" s="41" t="s">
        <v>7606</v>
      </c>
      <c r="J2116" s="41" t="s">
        <v>2210</v>
      </c>
      <c r="K2116" s="41" t="str">
        <f>VLOOKUP(J2116,错误mRNA总表!D:J,7,FALSE)</f>
        <v>纠后正确，utr略有变化，版本不一致</v>
      </c>
      <c r="M2116" s="41" t="e">
        <f>VLOOKUP(I2116,错误mRNA总表!D:I,6,FALSE)</f>
        <v>#N/A</v>
      </c>
    </row>
    <row r="2117" spans="1:13" x14ac:dyDescent="0.2">
      <c r="A2117" s="12" t="s">
        <v>5053</v>
      </c>
      <c r="B2117" s="12" t="s">
        <v>4124</v>
      </c>
      <c r="C2117" s="12">
        <v>217498127</v>
      </c>
      <c r="D2117" s="12">
        <v>217498310</v>
      </c>
      <c r="E2117" s="12" t="s">
        <v>3940</v>
      </c>
      <c r="F2117" s="12">
        <v>9</v>
      </c>
      <c r="G2117" s="41" t="s">
        <v>1</v>
      </c>
      <c r="H2117" s="12" t="s">
        <v>475</v>
      </c>
      <c r="I2117" s="41" t="s">
        <v>2233</v>
      </c>
      <c r="J2117" s="41" t="s">
        <v>2233</v>
      </c>
      <c r="K2117" s="41" t="str">
        <f>VLOOKUP(J2117,错误mRNA总表!D:J,7,FALSE)</f>
        <v>无法验证，NCBIrs无此变体（rs747453609），纠后氨基酸加3个chr2:217498311-217528827</v>
      </c>
      <c r="L2117" s="41" t="s">
        <v>8351</v>
      </c>
      <c r="M2117" s="41">
        <f>VLOOKUP(I2117,错误mRNA总表!D:I,6,FALSE)</f>
        <v>0</v>
      </c>
    </row>
    <row r="2118" spans="1:13" x14ac:dyDescent="0.2">
      <c r="A2118" s="12" t="s">
        <v>4159</v>
      </c>
      <c r="B2118" s="12" t="s">
        <v>3996</v>
      </c>
      <c r="C2118" s="12">
        <v>2646867</v>
      </c>
      <c r="D2118" s="12">
        <v>2648881</v>
      </c>
      <c r="E2118" s="12" t="s">
        <v>3943</v>
      </c>
      <c r="F2118" s="12">
        <v>3</v>
      </c>
      <c r="H2118" s="12" t="s">
        <v>671</v>
      </c>
      <c r="I2118" s="41" t="s">
        <v>7607</v>
      </c>
      <c r="J2118" s="41" t="s">
        <v>2608</v>
      </c>
      <c r="K2118" s="41" t="str">
        <f>VLOOKUP(J2118,错误mRNA总表!D:J,7,FALSE)</f>
        <v/>
      </c>
      <c r="M2118" s="41" t="e">
        <f>VLOOKUP(I2118,错误mRNA总表!D:I,6,FALSE)</f>
        <v>#N/A</v>
      </c>
    </row>
    <row r="2119" spans="1:13" x14ac:dyDescent="0.2">
      <c r="A2119" s="12" t="s">
        <v>4159</v>
      </c>
      <c r="B2119" s="12" t="s">
        <v>3996</v>
      </c>
      <c r="C2119" s="12">
        <v>2646867</v>
      </c>
      <c r="D2119" s="12">
        <v>2649205</v>
      </c>
      <c r="E2119" s="12" t="s">
        <v>3940</v>
      </c>
      <c r="F2119" s="12">
        <v>1</v>
      </c>
      <c r="H2119" s="12" t="s">
        <v>671</v>
      </c>
      <c r="I2119" s="41" t="s">
        <v>7607</v>
      </c>
      <c r="J2119" s="41" t="s">
        <v>2608</v>
      </c>
      <c r="K2119" s="41" t="str">
        <f>VLOOKUP(J2119,错误mRNA总表!D:J,7,FALSE)</f>
        <v/>
      </c>
      <c r="M2119" s="41" t="e">
        <f>VLOOKUP(I2119,错误mRNA总表!D:I,6,FALSE)</f>
        <v>#N/A</v>
      </c>
    </row>
    <row r="2120" spans="1:13" x14ac:dyDescent="0.2">
      <c r="A2120" s="12" t="s">
        <v>4159</v>
      </c>
      <c r="B2120" s="12" t="s">
        <v>3996</v>
      </c>
      <c r="C2120" s="12">
        <v>2646867</v>
      </c>
      <c r="D2120" s="12">
        <v>2649486</v>
      </c>
      <c r="E2120" s="12" t="s">
        <v>3943</v>
      </c>
      <c r="F2120" s="12">
        <v>3</v>
      </c>
      <c r="H2120" s="12" t="s">
        <v>671</v>
      </c>
      <c r="I2120" s="41" t="s">
        <v>7607</v>
      </c>
      <c r="J2120" s="41" t="s">
        <v>2608</v>
      </c>
      <c r="K2120" s="41" t="str">
        <f>VLOOKUP(J2120,错误mRNA总表!D:J,7,FALSE)</f>
        <v/>
      </c>
      <c r="M2120" s="41" t="e">
        <f>VLOOKUP(I2120,错误mRNA总表!D:I,6,FALSE)</f>
        <v>#N/A</v>
      </c>
    </row>
    <row r="2121" spans="1:13" x14ac:dyDescent="0.2">
      <c r="A2121" s="12" t="s">
        <v>5054</v>
      </c>
      <c r="B2121" s="12" t="s">
        <v>4052</v>
      </c>
      <c r="C2121" s="12">
        <v>89623195</v>
      </c>
      <c r="D2121" s="12">
        <v>89623860</v>
      </c>
      <c r="E2121" s="12" t="s">
        <v>3943</v>
      </c>
      <c r="F2121" s="12">
        <v>1</v>
      </c>
      <c r="G2121" s="41" t="s">
        <v>93</v>
      </c>
      <c r="H2121" s="12" t="s">
        <v>6595</v>
      </c>
      <c r="I2121" s="41" t="s">
        <v>7608</v>
      </c>
      <c r="M2121" s="41" t="e">
        <f>VLOOKUP(I2121,错误mRNA总表!D:I,6,FALSE)</f>
        <v>#N/A</v>
      </c>
    </row>
    <row r="2122" spans="1:13" x14ac:dyDescent="0.2">
      <c r="A2122" s="12" t="s">
        <v>5055</v>
      </c>
      <c r="B2122" s="12" t="s">
        <v>3939</v>
      </c>
      <c r="C2122" s="12">
        <v>142710595</v>
      </c>
      <c r="D2122" s="12">
        <v>142712351</v>
      </c>
      <c r="E2122" s="12" t="s">
        <v>3943</v>
      </c>
      <c r="F2122" s="12">
        <v>1</v>
      </c>
      <c r="G2122" s="41" t="s">
        <v>73</v>
      </c>
      <c r="H2122" s="12" t="s">
        <v>3672</v>
      </c>
      <c r="I2122" s="41" t="s">
        <v>7609</v>
      </c>
      <c r="M2122" s="41" t="e">
        <f>VLOOKUP(I2122,错误mRNA总表!D:I,6,FALSE)</f>
        <v>#N/A</v>
      </c>
    </row>
    <row r="2123" spans="1:13" x14ac:dyDescent="0.2">
      <c r="A2123" s="12" t="s">
        <v>5055</v>
      </c>
      <c r="B2123" s="12" t="s">
        <v>3939</v>
      </c>
      <c r="C2123" s="12">
        <v>142710595</v>
      </c>
      <c r="D2123" s="12">
        <v>142714379</v>
      </c>
      <c r="E2123" s="12" t="s">
        <v>3940</v>
      </c>
      <c r="F2123" s="12">
        <v>1</v>
      </c>
      <c r="G2123" s="41" t="s">
        <v>73</v>
      </c>
      <c r="H2123" s="12" t="s">
        <v>3672</v>
      </c>
      <c r="I2123" s="41" t="s">
        <v>7609</v>
      </c>
      <c r="M2123" s="41" t="e">
        <f>VLOOKUP(I2123,错误mRNA总表!D:I,6,FALSE)</f>
        <v>#N/A</v>
      </c>
    </row>
    <row r="2124" spans="1:13" x14ac:dyDescent="0.2">
      <c r="A2124" s="12" t="s">
        <v>5055</v>
      </c>
      <c r="B2124" s="12" t="s">
        <v>3939</v>
      </c>
      <c r="C2124" s="12">
        <v>142710595</v>
      </c>
      <c r="D2124" s="12">
        <v>142715896</v>
      </c>
      <c r="E2124" s="12" t="s">
        <v>3943</v>
      </c>
      <c r="F2124" s="12">
        <v>11</v>
      </c>
      <c r="G2124" s="41" t="s">
        <v>73</v>
      </c>
      <c r="H2124" s="12" t="s">
        <v>3672</v>
      </c>
      <c r="I2124" s="41" t="s">
        <v>7609</v>
      </c>
      <c r="M2124" s="41" t="e">
        <f>VLOOKUP(I2124,错误mRNA总表!D:I,6,FALSE)</f>
        <v>#N/A</v>
      </c>
    </row>
    <row r="2125" spans="1:13" x14ac:dyDescent="0.2">
      <c r="A2125" s="12" t="s">
        <v>4406</v>
      </c>
      <c r="B2125" s="12" t="s">
        <v>3964</v>
      </c>
      <c r="C2125" s="12">
        <v>3602827</v>
      </c>
      <c r="D2125" s="12">
        <v>3602941</v>
      </c>
      <c r="E2125" s="12" t="s">
        <v>3940</v>
      </c>
      <c r="F2125" s="12">
        <v>40</v>
      </c>
      <c r="H2125" s="12" t="s">
        <v>5891</v>
      </c>
      <c r="I2125" s="41" t="s">
        <v>7610</v>
      </c>
      <c r="M2125" s="41" t="e">
        <f>VLOOKUP(I2125,错误mRNA总表!D:I,6,FALSE)</f>
        <v>#N/A</v>
      </c>
    </row>
    <row r="2126" spans="1:13" x14ac:dyDescent="0.2">
      <c r="A2126" s="12" t="s">
        <v>4406</v>
      </c>
      <c r="B2126" s="12" t="s">
        <v>3964</v>
      </c>
      <c r="C2126" s="12">
        <v>3602827</v>
      </c>
      <c r="D2126" s="12">
        <v>3660823</v>
      </c>
      <c r="E2126" s="12" t="s">
        <v>3940</v>
      </c>
      <c r="F2126" s="12">
        <v>62</v>
      </c>
      <c r="H2126" s="12" t="s">
        <v>5891</v>
      </c>
      <c r="I2126" s="41" t="s">
        <v>7610</v>
      </c>
      <c r="M2126" s="41" t="e">
        <f>VLOOKUP(I2126,错误mRNA总表!D:I,6,FALSE)</f>
        <v>#N/A</v>
      </c>
    </row>
    <row r="2127" spans="1:13" x14ac:dyDescent="0.2">
      <c r="A2127" s="12" t="s">
        <v>4406</v>
      </c>
      <c r="B2127" s="12" t="s">
        <v>3964</v>
      </c>
      <c r="C2127" s="12">
        <v>3602827</v>
      </c>
      <c r="D2127" s="12">
        <v>3676074</v>
      </c>
      <c r="E2127" s="12" t="s">
        <v>3940</v>
      </c>
      <c r="F2127" s="12">
        <v>12</v>
      </c>
      <c r="H2127" s="12" t="s">
        <v>5891</v>
      </c>
      <c r="I2127" s="41" t="s">
        <v>7610</v>
      </c>
      <c r="M2127" s="41" t="e">
        <f>VLOOKUP(I2127,错误mRNA总表!D:I,6,FALSE)</f>
        <v>#N/A</v>
      </c>
    </row>
    <row r="2128" spans="1:13" x14ac:dyDescent="0.2">
      <c r="A2128" s="12" t="s">
        <v>4406</v>
      </c>
      <c r="B2128" s="12" t="s">
        <v>3964</v>
      </c>
      <c r="C2128" s="12">
        <v>3602827</v>
      </c>
      <c r="D2128" s="12">
        <v>3676060</v>
      </c>
      <c r="E2128" s="12" t="s">
        <v>3940</v>
      </c>
      <c r="F2128" s="12">
        <v>2</v>
      </c>
      <c r="H2128" s="12" t="s">
        <v>5891</v>
      </c>
      <c r="I2128" s="41" t="s">
        <v>7610</v>
      </c>
      <c r="M2128" s="41" t="e">
        <f>VLOOKUP(I2128,错误mRNA总表!D:I,6,FALSE)</f>
        <v>#N/A</v>
      </c>
    </row>
    <row r="2129" spans="1:13" x14ac:dyDescent="0.2">
      <c r="A2129" s="12" t="s">
        <v>4406</v>
      </c>
      <c r="B2129" s="12" t="s">
        <v>3964</v>
      </c>
      <c r="C2129" s="12">
        <v>3602827</v>
      </c>
      <c r="D2129" s="12">
        <v>3676064</v>
      </c>
      <c r="E2129" s="12" t="s">
        <v>3943</v>
      </c>
      <c r="F2129" s="12">
        <v>1</v>
      </c>
      <c r="H2129" s="12" t="s">
        <v>5891</v>
      </c>
      <c r="I2129" s="41" t="s">
        <v>7610</v>
      </c>
      <c r="M2129" s="41" t="e">
        <f>VLOOKUP(I2129,错误mRNA总表!D:I,6,FALSE)</f>
        <v>#N/A</v>
      </c>
    </row>
    <row r="2130" spans="1:13" x14ac:dyDescent="0.2">
      <c r="A2130" s="12" t="s">
        <v>4406</v>
      </c>
      <c r="B2130" s="12" t="s">
        <v>3964</v>
      </c>
      <c r="C2130" s="12">
        <v>3602827</v>
      </c>
      <c r="D2130" s="12">
        <v>3679669</v>
      </c>
      <c r="E2130" s="12" t="s">
        <v>3940</v>
      </c>
      <c r="F2130" s="12">
        <v>131</v>
      </c>
      <c r="H2130" s="12" t="s">
        <v>5891</v>
      </c>
      <c r="I2130" s="41" t="s">
        <v>7610</v>
      </c>
      <c r="M2130" s="41" t="e">
        <f>VLOOKUP(I2130,错误mRNA总表!D:I,6,FALSE)</f>
        <v>#N/A</v>
      </c>
    </row>
    <row r="2131" spans="1:13" x14ac:dyDescent="0.2">
      <c r="A2131" s="12" t="s">
        <v>4406</v>
      </c>
      <c r="B2131" s="12" t="s">
        <v>3964</v>
      </c>
      <c r="C2131" s="12">
        <v>3602827</v>
      </c>
      <c r="D2131" s="12">
        <v>3702830</v>
      </c>
      <c r="E2131" s="12" t="s">
        <v>3940</v>
      </c>
      <c r="F2131" s="12">
        <v>35</v>
      </c>
      <c r="H2131" s="12" t="s">
        <v>5891</v>
      </c>
      <c r="I2131" s="41" t="s">
        <v>7610</v>
      </c>
      <c r="M2131" s="41" t="e">
        <f>VLOOKUP(I2131,错误mRNA总表!D:I,6,FALSE)</f>
        <v>#N/A</v>
      </c>
    </row>
    <row r="2132" spans="1:13" x14ac:dyDescent="0.2">
      <c r="A2132" s="12" t="s">
        <v>5056</v>
      </c>
      <c r="B2132" s="12" t="s">
        <v>4004</v>
      </c>
      <c r="C2132" s="12">
        <v>86126288</v>
      </c>
      <c r="D2132" s="12">
        <v>86126827</v>
      </c>
      <c r="E2132" s="12" t="s">
        <v>3940</v>
      </c>
      <c r="F2132" s="12">
        <v>6</v>
      </c>
      <c r="G2132" s="41" t="s">
        <v>103</v>
      </c>
      <c r="H2132" s="12" t="s">
        <v>6120</v>
      </c>
      <c r="I2132" s="41" t="s">
        <v>7611</v>
      </c>
      <c r="M2132" s="41" t="e">
        <f>VLOOKUP(I2132,错误mRNA总表!D:I,6,FALSE)</f>
        <v>#N/A</v>
      </c>
    </row>
    <row r="2133" spans="1:13" x14ac:dyDescent="0.2">
      <c r="A2133" s="12" t="s">
        <v>5057</v>
      </c>
      <c r="B2133" s="12" t="s">
        <v>3939</v>
      </c>
      <c r="C2133" s="12">
        <v>1314869</v>
      </c>
      <c r="D2133" s="12">
        <v>1314883</v>
      </c>
      <c r="E2133" s="12" t="s">
        <v>3940</v>
      </c>
      <c r="F2133" s="12">
        <v>2</v>
      </c>
      <c r="G2133" s="41" t="s">
        <v>73</v>
      </c>
      <c r="H2133" s="12" t="s">
        <v>1361</v>
      </c>
      <c r="I2133" s="41" t="s">
        <v>3300</v>
      </c>
      <c r="J2133" s="41" t="s">
        <v>3300</v>
      </c>
      <c r="K2133" s="41" t="str">
        <f>VLOOKUP(J2133,错误mRNA总表!D:J,7,FALSE)</f>
        <v>无rs号验证，氨基酸加1个chrX:1314875-1314998</v>
      </c>
      <c r="L2133" s="41" t="s">
        <v>8352</v>
      </c>
      <c r="M2133" s="41">
        <f>VLOOKUP(I2133,错误mRNA总表!D:I,6,FALSE)</f>
        <v>0</v>
      </c>
    </row>
    <row r="2134" spans="1:13" x14ac:dyDescent="0.2">
      <c r="A2134" s="12" t="s">
        <v>5057</v>
      </c>
      <c r="B2134" s="12" t="s">
        <v>3939</v>
      </c>
      <c r="C2134" s="12">
        <v>1314869</v>
      </c>
      <c r="D2134" s="12">
        <v>1314893</v>
      </c>
      <c r="E2134" s="12" t="s">
        <v>3940</v>
      </c>
      <c r="F2134" s="12">
        <v>1</v>
      </c>
      <c r="G2134" s="41" t="s">
        <v>73</v>
      </c>
      <c r="H2134" s="12" t="s">
        <v>1361</v>
      </c>
      <c r="I2134" s="41" t="s">
        <v>3300</v>
      </c>
      <c r="J2134" s="41" t="s">
        <v>3300</v>
      </c>
      <c r="K2134" s="41" t="str">
        <f>VLOOKUP(J2134,错误mRNA总表!D:J,7,FALSE)</f>
        <v>无rs号验证，氨基酸加1个chrX:1314875-1314998</v>
      </c>
      <c r="L2134" s="41" t="s">
        <v>8352</v>
      </c>
      <c r="M2134" s="41">
        <f>VLOOKUP(I2134,错误mRNA总表!D:I,6,FALSE)</f>
        <v>0</v>
      </c>
    </row>
    <row r="2135" spans="1:13" x14ac:dyDescent="0.2">
      <c r="A2135" s="12" t="s">
        <v>4027</v>
      </c>
      <c r="B2135" s="12" t="s">
        <v>3952</v>
      </c>
      <c r="C2135" s="12">
        <v>248805</v>
      </c>
      <c r="D2135" s="12">
        <v>248840</v>
      </c>
      <c r="E2135" s="12" t="s">
        <v>3940</v>
      </c>
      <c r="F2135" s="12">
        <v>2</v>
      </c>
      <c r="H2135" s="12" t="s">
        <v>3654</v>
      </c>
      <c r="I2135" s="41" t="s">
        <v>7071</v>
      </c>
      <c r="M2135" s="41" t="e">
        <f>VLOOKUP(I2135,错误mRNA总表!D:I,6,FALSE)</f>
        <v>#N/A</v>
      </c>
    </row>
    <row r="2136" spans="1:13" x14ac:dyDescent="0.2">
      <c r="A2136" s="12" t="s">
        <v>5058</v>
      </c>
      <c r="B2136" s="12" t="s">
        <v>4004</v>
      </c>
      <c r="C2136" s="12">
        <v>24808468</v>
      </c>
      <c r="D2136" s="12">
        <v>24811064</v>
      </c>
      <c r="E2136" s="12" t="s">
        <v>3943</v>
      </c>
      <c r="F2136" s="12">
        <v>1</v>
      </c>
      <c r="G2136" s="41" t="s">
        <v>103</v>
      </c>
      <c r="H2136" s="12" t="s">
        <v>8371</v>
      </c>
      <c r="I2136" s="41" t="s">
        <v>2177</v>
      </c>
      <c r="J2136" s="41" t="s">
        <v>2177</v>
      </c>
      <c r="K2136" s="41" t="str">
        <f>VLOOKUP(J2136,错误mRNA总表!D:J,7,FALSE)</f>
        <v>纠后正确，utr略有变化，版本不一致</v>
      </c>
      <c r="L2136" s="41" t="s">
        <v>3899</v>
      </c>
      <c r="M2136" s="41">
        <f>VLOOKUP(I2136,错误mRNA总表!D:I,6,FALSE)</f>
        <v>0</v>
      </c>
    </row>
    <row r="2137" spans="1:13" x14ac:dyDescent="0.2">
      <c r="A2137" s="12" t="s">
        <v>4253</v>
      </c>
      <c r="B2137" s="12" t="s">
        <v>4047</v>
      </c>
      <c r="C2137" s="12">
        <v>1264869</v>
      </c>
      <c r="D2137" s="12">
        <v>1264883</v>
      </c>
      <c r="E2137" s="12" t="s">
        <v>3940</v>
      </c>
      <c r="F2137" s="12">
        <v>2</v>
      </c>
      <c r="G2137" s="41" t="s">
        <v>1409</v>
      </c>
      <c r="H2137" s="12" t="s">
        <v>1362</v>
      </c>
      <c r="I2137" s="41" t="s">
        <v>7612</v>
      </c>
      <c r="J2137" s="41" t="s">
        <v>3403</v>
      </c>
      <c r="K2137" s="41" t="str">
        <f>VLOOKUP(J2137,错误mRNA总表!D:J,7,FALSE)</f>
        <v/>
      </c>
      <c r="M2137" s="41" t="e">
        <f>VLOOKUP(I2137,错误mRNA总表!D:I,6,FALSE)</f>
        <v>#N/A</v>
      </c>
    </row>
    <row r="2138" spans="1:13" x14ac:dyDescent="0.2">
      <c r="A2138" s="12" t="s">
        <v>4253</v>
      </c>
      <c r="B2138" s="12" t="s">
        <v>4047</v>
      </c>
      <c r="C2138" s="12">
        <v>1264869</v>
      </c>
      <c r="D2138" s="12">
        <v>1264893</v>
      </c>
      <c r="E2138" s="12" t="s">
        <v>3940</v>
      </c>
      <c r="F2138" s="12">
        <v>1</v>
      </c>
      <c r="G2138" s="41" t="s">
        <v>1409</v>
      </c>
      <c r="H2138" s="12" t="s">
        <v>1362</v>
      </c>
      <c r="I2138" s="41" t="s">
        <v>7612</v>
      </c>
      <c r="J2138" s="41" t="s">
        <v>3403</v>
      </c>
      <c r="K2138" s="41" t="str">
        <f>VLOOKUP(J2138,错误mRNA总表!D:J,7,FALSE)</f>
        <v/>
      </c>
      <c r="M2138" s="41" t="e">
        <f>VLOOKUP(I2138,错误mRNA总表!D:I,6,FALSE)</f>
        <v>#N/A</v>
      </c>
    </row>
    <row r="2139" spans="1:13" x14ac:dyDescent="0.2">
      <c r="A2139" s="12" t="s">
        <v>4160</v>
      </c>
      <c r="B2139" s="12" t="s">
        <v>3994</v>
      </c>
      <c r="C2139" s="12">
        <v>2431222</v>
      </c>
      <c r="D2139" s="12">
        <v>2432154</v>
      </c>
      <c r="E2139" s="12" t="s">
        <v>3940</v>
      </c>
      <c r="F2139" s="12">
        <v>3</v>
      </c>
      <c r="H2139" s="12" t="s">
        <v>669</v>
      </c>
      <c r="I2139" s="41" t="s">
        <v>7613</v>
      </c>
      <c r="J2139" s="41" t="s">
        <v>2606</v>
      </c>
      <c r="K2139" s="41" t="str">
        <f>VLOOKUP(J2139,错误mRNA总表!D:J,7,FALSE)</f>
        <v/>
      </c>
      <c r="M2139" s="41" t="e">
        <f>VLOOKUP(I2139,错误mRNA总表!D:I,6,FALSE)</f>
        <v>#N/A</v>
      </c>
    </row>
    <row r="2140" spans="1:13" x14ac:dyDescent="0.2">
      <c r="A2140" s="12" t="s">
        <v>5059</v>
      </c>
      <c r="B2140" s="12" t="s">
        <v>4030</v>
      </c>
      <c r="C2140" s="12">
        <v>24641234</v>
      </c>
      <c r="D2140" s="12">
        <v>24646413</v>
      </c>
      <c r="E2140" s="12" t="s">
        <v>3940</v>
      </c>
      <c r="F2140" s="12">
        <v>3</v>
      </c>
      <c r="G2140" s="41" t="s">
        <v>81</v>
      </c>
      <c r="H2140" s="12" t="s">
        <v>1071</v>
      </c>
      <c r="I2140" s="41" t="s">
        <v>2275</v>
      </c>
      <c r="J2140" s="41" t="s">
        <v>2275</v>
      </c>
      <c r="K2140" s="41" t="str">
        <f>VLOOKUP(J2140,错误mRNA总表!D:J,7,FALSE)</f>
        <v>纠后正确，加1个氨基酸chr14:24646414-24649301</v>
      </c>
      <c r="L2140" s="41" t="s">
        <v>8343</v>
      </c>
      <c r="M2140" s="41">
        <f>VLOOKUP(I2140,错误mRNA总表!D:I,6,FALSE)</f>
        <v>0</v>
      </c>
    </row>
    <row r="2141" spans="1:13" x14ac:dyDescent="0.2">
      <c r="A2141" s="12" t="s">
        <v>5060</v>
      </c>
      <c r="B2141" s="12" t="s">
        <v>4074</v>
      </c>
      <c r="C2141" s="12">
        <v>727</v>
      </c>
      <c r="D2141" s="12">
        <v>733</v>
      </c>
      <c r="E2141" s="12" t="s">
        <v>3940</v>
      </c>
      <c r="F2141" s="12">
        <v>1</v>
      </c>
      <c r="H2141" s="12" t="s">
        <v>6121</v>
      </c>
      <c r="I2141" s="41" t="s">
        <v>7614</v>
      </c>
      <c r="M2141" s="41" t="e">
        <f>VLOOKUP(I2141,错误mRNA总表!D:I,6,FALSE)</f>
        <v>#N/A</v>
      </c>
    </row>
    <row r="2142" spans="1:13" x14ac:dyDescent="0.2">
      <c r="A2142" s="12" t="s">
        <v>5061</v>
      </c>
      <c r="B2142" s="12" t="s">
        <v>4018</v>
      </c>
      <c r="C2142" s="12">
        <v>47721044</v>
      </c>
      <c r="D2142" s="12">
        <v>47721068</v>
      </c>
      <c r="E2142" s="12" t="s">
        <v>3940</v>
      </c>
      <c r="F2142" s="12">
        <v>1</v>
      </c>
      <c r="G2142" s="41" t="s">
        <v>241</v>
      </c>
      <c r="H2142" s="12" t="s">
        <v>6122</v>
      </c>
      <c r="I2142" s="41" t="s">
        <v>7615</v>
      </c>
      <c r="M2142" s="41" t="e">
        <f>VLOOKUP(I2142,错误mRNA总表!D:I,6,FALSE)</f>
        <v>#N/A</v>
      </c>
    </row>
    <row r="2143" spans="1:13" x14ac:dyDescent="0.2">
      <c r="A2143" s="12" t="s">
        <v>5061</v>
      </c>
      <c r="B2143" s="12" t="s">
        <v>4018</v>
      </c>
      <c r="C2143" s="12">
        <v>47721044</v>
      </c>
      <c r="D2143" s="12">
        <v>47721391</v>
      </c>
      <c r="E2143" s="12" t="s">
        <v>3940</v>
      </c>
      <c r="F2143" s="12">
        <v>1</v>
      </c>
      <c r="G2143" s="41" t="s">
        <v>241</v>
      </c>
      <c r="H2143" s="12" t="s">
        <v>6122</v>
      </c>
      <c r="I2143" s="41" t="s">
        <v>7615</v>
      </c>
      <c r="M2143" s="41" t="e">
        <f>VLOOKUP(I2143,错误mRNA总表!D:I,6,FALSE)</f>
        <v>#N/A</v>
      </c>
    </row>
    <row r="2144" spans="1:13" x14ac:dyDescent="0.2">
      <c r="A2144" s="12" t="s">
        <v>5062</v>
      </c>
      <c r="B2144" s="12" t="s">
        <v>4042</v>
      </c>
      <c r="C2144" s="12">
        <v>101853222</v>
      </c>
      <c r="D2144" s="12">
        <v>102029685</v>
      </c>
      <c r="E2144" s="12" t="s">
        <v>3940</v>
      </c>
      <c r="F2144" s="12">
        <v>2</v>
      </c>
      <c r="G2144" s="41" t="s">
        <v>113</v>
      </c>
      <c r="H2144" s="12" t="s">
        <v>1107</v>
      </c>
      <c r="I2144" s="41" t="s">
        <v>3378</v>
      </c>
      <c r="J2144" s="41" t="s">
        <v>3378</v>
      </c>
      <c r="K2144" s="41" t="str">
        <f>VLOOKUP(J2144,错误mRNA总表!D:J,7,FALSE)</f>
        <v>纠后正确</v>
      </c>
      <c r="L2144" s="41" t="s">
        <v>3763</v>
      </c>
      <c r="M2144" s="41">
        <f>VLOOKUP(I2144,错误mRNA总表!D:I,6,FALSE)</f>
        <v>0</v>
      </c>
    </row>
    <row r="2145" spans="1:13" x14ac:dyDescent="0.2">
      <c r="A2145" s="12" t="s">
        <v>5063</v>
      </c>
      <c r="B2145" s="12" t="s">
        <v>5064</v>
      </c>
      <c r="C2145" s="12">
        <v>1379</v>
      </c>
      <c r="D2145" s="12">
        <v>7025</v>
      </c>
      <c r="E2145" s="12" t="s">
        <v>3943</v>
      </c>
      <c r="F2145" s="12">
        <v>3</v>
      </c>
      <c r="H2145" s="12" t="s">
        <v>6123</v>
      </c>
      <c r="I2145" s="41" t="s">
        <v>7616</v>
      </c>
      <c r="M2145" s="41" t="e">
        <f>VLOOKUP(I2145,错误mRNA总表!D:I,6,FALSE)</f>
        <v>#N/A</v>
      </c>
    </row>
    <row r="2146" spans="1:13" x14ac:dyDescent="0.2">
      <c r="A2146" s="12" t="s">
        <v>5065</v>
      </c>
      <c r="B2146" s="12" t="s">
        <v>4030</v>
      </c>
      <c r="C2146" s="12">
        <v>105235686</v>
      </c>
      <c r="D2146" s="12">
        <v>105262025</v>
      </c>
      <c r="E2146" s="12" t="s">
        <v>3940</v>
      </c>
      <c r="F2146" s="12">
        <v>1</v>
      </c>
      <c r="G2146" s="41" t="s">
        <v>81</v>
      </c>
      <c r="H2146" s="12" t="s">
        <v>6124</v>
      </c>
      <c r="I2146" s="41" t="s">
        <v>7617</v>
      </c>
      <c r="M2146" s="41" t="e">
        <f>VLOOKUP(I2146,错误mRNA总表!D:I,6,FALSE)</f>
        <v>#N/A</v>
      </c>
    </row>
    <row r="2147" spans="1:13" x14ac:dyDescent="0.2">
      <c r="A2147" s="12" t="s">
        <v>4453</v>
      </c>
      <c r="B2147" s="12" t="s">
        <v>3984</v>
      </c>
      <c r="C2147" s="12">
        <v>2422154</v>
      </c>
      <c r="D2147" s="12">
        <v>2427462</v>
      </c>
      <c r="E2147" s="12" t="s">
        <v>3943</v>
      </c>
      <c r="F2147" s="12">
        <v>1</v>
      </c>
      <c r="H2147" s="12" t="s">
        <v>3554</v>
      </c>
      <c r="I2147" s="41" t="s">
        <v>7618</v>
      </c>
      <c r="M2147" s="41" t="e">
        <f>VLOOKUP(I2147,错误mRNA总表!D:I,6,FALSE)</f>
        <v>#N/A</v>
      </c>
    </row>
    <row r="2148" spans="1:13" x14ac:dyDescent="0.2">
      <c r="A2148" s="12" t="s">
        <v>5066</v>
      </c>
      <c r="B2148" s="12" t="s">
        <v>3986</v>
      </c>
      <c r="C2148" s="12">
        <v>55043909</v>
      </c>
      <c r="D2148" s="12">
        <v>55056506</v>
      </c>
      <c r="E2148" s="12" t="s">
        <v>3943</v>
      </c>
      <c r="F2148" s="12">
        <v>3</v>
      </c>
      <c r="G2148" s="41" t="s">
        <v>50</v>
      </c>
      <c r="H2148" s="12" t="s">
        <v>6125</v>
      </c>
      <c r="I2148" s="41" t="s">
        <v>7619</v>
      </c>
      <c r="M2148" s="41" t="e">
        <f>VLOOKUP(I2148,错误mRNA总表!D:I,6,FALSE)</f>
        <v>#N/A</v>
      </c>
    </row>
    <row r="2149" spans="1:13" x14ac:dyDescent="0.2">
      <c r="A2149" s="12" t="s">
        <v>5066</v>
      </c>
      <c r="B2149" s="12" t="s">
        <v>3986</v>
      </c>
      <c r="C2149" s="12">
        <v>55043909</v>
      </c>
      <c r="D2149" s="12">
        <v>55056646</v>
      </c>
      <c r="E2149" s="12" t="s">
        <v>3943</v>
      </c>
      <c r="F2149" s="12">
        <v>6</v>
      </c>
      <c r="G2149" s="41" t="s">
        <v>50</v>
      </c>
      <c r="H2149" s="12" t="s">
        <v>6125</v>
      </c>
      <c r="I2149" s="41" t="s">
        <v>7619</v>
      </c>
      <c r="M2149" s="41" t="e">
        <f>VLOOKUP(I2149,错误mRNA总表!D:I,6,FALSE)</f>
        <v>#N/A</v>
      </c>
    </row>
    <row r="2150" spans="1:13" x14ac:dyDescent="0.2">
      <c r="A2150" s="12" t="s">
        <v>5067</v>
      </c>
      <c r="B2150" s="12" t="s">
        <v>3962</v>
      </c>
      <c r="C2150" s="12">
        <v>35757224</v>
      </c>
      <c r="D2150" s="12">
        <v>35807790</v>
      </c>
      <c r="E2150" s="12" t="s">
        <v>3940</v>
      </c>
      <c r="F2150" s="12">
        <v>29</v>
      </c>
      <c r="G2150" s="41" t="s">
        <v>53</v>
      </c>
      <c r="H2150" s="12" t="s">
        <v>54</v>
      </c>
      <c r="I2150" s="41" t="s">
        <v>2082</v>
      </c>
      <c r="J2150" s="41" t="s">
        <v>2082</v>
      </c>
      <c r="K2150" s="41" t="str">
        <f>VLOOKUP(J2150,错误mRNA总表!D:J,7,FALSE)</f>
        <v>纠后正确</v>
      </c>
      <c r="L2150" s="41" t="s">
        <v>3763</v>
      </c>
      <c r="M2150" s="41">
        <f>VLOOKUP(I2150,错误mRNA总表!D:I,6,FALSE)</f>
        <v>0</v>
      </c>
    </row>
    <row r="2151" spans="1:13" x14ac:dyDescent="0.2">
      <c r="A2151" s="12" t="s">
        <v>5068</v>
      </c>
      <c r="B2151" s="12" t="s">
        <v>3957</v>
      </c>
      <c r="C2151" s="12">
        <v>125439298</v>
      </c>
      <c r="D2151" s="12">
        <v>125452303</v>
      </c>
      <c r="E2151" s="12" t="s">
        <v>3940</v>
      </c>
      <c r="F2151" s="12">
        <v>1</v>
      </c>
      <c r="G2151" s="41" t="s">
        <v>36</v>
      </c>
      <c r="H2151" s="12" t="s">
        <v>206</v>
      </c>
      <c r="I2151" s="41" t="s">
        <v>2164</v>
      </c>
      <c r="J2151" s="41" t="s">
        <v>2164</v>
      </c>
      <c r="K2151" s="41" t="str">
        <f>VLOOKUP(J2151,错误mRNA总表!D:J,7,FALSE)</f>
        <v>纠后正确</v>
      </c>
      <c r="L2151" s="41" t="s">
        <v>3763</v>
      </c>
      <c r="M2151" s="41">
        <f>VLOOKUP(I2151,错误mRNA总表!D:I,6,FALSE)</f>
        <v>0</v>
      </c>
    </row>
    <row r="2152" spans="1:13" x14ac:dyDescent="0.2">
      <c r="A2152" s="12" t="s">
        <v>5069</v>
      </c>
      <c r="B2152" s="12" t="s">
        <v>4052</v>
      </c>
      <c r="C2152" s="12">
        <v>97890037</v>
      </c>
      <c r="D2152" s="12">
        <v>97920100</v>
      </c>
      <c r="E2152" s="12" t="s">
        <v>3940</v>
      </c>
      <c r="F2152" s="12">
        <v>1</v>
      </c>
      <c r="G2152" s="41" t="s">
        <v>93</v>
      </c>
      <c r="H2152" s="12" t="s">
        <v>6126</v>
      </c>
      <c r="I2152" s="41" t="s">
        <v>7620</v>
      </c>
      <c r="M2152" s="41" t="e">
        <f>VLOOKUP(I2152,错误mRNA总表!D:I,6,FALSE)</f>
        <v>#N/A</v>
      </c>
    </row>
    <row r="2153" spans="1:13" x14ac:dyDescent="0.2">
      <c r="A2153" s="12" t="s">
        <v>5070</v>
      </c>
      <c r="B2153" s="12" t="s">
        <v>3952</v>
      </c>
      <c r="C2153" s="12">
        <v>737045</v>
      </c>
      <c r="D2153" s="12">
        <v>743879</v>
      </c>
      <c r="E2153" s="12" t="s">
        <v>3943</v>
      </c>
      <c r="F2153" s="12">
        <v>22</v>
      </c>
      <c r="H2153" s="12" t="s">
        <v>6127</v>
      </c>
      <c r="I2153" s="41" t="s">
        <v>7621</v>
      </c>
      <c r="M2153" s="41" t="e">
        <f>VLOOKUP(I2153,错误mRNA总表!D:I,6,FALSE)</f>
        <v>#N/A</v>
      </c>
    </row>
    <row r="2154" spans="1:13" x14ac:dyDescent="0.2">
      <c r="A2154" s="12" t="s">
        <v>4086</v>
      </c>
      <c r="B2154" s="12" t="s">
        <v>3984</v>
      </c>
      <c r="C2154" s="12">
        <v>1187016</v>
      </c>
      <c r="D2154" s="12">
        <v>1188302</v>
      </c>
      <c r="E2154" s="12" t="s">
        <v>3940</v>
      </c>
      <c r="F2154" s="12">
        <v>38</v>
      </c>
      <c r="H2154" s="12" t="s">
        <v>6374</v>
      </c>
      <c r="I2154" s="41" t="s">
        <v>6692</v>
      </c>
      <c r="M2154" s="41" t="e">
        <f>VLOOKUP(I2154,错误mRNA总表!D:I,6,FALSE)</f>
        <v>#N/A</v>
      </c>
    </row>
    <row r="2155" spans="1:13" x14ac:dyDescent="0.2">
      <c r="A2155" s="12" t="s">
        <v>4086</v>
      </c>
      <c r="B2155" s="12" t="s">
        <v>3984</v>
      </c>
      <c r="C2155" s="12">
        <v>1187016</v>
      </c>
      <c r="D2155" s="12">
        <v>1188129</v>
      </c>
      <c r="E2155" s="12" t="s">
        <v>3940</v>
      </c>
      <c r="F2155" s="12">
        <v>1</v>
      </c>
      <c r="H2155" s="12" t="s">
        <v>6374</v>
      </c>
      <c r="I2155" s="41" t="s">
        <v>6692</v>
      </c>
      <c r="M2155" s="41" t="e">
        <f>VLOOKUP(I2155,错误mRNA总表!D:I,6,FALSE)</f>
        <v>#N/A</v>
      </c>
    </row>
    <row r="2156" spans="1:13" x14ac:dyDescent="0.2">
      <c r="A2156" s="12" t="s">
        <v>5071</v>
      </c>
      <c r="B2156" s="12" t="s">
        <v>4004</v>
      </c>
      <c r="C2156" s="12">
        <v>76135352</v>
      </c>
      <c r="D2156" s="12">
        <v>76136594</v>
      </c>
      <c r="E2156" s="12" t="s">
        <v>3943</v>
      </c>
      <c r="F2156" s="12">
        <v>1</v>
      </c>
      <c r="G2156" s="41" t="s">
        <v>103</v>
      </c>
      <c r="H2156" s="12" t="s">
        <v>6128</v>
      </c>
      <c r="I2156" s="41" t="s">
        <v>7622</v>
      </c>
      <c r="M2156" s="41" t="e">
        <f>VLOOKUP(I2156,错误mRNA总表!D:I,6,FALSE)</f>
        <v>#N/A</v>
      </c>
    </row>
    <row r="2157" spans="1:13" x14ac:dyDescent="0.2">
      <c r="A2157" s="12" t="s">
        <v>5071</v>
      </c>
      <c r="B2157" s="12" t="s">
        <v>4004</v>
      </c>
      <c r="C2157" s="12">
        <v>76135352</v>
      </c>
      <c r="D2157" s="12">
        <v>76136602</v>
      </c>
      <c r="E2157" s="12" t="s">
        <v>3940</v>
      </c>
      <c r="F2157" s="12">
        <v>2</v>
      </c>
      <c r="G2157" s="41" t="s">
        <v>103</v>
      </c>
      <c r="H2157" s="12" t="s">
        <v>6128</v>
      </c>
      <c r="I2157" s="41" t="s">
        <v>7622</v>
      </c>
      <c r="M2157" s="41" t="e">
        <f>VLOOKUP(I2157,错误mRNA总表!D:I,6,FALSE)</f>
        <v>#N/A</v>
      </c>
    </row>
    <row r="2158" spans="1:13" x14ac:dyDescent="0.2">
      <c r="A2158" s="12" t="s">
        <v>5072</v>
      </c>
      <c r="B2158" s="12" t="s">
        <v>3978</v>
      </c>
      <c r="C2158" s="12">
        <v>53317443</v>
      </c>
      <c r="D2158" s="12">
        <v>53324819</v>
      </c>
      <c r="E2158" s="12" t="s">
        <v>3943</v>
      </c>
      <c r="F2158" s="12">
        <v>6</v>
      </c>
      <c r="G2158" s="41" t="s">
        <v>86</v>
      </c>
      <c r="H2158" s="12" t="s">
        <v>6129</v>
      </c>
      <c r="I2158" s="41" t="s">
        <v>7623</v>
      </c>
      <c r="M2158" s="41" t="e">
        <f>VLOOKUP(I2158,错误mRNA总表!D:I,6,FALSE)</f>
        <v>#N/A</v>
      </c>
    </row>
    <row r="2159" spans="1:13" x14ac:dyDescent="0.2">
      <c r="A2159" s="12" t="s">
        <v>5072</v>
      </c>
      <c r="B2159" s="12" t="s">
        <v>3978</v>
      </c>
      <c r="C2159" s="12">
        <v>53317443</v>
      </c>
      <c r="D2159" s="12">
        <v>53318546</v>
      </c>
      <c r="E2159" s="12" t="s">
        <v>3940</v>
      </c>
      <c r="F2159" s="12">
        <v>2</v>
      </c>
      <c r="G2159" s="41" t="s">
        <v>86</v>
      </c>
      <c r="H2159" s="12" t="s">
        <v>6129</v>
      </c>
      <c r="I2159" s="41" t="s">
        <v>7623</v>
      </c>
      <c r="M2159" s="41" t="e">
        <f>VLOOKUP(I2159,错误mRNA总表!D:I,6,FALSE)</f>
        <v>#N/A</v>
      </c>
    </row>
    <row r="2160" spans="1:13" x14ac:dyDescent="0.2">
      <c r="A2160" s="12" t="s">
        <v>4393</v>
      </c>
      <c r="B2160" s="12" t="s">
        <v>4045</v>
      </c>
      <c r="C2160" s="12">
        <v>134946</v>
      </c>
      <c r="D2160" s="12">
        <v>147927</v>
      </c>
      <c r="E2160" s="12" t="s">
        <v>3940</v>
      </c>
      <c r="F2160" s="12">
        <v>1</v>
      </c>
      <c r="H2160" s="12" t="s">
        <v>3648</v>
      </c>
      <c r="I2160" s="41" t="s">
        <v>6693</v>
      </c>
      <c r="M2160" s="41" t="e">
        <f>VLOOKUP(I2160,错误mRNA总表!D:I,6,FALSE)</f>
        <v>#N/A</v>
      </c>
    </row>
    <row r="2161" spans="1:13" x14ac:dyDescent="0.2">
      <c r="A2161" s="12" t="s">
        <v>4393</v>
      </c>
      <c r="B2161" s="12" t="s">
        <v>4045</v>
      </c>
      <c r="C2161" s="12">
        <v>134946</v>
      </c>
      <c r="D2161" s="12">
        <v>135009</v>
      </c>
      <c r="E2161" s="12" t="s">
        <v>3940</v>
      </c>
      <c r="F2161" s="12">
        <v>1</v>
      </c>
      <c r="H2161" s="12" t="s">
        <v>3648</v>
      </c>
      <c r="I2161" s="41" t="s">
        <v>6693</v>
      </c>
      <c r="M2161" s="41" t="e">
        <f>VLOOKUP(I2161,错误mRNA总表!D:I,6,FALSE)</f>
        <v>#N/A</v>
      </c>
    </row>
    <row r="2162" spans="1:13" x14ac:dyDescent="0.2">
      <c r="A2162" s="12" t="s">
        <v>5073</v>
      </c>
      <c r="B2162" s="12" t="s">
        <v>4049</v>
      </c>
      <c r="C2162" s="12">
        <v>63867</v>
      </c>
      <c r="D2162" s="12">
        <v>65071</v>
      </c>
      <c r="E2162" s="12" t="s">
        <v>3943</v>
      </c>
      <c r="F2162" s="12">
        <v>1</v>
      </c>
      <c r="H2162" s="12" t="s">
        <v>3514</v>
      </c>
      <c r="I2162" s="41" t="s">
        <v>7328</v>
      </c>
      <c r="M2162" s="41" t="e">
        <f>VLOOKUP(I2162,错误mRNA总表!D:I,6,FALSE)</f>
        <v>#N/A</v>
      </c>
    </row>
    <row r="2163" spans="1:13" x14ac:dyDescent="0.2">
      <c r="A2163" s="12" t="s">
        <v>5074</v>
      </c>
      <c r="B2163" s="12" t="s">
        <v>3996</v>
      </c>
      <c r="C2163" s="12">
        <v>350248</v>
      </c>
      <c r="D2163" s="12">
        <v>351239</v>
      </c>
      <c r="E2163" s="12" t="s">
        <v>3940</v>
      </c>
      <c r="F2163" s="12">
        <v>5</v>
      </c>
      <c r="H2163" s="12" t="s">
        <v>6130</v>
      </c>
      <c r="I2163" s="41" t="s">
        <v>7624</v>
      </c>
      <c r="M2163" s="41" t="e">
        <f>VLOOKUP(I2163,错误mRNA总表!D:I,6,FALSE)</f>
        <v>#N/A</v>
      </c>
    </row>
    <row r="2164" spans="1:13" x14ac:dyDescent="0.2">
      <c r="A2164" s="12" t="s">
        <v>5075</v>
      </c>
      <c r="B2164" s="12" t="s">
        <v>3942</v>
      </c>
      <c r="C2164" s="12">
        <v>135468536</v>
      </c>
      <c r="D2164" s="12">
        <v>135513085</v>
      </c>
      <c r="E2164" s="12" t="s">
        <v>3940</v>
      </c>
      <c r="F2164" s="12">
        <v>1</v>
      </c>
      <c r="G2164" s="41" t="s">
        <v>186</v>
      </c>
      <c r="H2164" s="12" t="s">
        <v>209</v>
      </c>
      <c r="I2164" s="41" t="s">
        <v>2197</v>
      </c>
      <c r="J2164" s="41" t="s">
        <v>2197</v>
      </c>
      <c r="K2164" s="41" t="str">
        <f>VLOOKUP(J2164,错误mRNA总表!D:J,7,FALSE)</f>
        <v>纠后正确</v>
      </c>
      <c r="L2164" s="41" t="s">
        <v>3763</v>
      </c>
      <c r="M2164" s="41">
        <f>VLOOKUP(I2164,错误mRNA总表!D:I,6,FALSE)</f>
        <v>0</v>
      </c>
    </row>
    <row r="2165" spans="1:13" x14ac:dyDescent="0.2">
      <c r="A2165" s="12" t="s">
        <v>4091</v>
      </c>
      <c r="B2165" s="12" t="s">
        <v>3994</v>
      </c>
      <c r="C2165" s="12">
        <v>3495334</v>
      </c>
      <c r="D2165" s="12">
        <v>3496129</v>
      </c>
      <c r="E2165" s="12" t="s">
        <v>3940</v>
      </c>
      <c r="F2165" s="12">
        <v>3</v>
      </c>
      <c r="H2165" s="12" t="s">
        <v>3578</v>
      </c>
      <c r="I2165" s="41" t="s">
        <v>7625</v>
      </c>
      <c r="M2165" s="41" t="e">
        <f>VLOOKUP(I2165,错误mRNA总表!D:I,6,FALSE)</f>
        <v>#N/A</v>
      </c>
    </row>
    <row r="2166" spans="1:13" x14ac:dyDescent="0.2">
      <c r="A2166" s="12" t="s">
        <v>4660</v>
      </c>
      <c r="B2166" s="12" t="s">
        <v>4273</v>
      </c>
      <c r="C2166" s="12">
        <v>819632</v>
      </c>
      <c r="D2166" s="12">
        <v>821432</v>
      </c>
      <c r="E2166" s="12" t="s">
        <v>3940</v>
      </c>
      <c r="F2166" s="12">
        <v>22</v>
      </c>
      <c r="H2166" s="12" t="s">
        <v>214</v>
      </c>
      <c r="I2166" s="41" t="s">
        <v>6869</v>
      </c>
      <c r="J2166" s="41" t="s">
        <v>2170</v>
      </c>
      <c r="K2166" s="41" t="str">
        <f>VLOOKUP(J2166,错误mRNA总表!D:J,7,FALSE)</f>
        <v>Browser与原结果匹配，纠后与rs匹配(rs746499983)chr19:55350966-55359398</v>
      </c>
      <c r="M2166" s="41" t="e">
        <f>VLOOKUP(I2166,错误mRNA总表!D:I,6,FALSE)</f>
        <v>#N/A</v>
      </c>
    </row>
    <row r="2167" spans="1:13" x14ac:dyDescent="0.2">
      <c r="A2167" s="12" t="s">
        <v>5076</v>
      </c>
      <c r="B2167" s="12" t="s">
        <v>4382</v>
      </c>
      <c r="C2167" s="12">
        <v>89352</v>
      </c>
      <c r="D2167" s="12">
        <v>90830</v>
      </c>
      <c r="E2167" s="12" t="s">
        <v>3940</v>
      </c>
      <c r="F2167" s="12">
        <v>1</v>
      </c>
      <c r="H2167" s="12" t="s">
        <v>226</v>
      </c>
      <c r="I2167" s="41" t="s">
        <v>7626</v>
      </c>
      <c r="J2167" s="41" t="s">
        <v>2205</v>
      </c>
      <c r="K2167" s="41" t="str">
        <f>VLOOKUP(J2167,错误mRNA总表!D:J,7,FALSE)</f>
        <v>纠后正确</v>
      </c>
      <c r="M2167" s="41" t="e">
        <f>VLOOKUP(I2167,错误mRNA总表!D:I,6,FALSE)</f>
        <v>#N/A</v>
      </c>
    </row>
    <row r="2168" spans="1:13" x14ac:dyDescent="0.2">
      <c r="A2168" s="12" t="s">
        <v>4039</v>
      </c>
      <c r="B2168" s="12" t="s">
        <v>3989</v>
      </c>
      <c r="C2168" s="12">
        <v>1871448</v>
      </c>
      <c r="D2168" s="12">
        <v>1890754</v>
      </c>
      <c r="E2168" s="12" t="s">
        <v>3943</v>
      </c>
      <c r="F2168" s="12">
        <v>1</v>
      </c>
      <c r="H2168" s="12" t="s">
        <v>3543</v>
      </c>
      <c r="I2168" s="41" t="s">
        <v>7627</v>
      </c>
      <c r="M2168" s="41" t="e">
        <f>VLOOKUP(I2168,错误mRNA总表!D:I,6,FALSE)</f>
        <v>#N/A</v>
      </c>
    </row>
    <row r="2169" spans="1:13" x14ac:dyDescent="0.2">
      <c r="A2169" s="12" t="s">
        <v>5077</v>
      </c>
      <c r="B2169" s="12" t="s">
        <v>3986</v>
      </c>
      <c r="C2169" s="12">
        <v>50922195</v>
      </c>
      <c r="D2169" s="12">
        <v>50931797</v>
      </c>
      <c r="E2169" s="12" t="s">
        <v>3940</v>
      </c>
      <c r="F2169" s="12">
        <v>1</v>
      </c>
      <c r="G2169" s="41" t="s">
        <v>50</v>
      </c>
      <c r="H2169" s="12" t="s">
        <v>1275</v>
      </c>
      <c r="I2169" s="41" t="s">
        <v>3105</v>
      </c>
      <c r="J2169" s="41" t="s">
        <v>3105</v>
      </c>
      <c r="K2169" s="41" t="str">
        <f>VLOOKUP(J2169,错误mRNA总表!D:J,7,FALSE)</f>
        <v/>
      </c>
      <c r="L2169" s="41" t="s">
        <v>3762</v>
      </c>
      <c r="M2169" s="41">
        <f>VLOOKUP(I2169,错误mRNA总表!D:I,6,FALSE)</f>
        <v>0</v>
      </c>
    </row>
    <row r="2170" spans="1:13" x14ac:dyDescent="0.2">
      <c r="A2170" s="12" t="s">
        <v>5078</v>
      </c>
      <c r="B2170" s="12" t="s">
        <v>3957</v>
      </c>
      <c r="C2170" s="12">
        <v>70313961</v>
      </c>
      <c r="D2170" s="12">
        <v>70785659</v>
      </c>
      <c r="E2170" s="12" t="s">
        <v>3940</v>
      </c>
      <c r="F2170" s="12">
        <v>25</v>
      </c>
      <c r="G2170" s="41" t="s">
        <v>36</v>
      </c>
      <c r="H2170" s="12" t="s">
        <v>962</v>
      </c>
      <c r="I2170" s="41" t="s">
        <v>3359</v>
      </c>
      <c r="J2170" s="41" t="s">
        <v>3359</v>
      </c>
      <c r="K2170" s="41" t="str">
        <f>VLOOKUP(J2170,错误mRNA总表!D:J,7,FALSE)</f>
        <v>纠后正确，区间略有变化</v>
      </c>
      <c r="L2170" s="41" t="s">
        <v>3866</v>
      </c>
      <c r="M2170" s="41" t="str">
        <f>VLOOKUP(I2170,错误mRNA总表!D:I,6,FALSE)</f>
        <v>纠后正确，区间略有变化</v>
      </c>
    </row>
    <row r="2171" spans="1:13" x14ac:dyDescent="0.2">
      <c r="A2171" s="12" t="s">
        <v>5078</v>
      </c>
      <c r="B2171" s="12" t="s">
        <v>3957</v>
      </c>
      <c r="C2171" s="12">
        <v>70313961</v>
      </c>
      <c r="D2171" s="12">
        <v>70766144</v>
      </c>
      <c r="E2171" s="12" t="s">
        <v>3940</v>
      </c>
      <c r="F2171" s="12">
        <v>64</v>
      </c>
      <c r="G2171" s="41" t="s">
        <v>36</v>
      </c>
      <c r="H2171" s="12" t="s">
        <v>962</v>
      </c>
      <c r="I2171" s="41" t="s">
        <v>3359</v>
      </c>
      <c r="J2171" s="41" t="s">
        <v>3359</v>
      </c>
      <c r="K2171" s="41" t="str">
        <f>VLOOKUP(J2171,错误mRNA总表!D:J,7,FALSE)</f>
        <v>纠后正确，区间略有变化</v>
      </c>
      <c r="L2171" s="41" t="s">
        <v>3866</v>
      </c>
      <c r="M2171" s="41" t="str">
        <f>VLOOKUP(I2171,错误mRNA总表!D:I,6,FALSE)</f>
        <v>纠后正确，区间略有变化</v>
      </c>
    </row>
    <row r="2172" spans="1:13" x14ac:dyDescent="0.2">
      <c r="A2172" s="12" t="s">
        <v>5078</v>
      </c>
      <c r="B2172" s="12" t="s">
        <v>3957</v>
      </c>
      <c r="C2172" s="12">
        <v>70313961</v>
      </c>
      <c r="D2172" s="12">
        <v>70776136</v>
      </c>
      <c r="E2172" s="12" t="s">
        <v>3943</v>
      </c>
      <c r="F2172" s="12">
        <v>1</v>
      </c>
      <c r="G2172" s="41" t="s">
        <v>36</v>
      </c>
      <c r="H2172" s="12" t="s">
        <v>962</v>
      </c>
      <c r="I2172" s="41" t="s">
        <v>3359</v>
      </c>
      <c r="J2172" s="41" t="s">
        <v>3359</v>
      </c>
      <c r="K2172" s="41" t="str">
        <f>VLOOKUP(J2172,错误mRNA总表!D:J,7,FALSE)</f>
        <v>纠后正确，区间略有变化</v>
      </c>
      <c r="L2172" s="41" t="s">
        <v>3866</v>
      </c>
      <c r="M2172" s="41" t="str">
        <f>VLOOKUP(I2172,错误mRNA总表!D:I,6,FALSE)</f>
        <v>纠后正确，区间略有变化</v>
      </c>
    </row>
    <row r="2173" spans="1:13" x14ac:dyDescent="0.2">
      <c r="A2173" s="12" t="s">
        <v>5078</v>
      </c>
      <c r="B2173" s="12" t="s">
        <v>3957</v>
      </c>
      <c r="C2173" s="12">
        <v>70313961</v>
      </c>
      <c r="D2173" s="12">
        <v>70742678</v>
      </c>
      <c r="E2173" s="12" t="s">
        <v>3940</v>
      </c>
      <c r="F2173" s="12">
        <v>52</v>
      </c>
      <c r="G2173" s="41" t="s">
        <v>36</v>
      </c>
      <c r="H2173" s="12" t="s">
        <v>962</v>
      </c>
      <c r="I2173" s="41" t="s">
        <v>3359</v>
      </c>
      <c r="J2173" s="41" t="s">
        <v>3359</v>
      </c>
      <c r="K2173" s="41" t="str">
        <f>VLOOKUP(J2173,错误mRNA总表!D:J,7,FALSE)</f>
        <v>纠后正确，区间略有变化</v>
      </c>
      <c r="L2173" s="41" t="s">
        <v>3866</v>
      </c>
      <c r="M2173" s="41" t="str">
        <f>VLOOKUP(I2173,错误mRNA总表!D:I,6,FALSE)</f>
        <v>纠后正确，区间略有变化</v>
      </c>
    </row>
    <row r="2174" spans="1:13" x14ac:dyDescent="0.2">
      <c r="A2174" s="12" t="s">
        <v>5079</v>
      </c>
      <c r="B2174" s="12" t="s">
        <v>3942</v>
      </c>
      <c r="C2174" s="12">
        <v>175810940</v>
      </c>
      <c r="D2174" s="12">
        <v>175811094</v>
      </c>
      <c r="E2174" s="12" t="s">
        <v>3940</v>
      </c>
      <c r="F2174" s="12">
        <v>2</v>
      </c>
      <c r="G2174" s="41" t="s">
        <v>186</v>
      </c>
      <c r="H2174" s="12" t="s">
        <v>6147</v>
      </c>
      <c r="I2174" s="41" t="s">
        <v>7628</v>
      </c>
      <c r="M2174" s="41" t="e">
        <f>VLOOKUP(I2174,错误mRNA总表!D:I,6,FALSE)</f>
        <v>#N/A</v>
      </c>
    </row>
    <row r="2175" spans="1:13" x14ac:dyDescent="0.2">
      <c r="A2175" s="12" t="s">
        <v>5080</v>
      </c>
      <c r="B2175" s="12" t="s">
        <v>4066</v>
      </c>
      <c r="C2175" s="12">
        <v>6422526</v>
      </c>
      <c r="D2175" s="12">
        <v>6422728</v>
      </c>
      <c r="E2175" s="12" t="s">
        <v>3943</v>
      </c>
      <c r="F2175" s="12">
        <v>3</v>
      </c>
      <c r="H2175" s="12" t="s">
        <v>6131</v>
      </c>
      <c r="I2175" s="41" t="s">
        <v>7629</v>
      </c>
      <c r="M2175" s="41" t="e">
        <f>VLOOKUP(I2175,错误mRNA总表!D:I,6,FALSE)</f>
        <v>#N/A</v>
      </c>
    </row>
    <row r="2176" spans="1:13" x14ac:dyDescent="0.2">
      <c r="A2176" s="12" t="s">
        <v>5081</v>
      </c>
      <c r="B2176" s="12" t="s">
        <v>4339</v>
      </c>
      <c r="C2176" s="12">
        <v>1145616</v>
      </c>
      <c r="D2176" s="12">
        <v>1145647</v>
      </c>
      <c r="E2176" s="12" t="s">
        <v>3940</v>
      </c>
      <c r="F2176" s="12">
        <v>1</v>
      </c>
      <c r="H2176" s="12" t="s">
        <v>6132</v>
      </c>
      <c r="I2176" s="41" t="s">
        <v>7630</v>
      </c>
      <c r="M2176" s="41" t="e">
        <f>VLOOKUP(I2176,错误mRNA总表!D:I,6,FALSE)</f>
        <v>#N/A</v>
      </c>
    </row>
    <row r="2177" spans="1:13" x14ac:dyDescent="0.2">
      <c r="A2177" s="12" t="s">
        <v>4466</v>
      </c>
      <c r="B2177" s="12" t="s">
        <v>4527</v>
      </c>
      <c r="C2177" s="12">
        <v>161656</v>
      </c>
      <c r="D2177" s="12">
        <v>161903</v>
      </c>
      <c r="E2177" s="12" t="s">
        <v>3943</v>
      </c>
      <c r="F2177" s="12">
        <v>1</v>
      </c>
      <c r="H2177" s="12" t="s">
        <v>758</v>
      </c>
      <c r="I2177" s="41" t="s">
        <v>7631</v>
      </c>
      <c r="J2177" s="41" t="s">
        <v>2249</v>
      </c>
      <c r="K2177" s="41" t="str">
        <f>VLOOKUP(J2177,错误mRNA总表!D:J,7,FALSE)</f>
        <v>纠后正确，区间略有变化，加433个氨基酸chr7:130146517-130287359</v>
      </c>
      <c r="M2177" s="41" t="e">
        <f>VLOOKUP(I2177,错误mRNA总表!D:I,6,FALSE)</f>
        <v>#N/A</v>
      </c>
    </row>
    <row r="2178" spans="1:13" x14ac:dyDescent="0.2">
      <c r="A2178" s="12" t="s">
        <v>5082</v>
      </c>
      <c r="B2178" s="12" t="s">
        <v>3948</v>
      </c>
      <c r="C2178" s="12">
        <v>74601104</v>
      </c>
      <c r="D2178" s="12">
        <v>74653422</v>
      </c>
      <c r="E2178" s="12" t="s">
        <v>3943</v>
      </c>
      <c r="F2178" s="12">
        <v>2</v>
      </c>
      <c r="G2178" s="41" t="s">
        <v>40</v>
      </c>
      <c r="H2178" s="12" t="s">
        <v>6529</v>
      </c>
      <c r="I2178" s="41" t="s">
        <v>7632</v>
      </c>
      <c r="M2178" s="41" t="e">
        <f>VLOOKUP(I2178,错误mRNA总表!D:I,6,FALSE)</f>
        <v>#N/A</v>
      </c>
    </row>
    <row r="2179" spans="1:13" x14ac:dyDescent="0.2">
      <c r="A2179" s="12" t="s">
        <v>5082</v>
      </c>
      <c r="B2179" s="12" t="s">
        <v>3948</v>
      </c>
      <c r="C2179" s="12">
        <v>74601104</v>
      </c>
      <c r="D2179" s="12">
        <v>74608658</v>
      </c>
      <c r="E2179" s="12" t="s">
        <v>3943</v>
      </c>
      <c r="F2179" s="12">
        <v>1</v>
      </c>
      <c r="G2179" s="41" t="s">
        <v>40</v>
      </c>
      <c r="H2179" s="12" t="s">
        <v>6529</v>
      </c>
      <c r="I2179" s="41" t="s">
        <v>7632</v>
      </c>
      <c r="M2179" s="41" t="e">
        <f>VLOOKUP(I2179,错误mRNA总表!D:I,6,FALSE)</f>
        <v>#N/A</v>
      </c>
    </row>
    <row r="2180" spans="1:13" x14ac:dyDescent="0.2">
      <c r="A2180" s="12" t="s">
        <v>5082</v>
      </c>
      <c r="B2180" s="12" t="s">
        <v>3948</v>
      </c>
      <c r="C2180" s="12">
        <v>74601104</v>
      </c>
      <c r="D2180" s="12">
        <v>74608662</v>
      </c>
      <c r="E2180" s="12" t="s">
        <v>3943</v>
      </c>
      <c r="F2180" s="12">
        <v>1</v>
      </c>
      <c r="G2180" s="41" t="s">
        <v>40</v>
      </c>
      <c r="H2180" s="12" t="s">
        <v>6529</v>
      </c>
      <c r="I2180" s="41" t="s">
        <v>7632</v>
      </c>
      <c r="M2180" s="41" t="e">
        <f>VLOOKUP(I2180,错误mRNA总表!D:I,6,FALSE)</f>
        <v>#N/A</v>
      </c>
    </row>
    <row r="2181" spans="1:13" x14ac:dyDescent="0.2">
      <c r="A2181" s="12" t="s">
        <v>5083</v>
      </c>
      <c r="B2181" s="12" t="s">
        <v>3994</v>
      </c>
      <c r="C2181" s="12">
        <v>2043580</v>
      </c>
      <c r="D2181" s="12">
        <v>2046974</v>
      </c>
      <c r="E2181" s="12" t="s">
        <v>3940</v>
      </c>
      <c r="F2181" s="12">
        <v>92</v>
      </c>
      <c r="H2181" s="12" t="s">
        <v>3418</v>
      </c>
      <c r="I2181" s="41" t="s">
        <v>7633</v>
      </c>
      <c r="M2181" s="41" t="e">
        <f>VLOOKUP(I2181,错误mRNA总表!D:I,6,FALSE)</f>
        <v>#N/A</v>
      </c>
    </row>
    <row r="2182" spans="1:13" x14ac:dyDescent="0.2">
      <c r="A2182" s="12" t="s">
        <v>5084</v>
      </c>
      <c r="B2182" s="12" t="s">
        <v>3978</v>
      </c>
      <c r="C2182" s="12">
        <v>14444076</v>
      </c>
      <c r="D2182" s="12">
        <v>14444243</v>
      </c>
      <c r="E2182" s="12" t="s">
        <v>3943</v>
      </c>
      <c r="F2182" s="12">
        <v>1</v>
      </c>
      <c r="G2182" s="41" t="s">
        <v>86</v>
      </c>
      <c r="H2182" s="12" t="s">
        <v>6452</v>
      </c>
      <c r="I2182" s="41" t="s">
        <v>7634</v>
      </c>
      <c r="M2182" s="41" t="e">
        <f>VLOOKUP(I2182,错误mRNA总表!D:I,6,FALSE)</f>
        <v>#N/A</v>
      </c>
    </row>
    <row r="2183" spans="1:13" x14ac:dyDescent="0.2">
      <c r="A2183" s="12" t="s">
        <v>5084</v>
      </c>
      <c r="B2183" s="12" t="s">
        <v>3978</v>
      </c>
      <c r="C2183" s="12">
        <v>14444076</v>
      </c>
      <c r="D2183" s="12">
        <v>14444249</v>
      </c>
      <c r="E2183" s="12" t="s">
        <v>3943</v>
      </c>
      <c r="F2183" s="12">
        <v>1</v>
      </c>
      <c r="G2183" s="41" t="s">
        <v>86</v>
      </c>
      <c r="H2183" s="12" t="s">
        <v>6452</v>
      </c>
      <c r="I2183" s="41" t="s">
        <v>7634</v>
      </c>
      <c r="M2183" s="41" t="e">
        <f>VLOOKUP(I2183,错误mRNA总表!D:I,6,FALSE)</f>
        <v>#N/A</v>
      </c>
    </row>
    <row r="2184" spans="1:13" x14ac:dyDescent="0.2">
      <c r="A2184" s="12" t="s">
        <v>5084</v>
      </c>
      <c r="B2184" s="12" t="s">
        <v>3978</v>
      </c>
      <c r="C2184" s="12">
        <v>14444076</v>
      </c>
      <c r="D2184" s="12">
        <v>14444277</v>
      </c>
      <c r="E2184" s="12" t="s">
        <v>3943</v>
      </c>
      <c r="F2184" s="12">
        <v>1</v>
      </c>
      <c r="G2184" s="41" t="s">
        <v>86</v>
      </c>
      <c r="H2184" s="12" t="s">
        <v>6452</v>
      </c>
      <c r="I2184" s="41" t="s">
        <v>7634</v>
      </c>
      <c r="M2184" s="41" t="e">
        <f>VLOOKUP(I2184,错误mRNA总表!D:I,6,FALSE)</f>
        <v>#N/A</v>
      </c>
    </row>
    <row r="2185" spans="1:13" x14ac:dyDescent="0.2">
      <c r="A2185" s="12" t="s">
        <v>5084</v>
      </c>
      <c r="B2185" s="12" t="s">
        <v>3978</v>
      </c>
      <c r="C2185" s="12">
        <v>14444076</v>
      </c>
      <c r="D2185" s="12">
        <v>14444286</v>
      </c>
      <c r="E2185" s="12" t="s">
        <v>3943</v>
      </c>
      <c r="F2185" s="12">
        <v>1</v>
      </c>
      <c r="G2185" s="41" t="s">
        <v>86</v>
      </c>
      <c r="H2185" s="12" t="s">
        <v>6452</v>
      </c>
      <c r="I2185" s="41" t="s">
        <v>7634</v>
      </c>
      <c r="M2185" s="41" t="e">
        <f>VLOOKUP(I2185,错误mRNA总表!D:I,6,FALSE)</f>
        <v>#N/A</v>
      </c>
    </row>
    <row r="2186" spans="1:13" x14ac:dyDescent="0.2">
      <c r="A2186" s="12" t="s">
        <v>5084</v>
      </c>
      <c r="B2186" s="12" t="s">
        <v>3978</v>
      </c>
      <c r="C2186" s="12">
        <v>14444076</v>
      </c>
      <c r="D2186" s="12">
        <v>14444308</v>
      </c>
      <c r="E2186" s="12" t="s">
        <v>3943</v>
      </c>
      <c r="F2186" s="12">
        <v>1</v>
      </c>
      <c r="G2186" s="41" t="s">
        <v>86</v>
      </c>
      <c r="H2186" s="12" t="s">
        <v>6452</v>
      </c>
      <c r="I2186" s="41" t="s">
        <v>7634</v>
      </c>
      <c r="M2186" s="41" t="e">
        <f>VLOOKUP(I2186,错误mRNA总表!D:I,6,FALSE)</f>
        <v>#N/A</v>
      </c>
    </row>
    <row r="2187" spans="1:13" x14ac:dyDescent="0.2">
      <c r="A2187" s="12" t="s">
        <v>5084</v>
      </c>
      <c r="B2187" s="12" t="s">
        <v>3978</v>
      </c>
      <c r="C2187" s="12">
        <v>14444076</v>
      </c>
      <c r="D2187" s="12">
        <v>14444318</v>
      </c>
      <c r="E2187" s="12" t="s">
        <v>3943</v>
      </c>
      <c r="F2187" s="12">
        <v>1</v>
      </c>
      <c r="G2187" s="41" t="s">
        <v>86</v>
      </c>
      <c r="H2187" s="12" t="s">
        <v>6452</v>
      </c>
      <c r="I2187" s="41" t="s">
        <v>7634</v>
      </c>
      <c r="M2187" s="41" t="e">
        <f>VLOOKUP(I2187,错误mRNA总表!D:I,6,FALSE)</f>
        <v>#N/A</v>
      </c>
    </row>
    <row r="2188" spans="1:13" x14ac:dyDescent="0.2">
      <c r="A2188" s="12" t="s">
        <v>5084</v>
      </c>
      <c r="B2188" s="12" t="s">
        <v>3978</v>
      </c>
      <c r="C2188" s="12">
        <v>14444076</v>
      </c>
      <c r="D2188" s="12">
        <v>14444326</v>
      </c>
      <c r="E2188" s="12" t="s">
        <v>3943</v>
      </c>
      <c r="F2188" s="12">
        <v>1</v>
      </c>
      <c r="G2188" s="41" t="s">
        <v>86</v>
      </c>
      <c r="H2188" s="12" t="s">
        <v>6452</v>
      </c>
      <c r="I2188" s="41" t="s">
        <v>7634</v>
      </c>
      <c r="M2188" s="41" t="e">
        <f>VLOOKUP(I2188,错误mRNA总表!D:I,6,FALSE)</f>
        <v>#N/A</v>
      </c>
    </row>
    <row r="2189" spans="1:13" x14ac:dyDescent="0.2">
      <c r="A2189" s="12" t="s">
        <v>5084</v>
      </c>
      <c r="B2189" s="12" t="s">
        <v>3978</v>
      </c>
      <c r="C2189" s="12">
        <v>14444076</v>
      </c>
      <c r="D2189" s="12">
        <v>14444329</v>
      </c>
      <c r="E2189" s="12" t="s">
        <v>3943</v>
      </c>
      <c r="F2189" s="12">
        <v>1</v>
      </c>
      <c r="G2189" s="41" t="s">
        <v>86</v>
      </c>
      <c r="H2189" s="12" t="s">
        <v>6452</v>
      </c>
      <c r="I2189" s="41" t="s">
        <v>7634</v>
      </c>
      <c r="M2189" s="41" t="e">
        <f>VLOOKUP(I2189,错误mRNA总表!D:I,6,FALSE)</f>
        <v>#N/A</v>
      </c>
    </row>
    <row r="2190" spans="1:13" x14ac:dyDescent="0.2">
      <c r="A2190" s="12" t="s">
        <v>3949</v>
      </c>
      <c r="B2190" s="12" t="s">
        <v>3986</v>
      </c>
      <c r="C2190" s="12">
        <v>54818353</v>
      </c>
      <c r="D2190" s="12">
        <v>54818525</v>
      </c>
      <c r="E2190" s="12" t="s">
        <v>3943</v>
      </c>
      <c r="F2190" s="12">
        <v>2</v>
      </c>
      <c r="G2190" s="41" t="s">
        <v>50</v>
      </c>
      <c r="H2190" s="12" t="s">
        <v>3659</v>
      </c>
      <c r="I2190" s="41" t="s">
        <v>7635</v>
      </c>
      <c r="M2190" s="41" t="e">
        <f>VLOOKUP(I2190,错误mRNA总表!D:I,6,FALSE)</f>
        <v>#N/A</v>
      </c>
    </row>
    <row r="2191" spans="1:13" x14ac:dyDescent="0.2">
      <c r="A2191" s="12" t="s">
        <v>5085</v>
      </c>
      <c r="B2191" s="12" t="s">
        <v>4055</v>
      </c>
      <c r="C2191" s="12">
        <v>109304658</v>
      </c>
      <c r="D2191" s="12">
        <v>109372440</v>
      </c>
      <c r="E2191" s="12" t="s">
        <v>3940</v>
      </c>
      <c r="F2191" s="12">
        <v>5</v>
      </c>
      <c r="G2191" s="41" t="s">
        <v>212</v>
      </c>
      <c r="H2191" s="12" t="s">
        <v>1044</v>
      </c>
      <c r="I2191" s="41" t="s">
        <v>3372</v>
      </c>
      <c r="J2191" s="41" t="s">
        <v>3372</v>
      </c>
      <c r="K2191" s="41" t="str">
        <f>VLOOKUP(J2191,错误mRNA总表!D:J,7,FALSE)</f>
        <v>纠后正确</v>
      </c>
      <c r="L2191" s="41" t="s">
        <v>3763</v>
      </c>
      <c r="M2191" s="41">
        <f>VLOOKUP(I2191,错误mRNA总表!D:I,6,FALSE)</f>
        <v>0</v>
      </c>
    </row>
    <row r="2192" spans="1:13" x14ac:dyDescent="0.2">
      <c r="A2192" s="12" t="s">
        <v>5086</v>
      </c>
      <c r="B2192" s="12" t="s">
        <v>4052</v>
      </c>
      <c r="C2192" s="12">
        <v>97889813</v>
      </c>
      <c r="D2192" s="12">
        <v>97920100</v>
      </c>
      <c r="E2192" s="12" t="s">
        <v>3940</v>
      </c>
      <c r="F2192" s="12">
        <v>1</v>
      </c>
      <c r="G2192" s="41" t="s">
        <v>93</v>
      </c>
      <c r="H2192" s="12" t="s">
        <v>3454</v>
      </c>
      <c r="I2192" s="41" t="s">
        <v>7636</v>
      </c>
      <c r="M2192" s="41" t="e">
        <f>VLOOKUP(I2192,错误mRNA总表!D:I,6,FALSE)</f>
        <v>#N/A</v>
      </c>
    </row>
    <row r="2193" spans="1:13" x14ac:dyDescent="0.2">
      <c r="A2193" s="12" t="s">
        <v>4331</v>
      </c>
      <c r="B2193" s="12" t="s">
        <v>3994</v>
      </c>
      <c r="C2193" s="12">
        <v>2480458</v>
      </c>
      <c r="D2193" s="12">
        <v>2482472</v>
      </c>
      <c r="E2193" s="12" t="s">
        <v>3943</v>
      </c>
      <c r="F2193" s="12">
        <v>3</v>
      </c>
      <c r="H2193" s="12" t="s">
        <v>5872</v>
      </c>
      <c r="I2193" s="41" t="s">
        <v>7637</v>
      </c>
      <c r="M2193" s="41" t="e">
        <f>VLOOKUP(I2193,错误mRNA总表!D:I,6,FALSE)</f>
        <v>#N/A</v>
      </c>
    </row>
    <row r="2194" spans="1:13" x14ac:dyDescent="0.2">
      <c r="A2194" s="12" t="s">
        <v>4331</v>
      </c>
      <c r="B2194" s="12" t="s">
        <v>3994</v>
      </c>
      <c r="C2194" s="12">
        <v>2480458</v>
      </c>
      <c r="D2194" s="12">
        <v>2482796</v>
      </c>
      <c r="E2194" s="12" t="s">
        <v>3940</v>
      </c>
      <c r="F2194" s="12">
        <v>1</v>
      </c>
      <c r="H2194" s="12" t="s">
        <v>5872</v>
      </c>
      <c r="I2194" s="41" t="s">
        <v>7637</v>
      </c>
      <c r="M2194" s="41" t="e">
        <f>VLOOKUP(I2194,错误mRNA总表!D:I,6,FALSE)</f>
        <v>#N/A</v>
      </c>
    </row>
    <row r="2195" spans="1:13" x14ac:dyDescent="0.2">
      <c r="A2195" s="12" t="s">
        <v>4331</v>
      </c>
      <c r="B2195" s="12" t="s">
        <v>3994</v>
      </c>
      <c r="C2195" s="12">
        <v>2480458</v>
      </c>
      <c r="D2195" s="12">
        <v>2483077</v>
      </c>
      <c r="E2195" s="12" t="s">
        <v>3943</v>
      </c>
      <c r="F2195" s="12">
        <v>3</v>
      </c>
      <c r="H2195" s="12" t="s">
        <v>5872</v>
      </c>
      <c r="I2195" s="41" t="s">
        <v>7637</v>
      </c>
      <c r="M2195" s="41" t="e">
        <f>VLOOKUP(I2195,错误mRNA总表!D:I,6,FALSE)</f>
        <v>#N/A</v>
      </c>
    </row>
    <row r="2196" spans="1:13" x14ac:dyDescent="0.2">
      <c r="A2196" s="12" t="s">
        <v>5087</v>
      </c>
      <c r="B2196" s="12" t="s">
        <v>3962</v>
      </c>
      <c r="C2196" s="12">
        <v>62329995</v>
      </c>
      <c r="D2196" s="12">
        <v>62331335</v>
      </c>
      <c r="E2196" s="12" t="s">
        <v>3940</v>
      </c>
      <c r="F2196" s="12">
        <v>1</v>
      </c>
      <c r="G2196" s="41" t="s">
        <v>53</v>
      </c>
      <c r="H2196" s="12" t="s">
        <v>6439</v>
      </c>
      <c r="I2196" s="41" t="s">
        <v>7638</v>
      </c>
      <c r="M2196" s="41" t="e">
        <f>VLOOKUP(I2196,错误mRNA总表!D:I,6,FALSE)</f>
        <v>#N/A</v>
      </c>
    </row>
    <row r="2197" spans="1:13" x14ac:dyDescent="0.2">
      <c r="A2197" s="12" t="s">
        <v>4750</v>
      </c>
      <c r="B2197" s="12" t="s">
        <v>4023</v>
      </c>
      <c r="C2197" s="12">
        <v>1151952</v>
      </c>
      <c r="D2197" s="12">
        <v>1153090</v>
      </c>
      <c r="E2197" s="12" t="s">
        <v>3943</v>
      </c>
      <c r="F2197" s="12">
        <v>1</v>
      </c>
      <c r="H2197" s="12" t="s">
        <v>6195</v>
      </c>
      <c r="I2197" s="41" t="s">
        <v>7639</v>
      </c>
      <c r="M2197" s="41" t="e">
        <f>VLOOKUP(I2197,错误mRNA总表!D:I,6,FALSE)</f>
        <v>#N/A</v>
      </c>
    </row>
    <row r="2198" spans="1:13" x14ac:dyDescent="0.2">
      <c r="A2198" s="12" t="s">
        <v>4567</v>
      </c>
      <c r="B2198" s="12" t="s">
        <v>4023</v>
      </c>
      <c r="C2198" s="12">
        <v>954315</v>
      </c>
      <c r="D2198" s="12">
        <v>955234</v>
      </c>
      <c r="E2198" s="12" t="s">
        <v>3943</v>
      </c>
      <c r="F2198" s="12">
        <v>1</v>
      </c>
      <c r="H2198" s="12" t="s">
        <v>3467</v>
      </c>
      <c r="I2198" s="41" t="s">
        <v>7069</v>
      </c>
      <c r="M2198" s="41" t="e">
        <f>VLOOKUP(I2198,错误mRNA总表!D:I,6,FALSE)</f>
        <v>#N/A</v>
      </c>
    </row>
    <row r="2199" spans="1:13" x14ac:dyDescent="0.2">
      <c r="A2199" s="12" t="s">
        <v>5088</v>
      </c>
      <c r="B2199" s="12" t="s">
        <v>3957</v>
      </c>
      <c r="C2199" s="12">
        <v>1074875</v>
      </c>
      <c r="D2199" s="12">
        <v>1092799</v>
      </c>
      <c r="E2199" s="12" t="s">
        <v>3940</v>
      </c>
      <c r="F2199" s="12">
        <v>1083</v>
      </c>
      <c r="G2199" s="41" t="s">
        <v>36</v>
      </c>
      <c r="H2199" s="12" t="s">
        <v>901</v>
      </c>
      <c r="I2199" s="41" t="s">
        <v>2265</v>
      </c>
      <c r="J2199" s="41" t="s">
        <v>2265</v>
      </c>
      <c r="K2199" s="41" t="str">
        <f>VLOOKUP(J2199,错误mRNA总表!D:J,7,FALSE)</f>
        <v>多出1828个氨基酸，但无法验证哪个正确，NCBIrs无氨基酸注释信息chr11:1092802-1104263</v>
      </c>
      <c r="L2199" s="41" t="s">
        <v>8353</v>
      </c>
      <c r="M2199" s="41">
        <f>VLOOKUP(I2199,错误mRNA总表!D:I,6,FALSE)</f>
        <v>0</v>
      </c>
    </row>
    <row r="2200" spans="1:13" x14ac:dyDescent="0.2">
      <c r="A2200" s="12" t="s">
        <v>5088</v>
      </c>
      <c r="B2200" s="12" t="s">
        <v>3957</v>
      </c>
      <c r="C2200" s="12">
        <v>1074875</v>
      </c>
      <c r="D2200" s="12">
        <v>1093668</v>
      </c>
      <c r="E2200" s="12" t="s">
        <v>3940</v>
      </c>
      <c r="F2200" s="12">
        <v>6015</v>
      </c>
      <c r="G2200" s="41" t="s">
        <v>36</v>
      </c>
      <c r="H2200" s="12" t="s">
        <v>901</v>
      </c>
      <c r="I2200" s="41" t="s">
        <v>2265</v>
      </c>
      <c r="J2200" s="41" t="s">
        <v>2265</v>
      </c>
      <c r="K2200" s="41" t="str">
        <f>VLOOKUP(J2200,错误mRNA总表!D:J,7,FALSE)</f>
        <v>多出1828个氨基酸，但无法验证哪个正确，NCBIrs无氨基酸注释信息chr11:1092802-1104263</v>
      </c>
      <c r="L2200" s="41" t="s">
        <v>8353</v>
      </c>
      <c r="M2200" s="41">
        <f>VLOOKUP(I2200,错误mRNA总表!D:I,6,FALSE)</f>
        <v>0</v>
      </c>
    </row>
    <row r="2201" spans="1:13" x14ac:dyDescent="0.2">
      <c r="A2201" s="12" t="s">
        <v>5089</v>
      </c>
      <c r="B2201" s="12" t="s">
        <v>3948</v>
      </c>
      <c r="C2201" s="12">
        <v>149473131</v>
      </c>
      <c r="D2201" s="12">
        <v>149476664</v>
      </c>
      <c r="E2201" s="12" t="s">
        <v>3943</v>
      </c>
      <c r="F2201" s="12">
        <v>2</v>
      </c>
      <c r="G2201" s="41" t="s">
        <v>40</v>
      </c>
      <c r="H2201" s="12" t="s">
        <v>161</v>
      </c>
      <c r="I2201" s="41" t="s">
        <v>2145</v>
      </c>
      <c r="J2201" s="41" t="s">
        <v>2145</v>
      </c>
      <c r="K2201" s="41" t="str">
        <f>VLOOKUP(J2201,错误mRNA总表!D:J,7,FALSE)</f>
        <v>纠后正确</v>
      </c>
      <c r="L2201" s="41" t="s">
        <v>3763</v>
      </c>
      <c r="M2201" s="41">
        <f>VLOOKUP(I2201,错误mRNA总表!D:I,6,FALSE)</f>
        <v>0</v>
      </c>
    </row>
    <row r="2202" spans="1:13" x14ac:dyDescent="0.2">
      <c r="A2202" s="12" t="s">
        <v>5089</v>
      </c>
      <c r="B2202" s="12" t="s">
        <v>3948</v>
      </c>
      <c r="C2202" s="12">
        <v>149473131</v>
      </c>
      <c r="D2202" s="12">
        <v>149481971</v>
      </c>
      <c r="E2202" s="12" t="s">
        <v>3943</v>
      </c>
      <c r="F2202" s="12">
        <v>2</v>
      </c>
      <c r="G2202" s="41" t="s">
        <v>40</v>
      </c>
      <c r="H2202" s="12" t="s">
        <v>161</v>
      </c>
      <c r="I2202" s="41" t="s">
        <v>2145</v>
      </c>
      <c r="J2202" s="41" t="s">
        <v>2145</v>
      </c>
      <c r="K2202" s="41" t="str">
        <f>VLOOKUP(J2202,错误mRNA总表!D:J,7,FALSE)</f>
        <v>纠后正确</v>
      </c>
      <c r="L2202" s="41" t="s">
        <v>3763</v>
      </c>
      <c r="M2202" s="41">
        <f>VLOOKUP(I2202,错误mRNA总表!D:I,6,FALSE)</f>
        <v>0</v>
      </c>
    </row>
    <row r="2203" spans="1:13" x14ac:dyDescent="0.2">
      <c r="A2203" s="12" t="s">
        <v>5089</v>
      </c>
      <c r="B2203" s="12" t="s">
        <v>3948</v>
      </c>
      <c r="C2203" s="12">
        <v>149473131</v>
      </c>
      <c r="D2203" s="12">
        <v>149503922</v>
      </c>
      <c r="E2203" s="12" t="s">
        <v>3943</v>
      </c>
      <c r="F2203" s="12">
        <v>4</v>
      </c>
      <c r="G2203" s="41" t="s">
        <v>40</v>
      </c>
      <c r="H2203" s="12" t="s">
        <v>161</v>
      </c>
      <c r="I2203" s="41" t="s">
        <v>2145</v>
      </c>
      <c r="J2203" s="41" t="s">
        <v>2145</v>
      </c>
      <c r="K2203" s="41" t="str">
        <f>VLOOKUP(J2203,错误mRNA总表!D:J,7,FALSE)</f>
        <v>纠后正确</v>
      </c>
      <c r="L2203" s="41" t="s">
        <v>3763</v>
      </c>
      <c r="M2203" s="41">
        <f>VLOOKUP(I2203,错误mRNA总表!D:I,6,FALSE)</f>
        <v>0</v>
      </c>
    </row>
    <row r="2204" spans="1:13" x14ac:dyDescent="0.2">
      <c r="A2204" s="12" t="s">
        <v>5089</v>
      </c>
      <c r="B2204" s="12" t="s">
        <v>3948</v>
      </c>
      <c r="C2204" s="12">
        <v>149473131</v>
      </c>
      <c r="D2204" s="12">
        <v>149506212</v>
      </c>
      <c r="E2204" s="12" t="s">
        <v>3943</v>
      </c>
      <c r="F2204" s="12">
        <v>2</v>
      </c>
      <c r="G2204" s="41" t="s">
        <v>40</v>
      </c>
      <c r="H2204" s="12" t="s">
        <v>161</v>
      </c>
      <c r="I2204" s="41" t="s">
        <v>2145</v>
      </c>
      <c r="J2204" s="41" t="s">
        <v>2145</v>
      </c>
      <c r="K2204" s="41" t="str">
        <f>VLOOKUP(J2204,错误mRNA总表!D:J,7,FALSE)</f>
        <v>纠后正确</v>
      </c>
      <c r="L2204" s="41" t="s">
        <v>3763</v>
      </c>
      <c r="M2204" s="41">
        <f>VLOOKUP(I2204,错误mRNA总表!D:I,6,FALSE)</f>
        <v>0</v>
      </c>
    </row>
    <row r="2205" spans="1:13" x14ac:dyDescent="0.2">
      <c r="A2205" s="12" t="s">
        <v>5089</v>
      </c>
      <c r="B2205" s="12" t="s">
        <v>3948</v>
      </c>
      <c r="C2205" s="12">
        <v>149473131</v>
      </c>
      <c r="D2205" s="12">
        <v>149515188</v>
      </c>
      <c r="E2205" s="12" t="s">
        <v>3943</v>
      </c>
      <c r="F2205" s="12">
        <v>4</v>
      </c>
      <c r="G2205" s="41" t="s">
        <v>40</v>
      </c>
      <c r="H2205" s="12" t="s">
        <v>161</v>
      </c>
      <c r="I2205" s="41" t="s">
        <v>2145</v>
      </c>
      <c r="J2205" s="41" t="s">
        <v>2145</v>
      </c>
      <c r="K2205" s="41" t="str">
        <f>VLOOKUP(J2205,错误mRNA总表!D:J,7,FALSE)</f>
        <v>纠后正确</v>
      </c>
      <c r="L2205" s="41" t="s">
        <v>3763</v>
      </c>
      <c r="M2205" s="41">
        <f>VLOOKUP(I2205,错误mRNA总表!D:I,6,FALSE)</f>
        <v>0</v>
      </c>
    </row>
    <row r="2206" spans="1:13" x14ac:dyDescent="0.2">
      <c r="A2206" s="12" t="s">
        <v>5089</v>
      </c>
      <c r="B2206" s="12" t="s">
        <v>3948</v>
      </c>
      <c r="C2206" s="12">
        <v>149473131</v>
      </c>
      <c r="D2206" s="12">
        <v>149522183</v>
      </c>
      <c r="E2206" s="12" t="s">
        <v>3943</v>
      </c>
      <c r="F2206" s="12">
        <v>4</v>
      </c>
      <c r="G2206" s="41" t="s">
        <v>40</v>
      </c>
      <c r="H2206" s="12" t="s">
        <v>161</v>
      </c>
      <c r="I2206" s="41" t="s">
        <v>2145</v>
      </c>
      <c r="J2206" s="41" t="s">
        <v>2145</v>
      </c>
      <c r="K2206" s="41" t="str">
        <f>VLOOKUP(J2206,错误mRNA总表!D:J,7,FALSE)</f>
        <v>纠后正确</v>
      </c>
      <c r="L2206" s="41" t="s">
        <v>3763</v>
      </c>
      <c r="M2206" s="41">
        <f>VLOOKUP(I2206,错误mRNA总表!D:I,6,FALSE)</f>
        <v>0</v>
      </c>
    </row>
    <row r="2207" spans="1:13" x14ac:dyDescent="0.2">
      <c r="A2207" s="12" t="s">
        <v>5089</v>
      </c>
      <c r="B2207" s="12" t="s">
        <v>3948</v>
      </c>
      <c r="C2207" s="12">
        <v>149473131</v>
      </c>
      <c r="D2207" s="12">
        <v>149522370</v>
      </c>
      <c r="E2207" s="12" t="s">
        <v>3943</v>
      </c>
      <c r="F2207" s="12">
        <v>1</v>
      </c>
      <c r="G2207" s="41" t="s">
        <v>40</v>
      </c>
      <c r="H2207" s="12" t="s">
        <v>161</v>
      </c>
      <c r="I2207" s="41" t="s">
        <v>2145</v>
      </c>
      <c r="J2207" s="41" t="s">
        <v>2145</v>
      </c>
      <c r="K2207" s="41" t="str">
        <f>VLOOKUP(J2207,错误mRNA总表!D:J,7,FALSE)</f>
        <v>纠后正确</v>
      </c>
      <c r="L2207" s="41" t="s">
        <v>3763</v>
      </c>
      <c r="M2207" s="41">
        <f>VLOOKUP(I2207,错误mRNA总表!D:I,6,FALSE)</f>
        <v>0</v>
      </c>
    </row>
    <row r="2208" spans="1:13" x14ac:dyDescent="0.2">
      <c r="A2208" s="12" t="s">
        <v>5090</v>
      </c>
      <c r="B2208" s="12" t="s">
        <v>3964</v>
      </c>
      <c r="C2208" s="12">
        <v>927947</v>
      </c>
      <c r="D2208" s="12">
        <v>943295</v>
      </c>
      <c r="E2208" s="12" t="s">
        <v>3940</v>
      </c>
      <c r="F2208" s="12">
        <v>4</v>
      </c>
      <c r="H2208" s="12" t="s">
        <v>3523</v>
      </c>
      <c r="I2208" s="41" t="s">
        <v>7640</v>
      </c>
      <c r="M2208" s="41" t="e">
        <f>VLOOKUP(I2208,错误mRNA总表!D:I,6,FALSE)</f>
        <v>#N/A</v>
      </c>
    </row>
    <row r="2209" spans="1:13" x14ac:dyDescent="0.2">
      <c r="A2209" s="12" t="s">
        <v>5091</v>
      </c>
      <c r="B2209" s="12" t="s">
        <v>3973</v>
      </c>
      <c r="C2209" s="12">
        <v>187259188</v>
      </c>
      <c r="D2209" s="12">
        <v>187265718</v>
      </c>
      <c r="E2209" s="12" t="s">
        <v>3940</v>
      </c>
      <c r="F2209" s="12">
        <v>25</v>
      </c>
      <c r="G2209" s="41" t="s">
        <v>139</v>
      </c>
      <c r="H2209" s="12" t="s">
        <v>6133</v>
      </c>
      <c r="I2209" s="41" t="s">
        <v>7641</v>
      </c>
      <c r="M2209" s="41" t="e">
        <f>VLOOKUP(I2209,错误mRNA总表!D:I,6,FALSE)</f>
        <v>#N/A</v>
      </c>
    </row>
    <row r="2210" spans="1:13" x14ac:dyDescent="0.2">
      <c r="A2210" s="12" t="s">
        <v>4930</v>
      </c>
      <c r="B2210" s="12" t="s">
        <v>3948</v>
      </c>
      <c r="C2210" s="12">
        <v>75677337</v>
      </c>
      <c r="D2210" s="12">
        <v>75678309</v>
      </c>
      <c r="E2210" s="12" t="s">
        <v>3943</v>
      </c>
      <c r="F2210" s="12">
        <v>7</v>
      </c>
      <c r="G2210" s="41" t="s">
        <v>40</v>
      </c>
      <c r="H2210" s="12" t="s">
        <v>6081</v>
      </c>
      <c r="I2210" s="41" t="s">
        <v>7642</v>
      </c>
      <c r="M2210" s="41" t="e">
        <f>VLOOKUP(I2210,错误mRNA总表!D:I,6,FALSE)</f>
        <v>#N/A</v>
      </c>
    </row>
    <row r="2211" spans="1:13" x14ac:dyDescent="0.2">
      <c r="A2211" s="12" t="s">
        <v>4091</v>
      </c>
      <c r="B2211" s="12" t="s">
        <v>3964</v>
      </c>
      <c r="C2211" s="12">
        <v>3532337</v>
      </c>
      <c r="D2211" s="12">
        <v>3533132</v>
      </c>
      <c r="E2211" s="12" t="s">
        <v>3940</v>
      </c>
      <c r="F2211" s="12">
        <v>3</v>
      </c>
      <c r="H2211" s="12" t="s">
        <v>3578</v>
      </c>
      <c r="I2211" s="41" t="s">
        <v>7643</v>
      </c>
      <c r="M2211" s="41" t="e">
        <f>VLOOKUP(I2211,错误mRNA总表!D:I,6,FALSE)</f>
        <v>#N/A</v>
      </c>
    </row>
    <row r="2212" spans="1:13" x14ac:dyDescent="0.2">
      <c r="A2212" s="12" t="s">
        <v>5092</v>
      </c>
      <c r="B2212" s="12" t="s">
        <v>3957</v>
      </c>
      <c r="C2212" s="12">
        <v>35453374</v>
      </c>
      <c r="D2212" s="12">
        <v>35453796</v>
      </c>
      <c r="E2212" s="12" t="s">
        <v>3943</v>
      </c>
      <c r="F2212" s="12">
        <v>1</v>
      </c>
      <c r="G2212" s="41" t="s">
        <v>36</v>
      </c>
      <c r="H2212" s="12" t="s">
        <v>6134</v>
      </c>
      <c r="I2212" s="41" t="s">
        <v>7644</v>
      </c>
      <c r="M2212" s="41" t="e">
        <f>VLOOKUP(I2212,错误mRNA总表!D:I,6,FALSE)</f>
        <v>#N/A</v>
      </c>
    </row>
    <row r="2213" spans="1:13" x14ac:dyDescent="0.2">
      <c r="A2213" s="12" t="s">
        <v>5093</v>
      </c>
      <c r="B2213" s="12" t="s">
        <v>3986</v>
      </c>
      <c r="C2213" s="12">
        <v>45010211</v>
      </c>
      <c r="D2213" s="12">
        <v>45016990</v>
      </c>
      <c r="E2213" s="12" t="s">
        <v>3943</v>
      </c>
      <c r="F2213" s="12">
        <v>1</v>
      </c>
      <c r="G2213" s="41" t="s">
        <v>50</v>
      </c>
      <c r="H2213" s="12" t="s">
        <v>59</v>
      </c>
      <c r="I2213" s="41" t="s">
        <v>2086</v>
      </c>
      <c r="J2213" s="41" t="s">
        <v>2086</v>
      </c>
      <c r="K2213" s="41" t="str">
        <f>VLOOKUP(J2213,错误mRNA总表!D:J,7,FALSE)</f>
        <v>纠后正确</v>
      </c>
      <c r="L2213" s="41" t="s">
        <v>3763</v>
      </c>
      <c r="M2213" s="41">
        <f>VLOOKUP(I2213,错误mRNA总表!D:I,6,FALSE)</f>
        <v>0</v>
      </c>
    </row>
    <row r="2214" spans="1:13" x14ac:dyDescent="0.2">
      <c r="A2214" s="12" t="s">
        <v>5094</v>
      </c>
      <c r="B2214" s="12" t="s">
        <v>3948</v>
      </c>
      <c r="C2214" s="12">
        <v>75831211</v>
      </c>
      <c r="D2214" s="12">
        <v>75914936</v>
      </c>
      <c r="E2214" s="12" t="s">
        <v>3940</v>
      </c>
      <c r="F2214" s="12">
        <v>1</v>
      </c>
      <c r="G2214" s="41" t="s">
        <v>40</v>
      </c>
      <c r="H2214" s="12" t="s">
        <v>6135</v>
      </c>
      <c r="I2214" s="41" t="s">
        <v>7645</v>
      </c>
      <c r="M2214" s="41" t="e">
        <f>VLOOKUP(I2214,错误mRNA总表!D:I,6,FALSE)</f>
        <v>#N/A</v>
      </c>
    </row>
    <row r="2215" spans="1:13" x14ac:dyDescent="0.2">
      <c r="A2215" s="12" t="s">
        <v>5095</v>
      </c>
      <c r="B2215" s="12" t="s">
        <v>3939</v>
      </c>
      <c r="C2215" s="12">
        <v>104463611</v>
      </c>
      <c r="D2215" s="12">
        <v>104464276</v>
      </c>
      <c r="E2215" s="12" t="s">
        <v>3943</v>
      </c>
      <c r="F2215" s="12">
        <v>1</v>
      </c>
      <c r="G2215" s="41" t="s">
        <v>73</v>
      </c>
      <c r="H2215" s="12" t="s">
        <v>166</v>
      </c>
      <c r="I2215" s="41" t="s">
        <v>2148</v>
      </c>
      <c r="J2215" s="41" t="s">
        <v>2148</v>
      </c>
      <c r="K2215" s="41" t="str">
        <f>VLOOKUP(J2215,错误mRNA总表!D:J,7,FALSE)</f>
        <v>纠后正确</v>
      </c>
      <c r="L2215" s="41" t="s">
        <v>3763</v>
      </c>
      <c r="M2215" s="41">
        <f>VLOOKUP(I2215,错误mRNA总表!D:I,6,FALSE)</f>
        <v>0</v>
      </c>
    </row>
    <row r="2216" spans="1:13" x14ac:dyDescent="0.2">
      <c r="A2216" s="12" t="s">
        <v>5095</v>
      </c>
      <c r="B2216" s="12" t="s">
        <v>3939</v>
      </c>
      <c r="C2216" s="12">
        <v>104463611</v>
      </c>
      <c r="D2216" s="12">
        <v>104464281</v>
      </c>
      <c r="E2216" s="12" t="s">
        <v>3943</v>
      </c>
      <c r="F2216" s="12">
        <v>1</v>
      </c>
      <c r="G2216" s="41" t="s">
        <v>73</v>
      </c>
      <c r="H2216" s="12" t="s">
        <v>166</v>
      </c>
      <c r="I2216" s="41" t="s">
        <v>2148</v>
      </c>
      <c r="J2216" s="41" t="s">
        <v>2148</v>
      </c>
      <c r="K2216" s="41" t="str">
        <f>VLOOKUP(J2216,错误mRNA总表!D:J,7,FALSE)</f>
        <v>纠后正确</v>
      </c>
      <c r="L2216" s="41" t="s">
        <v>3763</v>
      </c>
      <c r="M2216" s="41">
        <f>VLOOKUP(I2216,错误mRNA总表!D:I,6,FALSE)</f>
        <v>0</v>
      </c>
    </row>
    <row r="2217" spans="1:13" x14ac:dyDescent="0.2">
      <c r="A2217" s="12" t="s">
        <v>5096</v>
      </c>
      <c r="B2217" s="12" t="s">
        <v>3973</v>
      </c>
      <c r="C2217" s="12">
        <v>12290096</v>
      </c>
      <c r="D2217" s="12">
        <v>12570607</v>
      </c>
      <c r="E2217" s="12" t="s">
        <v>3940</v>
      </c>
      <c r="F2217" s="12">
        <v>2</v>
      </c>
      <c r="G2217" s="41" t="s">
        <v>139</v>
      </c>
      <c r="H2217" s="12" t="s">
        <v>6530</v>
      </c>
      <c r="I2217" s="41" t="s">
        <v>7646</v>
      </c>
      <c r="M2217" s="41" t="e">
        <f>VLOOKUP(I2217,错误mRNA总表!D:I,6,FALSE)</f>
        <v>#N/A</v>
      </c>
    </row>
    <row r="2218" spans="1:13" x14ac:dyDescent="0.2">
      <c r="A2218" s="12" t="s">
        <v>5097</v>
      </c>
      <c r="B2218" s="12" t="s">
        <v>3957</v>
      </c>
      <c r="C2218" s="12">
        <v>46638826</v>
      </c>
      <c r="D2218" s="12">
        <v>46694313</v>
      </c>
      <c r="E2218" s="12" t="s">
        <v>3943</v>
      </c>
      <c r="F2218" s="12">
        <v>2</v>
      </c>
      <c r="G2218" s="41" t="s">
        <v>36</v>
      </c>
      <c r="H2218" s="12" t="s">
        <v>6136</v>
      </c>
      <c r="I2218" s="41" t="s">
        <v>7647</v>
      </c>
      <c r="M2218" s="41" t="e">
        <f>VLOOKUP(I2218,错误mRNA总表!D:I,6,FALSE)</f>
        <v>#N/A</v>
      </c>
    </row>
    <row r="2219" spans="1:13" x14ac:dyDescent="0.2">
      <c r="A2219" s="12" t="s">
        <v>5098</v>
      </c>
      <c r="B2219" s="12" t="s">
        <v>4052</v>
      </c>
      <c r="C2219" s="12">
        <v>12391542</v>
      </c>
      <c r="D2219" s="12">
        <v>12874176</v>
      </c>
      <c r="E2219" s="12" t="s">
        <v>3943</v>
      </c>
      <c r="F2219" s="12">
        <v>1</v>
      </c>
      <c r="G2219" s="41" t="s">
        <v>93</v>
      </c>
      <c r="H2219" s="12" t="s">
        <v>6531</v>
      </c>
      <c r="I2219" s="41" t="s">
        <v>7648</v>
      </c>
      <c r="M2219" s="41" t="e">
        <f>VLOOKUP(I2219,错误mRNA总表!D:I,6,FALSE)</f>
        <v>#N/A</v>
      </c>
    </row>
    <row r="2220" spans="1:13" x14ac:dyDescent="0.2">
      <c r="A2220" s="12" t="s">
        <v>5099</v>
      </c>
      <c r="B2220" s="12" t="s">
        <v>4124</v>
      </c>
      <c r="C2220" s="12">
        <v>95831183</v>
      </c>
      <c r="D2220" s="12">
        <v>95847046</v>
      </c>
      <c r="E2220" s="12" t="s">
        <v>3943</v>
      </c>
      <c r="F2220" s="12">
        <v>3</v>
      </c>
      <c r="G2220" s="41" t="s">
        <v>1</v>
      </c>
      <c r="H2220" s="12" t="s">
        <v>430</v>
      </c>
      <c r="I2220" s="41" t="s">
        <v>2229</v>
      </c>
      <c r="J2220" s="41" t="s">
        <v>2229</v>
      </c>
      <c r="K2220" s="41" t="str">
        <f>VLOOKUP(J2220,错误mRNA总表!D:J,7,FALSE)</f>
        <v>纠后正确，少1个氨基酸，chr2：95847047-95847854</v>
      </c>
      <c r="L2220" s="41" t="s">
        <v>8354</v>
      </c>
      <c r="M2220" s="41">
        <f>VLOOKUP(I2220,错误mRNA总表!D:I,6,FALSE)</f>
        <v>0</v>
      </c>
    </row>
    <row r="2221" spans="1:13" x14ac:dyDescent="0.2">
      <c r="A2221" s="12" t="s">
        <v>5100</v>
      </c>
      <c r="B2221" s="12" t="s">
        <v>4059</v>
      </c>
      <c r="C2221" s="12">
        <v>28234788</v>
      </c>
      <c r="D2221" s="12">
        <v>28239933</v>
      </c>
      <c r="E2221" s="12" t="s">
        <v>3940</v>
      </c>
      <c r="F2221" s="12">
        <v>1</v>
      </c>
      <c r="G2221" s="41" t="s">
        <v>175</v>
      </c>
      <c r="H2221" s="12" t="s">
        <v>174</v>
      </c>
      <c r="I2221" s="41" t="s">
        <v>2152</v>
      </c>
      <c r="J2221" s="41" t="s">
        <v>2152</v>
      </c>
      <c r="K2221" s="41" t="str">
        <f>VLOOKUP(J2221,错误mRNA总表!D:J,7,FALSE)</f>
        <v>纠后正确</v>
      </c>
      <c r="L2221" s="41" t="s">
        <v>3763</v>
      </c>
      <c r="M2221" s="41">
        <f>VLOOKUP(I2221,错误mRNA总表!D:I,6,FALSE)</f>
        <v>0</v>
      </c>
    </row>
    <row r="2222" spans="1:13" x14ac:dyDescent="0.2">
      <c r="A2222" s="12" t="s">
        <v>5101</v>
      </c>
      <c r="B2222" s="12" t="s">
        <v>4012</v>
      </c>
      <c r="C2222" s="12">
        <v>71963441</v>
      </c>
      <c r="D2222" s="12">
        <v>71981414</v>
      </c>
      <c r="E2222" s="12" t="s">
        <v>3940</v>
      </c>
      <c r="F2222" s="12">
        <v>4</v>
      </c>
      <c r="G2222" s="41" t="s">
        <v>121</v>
      </c>
      <c r="H2222" s="12" t="s">
        <v>1149</v>
      </c>
      <c r="I2222" s="41" t="s">
        <v>3383</v>
      </c>
      <c r="J2222" s="41" t="s">
        <v>3383</v>
      </c>
      <c r="K2222" s="41" t="str">
        <f>VLOOKUP(J2222,错误mRNA总表!D:J,7,FALSE)</f>
        <v>纠后正确</v>
      </c>
      <c r="L2222" s="41" t="s">
        <v>3763</v>
      </c>
      <c r="M2222" s="41">
        <f>VLOOKUP(I2222,错误mRNA总表!D:I,6,FALSE)</f>
        <v>0</v>
      </c>
    </row>
    <row r="2223" spans="1:13" x14ac:dyDescent="0.2">
      <c r="A2223" s="12" t="s">
        <v>5102</v>
      </c>
      <c r="B2223" s="12" t="s">
        <v>3957</v>
      </c>
      <c r="C2223" s="12">
        <v>46638826</v>
      </c>
      <c r="D2223" s="12">
        <v>46694313</v>
      </c>
      <c r="E2223" s="12" t="s">
        <v>3943</v>
      </c>
      <c r="F2223" s="12">
        <v>2</v>
      </c>
      <c r="G2223" s="41" t="s">
        <v>36</v>
      </c>
      <c r="H2223" s="12" t="s">
        <v>6137</v>
      </c>
      <c r="I2223" s="41" t="s">
        <v>7649</v>
      </c>
      <c r="M2223" s="41" t="e">
        <f>VLOOKUP(I2223,错误mRNA总表!D:I,6,FALSE)</f>
        <v>#N/A</v>
      </c>
    </row>
    <row r="2224" spans="1:13" x14ac:dyDescent="0.2">
      <c r="A2224" s="12" t="s">
        <v>5103</v>
      </c>
      <c r="B2224" s="12" t="s">
        <v>3973</v>
      </c>
      <c r="C2224" s="12">
        <v>206516197</v>
      </c>
      <c r="D2224" s="12">
        <v>206635270</v>
      </c>
      <c r="E2224" s="12" t="s">
        <v>3940</v>
      </c>
      <c r="F2224" s="12">
        <v>4</v>
      </c>
      <c r="G2224" s="41" t="s">
        <v>139</v>
      </c>
      <c r="H2224" s="12" t="s">
        <v>219</v>
      </c>
      <c r="I2224" s="41" t="s">
        <v>3310</v>
      </c>
      <c r="J2224" s="41" t="s">
        <v>3310</v>
      </c>
      <c r="K2224" s="41" t="str">
        <f>VLOOKUP(J2224,错误mRNA总表!D:J,7,FALSE)</f>
        <v/>
      </c>
      <c r="L2224" s="41" t="s">
        <v>3866</v>
      </c>
      <c r="M2224" s="41">
        <f>VLOOKUP(I2224,错误mRNA总表!D:I,6,FALSE)</f>
        <v>0</v>
      </c>
    </row>
    <row r="2225" spans="1:13" x14ac:dyDescent="0.2">
      <c r="A2225" s="12" t="s">
        <v>5103</v>
      </c>
      <c r="B2225" s="12" t="s">
        <v>3973</v>
      </c>
      <c r="C2225" s="12">
        <v>206516197</v>
      </c>
      <c r="D2225" s="12">
        <v>206636501</v>
      </c>
      <c r="E2225" s="12" t="s">
        <v>3940</v>
      </c>
      <c r="F2225" s="12">
        <v>1</v>
      </c>
      <c r="G2225" s="41" t="s">
        <v>139</v>
      </c>
      <c r="H2225" s="12" t="s">
        <v>219</v>
      </c>
      <c r="I2225" s="41" t="s">
        <v>3310</v>
      </c>
      <c r="J2225" s="41" t="s">
        <v>3310</v>
      </c>
      <c r="K2225" s="41" t="str">
        <f>VLOOKUP(J2225,错误mRNA总表!D:J,7,FALSE)</f>
        <v/>
      </c>
      <c r="L2225" s="41" t="s">
        <v>3866</v>
      </c>
      <c r="M2225" s="41">
        <f>VLOOKUP(I2225,错误mRNA总表!D:I,6,FALSE)</f>
        <v>0</v>
      </c>
    </row>
    <row r="2226" spans="1:13" x14ac:dyDescent="0.2">
      <c r="A2226" s="12" t="s">
        <v>5104</v>
      </c>
      <c r="B2226" s="12" t="s">
        <v>4018</v>
      </c>
      <c r="C2226" s="12">
        <v>46020497</v>
      </c>
      <c r="D2226" s="12">
        <v>46020655</v>
      </c>
      <c r="E2226" s="12" t="s">
        <v>3943</v>
      </c>
      <c r="F2226" s="12">
        <v>15</v>
      </c>
      <c r="G2226" s="41" t="s">
        <v>241</v>
      </c>
      <c r="H2226" s="12" t="s">
        <v>1329</v>
      </c>
      <c r="I2226" s="41" t="s">
        <v>2291</v>
      </c>
      <c r="J2226" s="41" t="s">
        <v>2291</v>
      </c>
      <c r="K2226" s="41" t="str">
        <f>VLOOKUP(J2226,错误mRNA总表!D:J,7,FALSE)</f>
        <v>纠后正确，少5个氨基酸chr21:46020656-46021649</v>
      </c>
      <c r="L2226" s="41" t="s">
        <v>8355</v>
      </c>
      <c r="M2226" s="41">
        <f>VLOOKUP(I2226,错误mRNA总表!D:I,6,FALSE)</f>
        <v>0</v>
      </c>
    </row>
    <row r="2227" spans="1:13" x14ac:dyDescent="0.2">
      <c r="A2227" s="12" t="s">
        <v>5104</v>
      </c>
      <c r="B2227" s="12" t="s">
        <v>4018</v>
      </c>
      <c r="C2227" s="12">
        <v>46020497</v>
      </c>
      <c r="D2227" s="12">
        <v>46021956</v>
      </c>
      <c r="E2227" s="12" t="s">
        <v>3943</v>
      </c>
      <c r="F2227" s="12">
        <v>2</v>
      </c>
      <c r="G2227" s="41" t="s">
        <v>241</v>
      </c>
      <c r="H2227" s="12" t="s">
        <v>1329</v>
      </c>
      <c r="I2227" s="41" t="s">
        <v>2291</v>
      </c>
      <c r="J2227" s="41" t="s">
        <v>2291</v>
      </c>
      <c r="K2227" s="41" t="str">
        <f>VLOOKUP(J2227,错误mRNA总表!D:J,7,FALSE)</f>
        <v>纠后正确，少5个氨基酸chr21:46020656-46021649</v>
      </c>
      <c r="L2227" s="41" t="s">
        <v>8355</v>
      </c>
      <c r="M2227" s="41">
        <f>VLOOKUP(I2227,错误mRNA总表!D:I,6,FALSE)</f>
        <v>0</v>
      </c>
    </row>
    <row r="2228" spans="1:13" x14ac:dyDescent="0.2">
      <c r="A2228" s="12" t="s">
        <v>4565</v>
      </c>
      <c r="B2228" s="12" t="s">
        <v>4124</v>
      </c>
      <c r="C2228" s="12">
        <v>234054795</v>
      </c>
      <c r="D2228" s="12">
        <v>234054799</v>
      </c>
      <c r="E2228" s="12" t="s">
        <v>3940</v>
      </c>
      <c r="F2228" s="12">
        <v>1</v>
      </c>
      <c r="G2228" s="41" t="s">
        <v>1</v>
      </c>
      <c r="H2228" s="12" t="s">
        <v>244</v>
      </c>
      <c r="I2228" s="41" t="s">
        <v>2214</v>
      </c>
      <c r="J2228" s="41" t="s">
        <v>2212</v>
      </c>
      <c r="K2228" s="41" t="str">
        <f>VLOOKUP(J2228,错误mRNA总表!D:J,7,FALSE)</f>
        <v/>
      </c>
      <c r="L2228" s="41" t="s">
        <v>3762</v>
      </c>
      <c r="M2228" s="41">
        <f>VLOOKUP(I2228,错误mRNA总表!D:I,6,FALSE)</f>
        <v>0</v>
      </c>
    </row>
    <row r="2229" spans="1:13" x14ac:dyDescent="0.2">
      <c r="A2229" s="12" t="s">
        <v>4565</v>
      </c>
      <c r="B2229" s="12" t="s">
        <v>4124</v>
      </c>
      <c r="C2229" s="12">
        <v>234054795</v>
      </c>
      <c r="D2229" s="12">
        <v>234054801</v>
      </c>
      <c r="E2229" s="12" t="s">
        <v>3940</v>
      </c>
      <c r="F2229" s="12">
        <v>4</v>
      </c>
      <c r="G2229" s="41" t="s">
        <v>1</v>
      </c>
      <c r="H2229" s="12" t="s">
        <v>244</v>
      </c>
      <c r="I2229" s="41" t="s">
        <v>2214</v>
      </c>
      <c r="J2229" s="41" t="s">
        <v>2212</v>
      </c>
      <c r="K2229" s="41" t="str">
        <f>VLOOKUP(J2229,错误mRNA总表!D:J,7,FALSE)</f>
        <v/>
      </c>
      <c r="L2229" s="41" t="s">
        <v>3762</v>
      </c>
      <c r="M2229" s="41">
        <f>VLOOKUP(I2229,错误mRNA总表!D:I,6,FALSE)</f>
        <v>0</v>
      </c>
    </row>
    <row r="2230" spans="1:13" x14ac:dyDescent="0.2">
      <c r="A2230" s="12" t="s">
        <v>4565</v>
      </c>
      <c r="B2230" s="12" t="s">
        <v>4124</v>
      </c>
      <c r="C2230" s="12">
        <v>234054795</v>
      </c>
      <c r="D2230" s="12">
        <v>234054804</v>
      </c>
      <c r="E2230" s="12" t="s">
        <v>3940</v>
      </c>
      <c r="F2230" s="12">
        <v>1</v>
      </c>
      <c r="G2230" s="41" t="s">
        <v>1</v>
      </c>
      <c r="H2230" s="12" t="s">
        <v>244</v>
      </c>
      <c r="I2230" s="41" t="s">
        <v>2214</v>
      </c>
      <c r="J2230" s="41" t="s">
        <v>2212</v>
      </c>
      <c r="K2230" s="41" t="str">
        <f>VLOOKUP(J2230,错误mRNA总表!D:J,7,FALSE)</f>
        <v/>
      </c>
      <c r="L2230" s="41" t="s">
        <v>3762</v>
      </c>
      <c r="M2230" s="41">
        <f>VLOOKUP(I2230,错误mRNA总表!D:I,6,FALSE)</f>
        <v>0</v>
      </c>
    </row>
    <row r="2231" spans="1:13" x14ac:dyDescent="0.2">
      <c r="A2231" s="12" t="s">
        <v>5105</v>
      </c>
      <c r="B2231" s="12" t="s">
        <v>3986</v>
      </c>
      <c r="C2231" s="12">
        <v>21264953</v>
      </c>
      <c r="D2231" s="12">
        <v>21299776</v>
      </c>
      <c r="E2231" s="12" t="s">
        <v>3940</v>
      </c>
      <c r="F2231" s="12">
        <v>3</v>
      </c>
      <c r="G2231" s="41" t="s">
        <v>50</v>
      </c>
      <c r="H2231" s="12" t="s">
        <v>1242</v>
      </c>
      <c r="I2231" s="41" t="s">
        <v>2286</v>
      </c>
      <c r="J2231" s="41" t="s">
        <v>2286</v>
      </c>
      <c r="K2231" s="41" t="str">
        <f>VLOOKUP(J2231,错误mRNA总表!D:J,7,FALSE)</f>
        <v>纠后正确，加1个氨基酸chr19:21299778-21301135</v>
      </c>
      <c r="L2231" s="41" t="s">
        <v>8356</v>
      </c>
      <c r="M2231" s="41">
        <f>VLOOKUP(I2231,错误mRNA总表!D:I,6,FALSE)</f>
        <v>0</v>
      </c>
    </row>
    <row r="2232" spans="1:13" x14ac:dyDescent="0.2">
      <c r="A2232" s="12" t="s">
        <v>4326</v>
      </c>
      <c r="B2232" s="12" t="s">
        <v>3984</v>
      </c>
      <c r="C2232" s="12">
        <v>2201750</v>
      </c>
      <c r="D2232" s="12">
        <v>2214399</v>
      </c>
      <c r="E2232" s="12" t="s">
        <v>3940</v>
      </c>
      <c r="F2232" s="12">
        <v>1</v>
      </c>
      <c r="H2232" s="12" t="s">
        <v>3550</v>
      </c>
      <c r="I2232" s="41" t="s">
        <v>7650</v>
      </c>
      <c r="M2232" s="41" t="e">
        <f>VLOOKUP(I2232,错误mRNA总表!D:I,6,FALSE)</f>
        <v>#N/A</v>
      </c>
    </row>
    <row r="2233" spans="1:13" x14ac:dyDescent="0.2">
      <c r="A2233" s="12" t="s">
        <v>4547</v>
      </c>
      <c r="B2233" s="12" t="s">
        <v>3994</v>
      </c>
      <c r="C2233" s="12">
        <v>4618677</v>
      </c>
      <c r="D2233" s="12">
        <v>4618975</v>
      </c>
      <c r="E2233" s="12" t="s">
        <v>3943</v>
      </c>
      <c r="F2233" s="12">
        <v>1</v>
      </c>
      <c r="H2233" s="12" t="s">
        <v>3588</v>
      </c>
      <c r="I2233" s="41" t="s">
        <v>7651</v>
      </c>
      <c r="M2233" s="41" t="e">
        <f>VLOOKUP(I2233,错误mRNA总表!D:I,6,FALSE)</f>
        <v>#N/A</v>
      </c>
    </row>
    <row r="2234" spans="1:13" x14ac:dyDescent="0.2">
      <c r="A2234" s="12" t="s">
        <v>5106</v>
      </c>
      <c r="B2234" s="12" t="s">
        <v>3946</v>
      </c>
      <c r="C2234" s="12">
        <v>79604197</v>
      </c>
      <c r="D2234" s="12">
        <v>79614937</v>
      </c>
      <c r="E2234" s="12" t="s">
        <v>3943</v>
      </c>
      <c r="F2234" s="12">
        <v>4</v>
      </c>
      <c r="G2234" s="41" t="s">
        <v>47</v>
      </c>
      <c r="H2234" s="12" t="s">
        <v>6138</v>
      </c>
      <c r="I2234" s="41" t="s">
        <v>7652</v>
      </c>
      <c r="M2234" s="41" t="e">
        <f>VLOOKUP(I2234,错误mRNA总表!D:I,6,FALSE)</f>
        <v>#N/A</v>
      </c>
    </row>
    <row r="2235" spans="1:13" x14ac:dyDescent="0.2">
      <c r="A2235" s="12" t="s">
        <v>5107</v>
      </c>
      <c r="B2235" s="12" t="s">
        <v>4055</v>
      </c>
      <c r="C2235" s="12">
        <v>80849275</v>
      </c>
      <c r="D2235" s="12">
        <v>80873401</v>
      </c>
      <c r="E2235" s="12" t="s">
        <v>3940</v>
      </c>
      <c r="F2235" s="12">
        <v>152</v>
      </c>
      <c r="G2235" s="41" t="s">
        <v>212</v>
      </c>
      <c r="H2235" s="12" t="s">
        <v>1041</v>
      </c>
      <c r="I2235" s="41" t="s">
        <v>7653</v>
      </c>
      <c r="J2235" s="41" t="s">
        <v>3371</v>
      </c>
      <c r="K2235" s="41" t="str">
        <f>VLOOKUP(J2235,错误mRNA总表!D:J,7,FALSE)</f>
        <v>多149个氨基酸，但rs号是多152个（rs370185461）chr7:139257673-139316492</v>
      </c>
      <c r="M2235" s="41" t="e">
        <f>VLOOKUP(I2235,错误mRNA总表!D:I,6,FALSE)</f>
        <v>#N/A</v>
      </c>
    </row>
    <row r="2236" spans="1:13" x14ac:dyDescent="0.2">
      <c r="A2236" s="12" t="s">
        <v>5107</v>
      </c>
      <c r="B2236" s="12" t="s">
        <v>4055</v>
      </c>
      <c r="C2236" s="12">
        <v>80849275</v>
      </c>
      <c r="D2236" s="12">
        <v>80880401</v>
      </c>
      <c r="E2236" s="12" t="s">
        <v>3940</v>
      </c>
      <c r="F2236" s="12">
        <v>1</v>
      </c>
      <c r="G2236" s="41" t="s">
        <v>212</v>
      </c>
      <c r="H2236" s="12" t="s">
        <v>1041</v>
      </c>
      <c r="I2236" s="41" t="s">
        <v>7653</v>
      </c>
      <c r="J2236" s="41" t="s">
        <v>3371</v>
      </c>
      <c r="K2236" s="41" t="str">
        <f>VLOOKUP(J2236,错误mRNA总表!D:J,7,FALSE)</f>
        <v>多149个氨基酸，但rs号是多152个（rs370185461）chr7:139257673-139316492</v>
      </c>
      <c r="M2236" s="41" t="e">
        <f>VLOOKUP(I2236,错误mRNA总表!D:I,6,FALSE)</f>
        <v>#N/A</v>
      </c>
    </row>
    <row r="2237" spans="1:13" x14ac:dyDescent="0.2">
      <c r="A2237" s="12" t="s">
        <v>5107</v>
      </c>
      <c r="B2237" s="12" t="s">
        <v>4055</v>
      </c>
      <c r="C2237" s="12">
        <v>80849275</v>
      </c>
      <c r="D2237" s="12">
        <v>80852602</v>
      </c>
      <c r="E2237" s="12" t="s">
        <v>3940</v>
      </c>
      <c r="F2237" s="12">
        <v>152</v>
      </c>
      <c r="G2237" s="41" t="s">
        <v>212</v>
      </c>
      <c r="H2237" s="12" t="s">
        <v>1041</v>
      </c>
      <c r="I2237" s="41" t="s">
        <v>7653</v>
      </c>
      <c r="J2237" s="41" t="s">
        <v>3371</v>
      </c>
      <c r="K2237" s="41" t="str">
        <f>VLOOKUP(J2237,错误mRNA总表!D:J,7,FALSE)</f>
        <v>多149个氨基酸，但rs号是多152个（rs370185461）chr7:139257673-139316492</v>
      </c>
      <c r="M2237" s="41" t="e">
        <f>VLOOKUP(I2237,错误mRNA总表!D:I,6,FALSE)</f>
        <v>#N/A</v>
      </c>
    </row>
    <row r="2238" spans="1:13" x14ac:dyDescent="0.2">
      <c r="A2238" s="12" t="s">
        <v>5108</v>
      </c>
      <c r="B2238" s="12" t="s">
        <v>4069</v>
      </c>
      <c r="C2238" s="12">
        <v>74401986</v>
      </c>
      <c r="D2238" s="12">
        <v>74403379</v>
      </c>
      <c r="E2238" s="12" t="s">
        <v>3940</v>
      </c>
      <c r="F2238" s="12">
        <v>1</v>
      </c>
      <c r="G2238" s="41" t="s">
        <v>179</v>
      </c>
      <c r="H2238" s="12" t="s">
        <v>6139</v>
      </c>
      <c r="I2238" s="41" t="s">
        <v>7654</v>
      </c>
      <c r="M2238" s="41" t="e">
        <f>VLOOKUP(I2238,错误mRNA总表!D:I,6,FALSE)</f>
        <v>#N/A</v>
      </c>
    </row>
    <row r="2239" spans="1:13" x14ac:dyDescent="0.2">
      <c r="A2239" s="12" t="s">
        <v>5109</v>
      </c>
      <c r="B2239" s="12" t="s">
        <v>3996</v>
      </c>
      <c r="C2239" s="12">
        <v>4711285</v>
      </c>
      <c r="D2239" s="12">
        <v>4712251</v>
      </c>
      <c r="E2239" s="12" t="s">
        <v>3943</v>
      </c>
      <c r="F2239" s="12">
        <v>8</v>
      </c>
      <c r="H2239" s="12" t="s">
        <v>3589</v>
      </c>
      <c r="I2239" s="41" t="s">
        <v>7655</v>
      </c>
      <c r="M2239" s="41" t="e">
        <f>VLOOKUP(I2239,错误mRNA总表!D:I,6,FALSE)</f>
        <v>#N/A</v>
      </c>
    </row>
    <row r="2240" spans="1:13" x14ac:dyDescent="0.2">
      <c r="A2240" s="12" t="s">
        <v>5109</v>
      </c>
      <c r="B2240" s="12" t="s">
        <v>3996</v>
      </c>
      <c r="C2240" s="12">
        <v>4711285</v>
      </c>
      <c r="D2240" s="12">
        <v>4712564</v>
      </c>
      <c r="E2240" s="12" t="s">
        <v>3940</v>
      </c>
      <c r="F2240" s="12">
        <v>1</v>
      </c>
      <c r="H2240" s="12" t="s">
        <v>3589</v>
      </c>
      <c r="I2240" s="41" t="s">
        <v>7655</v>
      </c>
      <c r="M2240" s="41" t="e">
        <f>VLOOKUP(I2240,错误mRNA总表!D:I,6,FALSE)</f>
        <v>#N/A</v>
      </c>
    </row>
    <row r="2241" spans="1:13" x14ac:dyDescent="0.2">
      <c r="A2241" s="12" t="s">
        <v>4147</v>
      </c>
      <c r="B2241" s="12" t="s">
        <v>4001</v>
      </c>
      <c r="C2241" s="12">
        <v>1219726</v>
      </c>
      <c r="D2241" s="12">
        <v>1221125</v>
      </c>
      <c r="E2241" s="12" t="s">
        <v>3943</v>
      </c>
      <c r="F2241" s="12">
        <v>19</v>
      </c>
      <c r="H2241" s="12" t="s">
        <v>5814</v>
      </c>
      <c r="I2241" s="41" t="s">
        <v>7656</v>
      </c>
      <c r="M2241" s="41" t="e">
        <f>VLOOKUP(I2241,错误mRNA总表!D:I,6,FALSE)</f>
        <v>#N/A</v>
      </c>
    </row>
    <row r="2242" spans="1:13" x14ac:dyDescent="0.2">
      <c r="A2242" s="12" t="s">
        <v>5110</v>
      </c>
      <c r="B2242" s="12" t="s">
        <v>3942</v>
      </c>
      <c r="C2242" s="12">
        <v>102455958</v>
      </c>
      <c r="D2242" s="12">
        <v>102512571</v>
      </c>
      <c r="E2242" s="12" t="s">
        <v>3940</v>
      </c>
      <c r="F2242" s="12">
        <v>1</v>
      </c>
      <c r="G2242" s="41" t="s">
        <v>186</v>
      </c>
      <c r="H2242" s="12" t="s">
        <v>3415</v>
      </c>
      <c r="I2242" s="41" t="s">
        <v>7657</v>
      </c>
      <c r="M2242" s="41" t="e">
        <f>VLOOKUP(I2242,错误mRNA总表!D:I,6,FALSE)</f>
        <v>#N/A</v>
      </c>
    </row>
    <row r="2243" spans="1:13" x14ac:dyDescent="0.2">
      <c r="A2243" s="12" t="s">
        <v>4355</v>
      </c>
      <c r="B2243" s="12" t="s">
        <v>3948</v>
      </c>
      <c r="C2243" s="12">
        <v>75831211</v>
      </c>
      <c r="D2243" s="12">
        <v>75914936</v>
      </c>
      <c r="E2243" s="12" t="s">
        <v>3940</v>
      </c>
      <c r="F2243" s="12">
        <v>1</v>
      </c>
      <c r="G2243" s="41" t="s">
        <v>40</v>
      </c>
      <c r="H2243" s="12" t="s">
        <v>195</v>
      </c>
      <c r="I2243" s="41" t="s">
        <v>7658</v>
      </c>
      <c r="J2243" s="41" t="s">
        <v>2198</v>
      </c>
      <c r="K2243" s="41" t="str">
        <f>VLOOKUP(J2243,错误mRNA总表!D:J,7,FALSE)</f>
        <v>纠后正确</v>
      </c>
      <c r="M2243" s="41" t="e">
        <f>VLOOKUP(I2243,错误mRNA总表!D:I,6,FALSE)</f>
        <v>#N/A</v>
      </c>
    </row>
    <row r="2244" spans="1:13" x14ac:dyDescent="0.2">
      <c r="A2244" s="12" t="s">
        <v>4221</v>
      </c>
      <c r="B2244" s="12" t="s">
        <v>4001</v>
      </c>
      <c r="C2244" s="12">
        <v>928284</v>
      </c>
      <c r="D2244" s="12">
        <v>943634</v>
      </c>
      <c r="E2244" s="12" t="s">
        <v>3943</v>
      </c>
      <c r="F2244" s="12">
        <v>4</v>
      </c>
      <c r="H2244" s="12" t="s">
        <v>3527</v>
      </c>
      <c r="I2244" s="41" t="s">
        <v>7659</v>
      </c>
      <c r="M2244" s="41" t="e">
        <f>VLOOKUP(I2244,错误mRNA总表!D:I,6,FALSE)</f>
        <v>#N/A</v>
      </c>
    </row>
    <row r="2245" spans="1:13" x14ac:dyDescent="0.2">
      <c r="A2245" s="12" t="s">
        <v>4926</v>
      </c>
      <c r="B2245" s="12" t="s">
        <v>3996</v>
      </c>
      <c r="C2245" s="12">
        <v>3116416</v>
      </c>
      <c r="D2245" s="12">
        <v>3116512</v>
      </c>
      <c r="E2245" s="12" t="s">
        <v>3943</v>
      </c>
      <c r="F2245" s="12">
        <v>4</v>
      </c>
      <c r="H2245" s="12" t="s">
        <v>3561</v>
      </c>
      <c r="I2245" s="41" t="s">
        <v>7660</v>
      </c>
      <c r="M2245" s="41" t="e">
        <f>VLOOKUP(I2245,错误mRNA总表!D:I,6,FALSE)</f>
        <v>#N/A</v>
      </c>
    </row>
    <row r="2246" spans="1:13" x14ac:dyDescent="0.2">
      <c r="A2246" s="12" t="s">
        <v>5111</v>
      </c>
      <c r="B2246" s="12" t="s">
        <v>4841</v>
      </c>
      <c r="C2246" s="12">
        <v>468238</v>
      </c>
      <c r="D2246" s="12">
        <v>468668</v>
      </c>
      <c r="E2246" s="12" t="s">
        <v>3943</v>
      </c>
      <c r="F2246" s="12">
        <v>3</v>
      </c>
      <c r="H2246" s="12" t="s">
        <v>6582</v>
      </c>
      <c r="I2246" s="41" t="s">
        <v>7661</v>
      </c>
      <c r="M2246" s="41" t="e">
        <f>VLOOKUP(I2246,错误mRNA总表!D:I,6,FALSE)</f>
        <v>#N/A</v>
      </c>
    </row>
    <row r="2247" spans="1:13" x14ac:dyDescent="0.2">
      <c r="A2247" s="12" t="s">
        <v>5112</v>
      </c>
      <c r="B2247" s="12" t="s">
        <v>3957</v>
      </c>
      <c r="C2247" s="12">
        <v>102733460</v>
      </c>
      <c r="D2247" s="12">
        <v>102738793</v>
      </c>
      <c r="E2247" s="12" t="s">
        <v>3940</v>
      </c>
      <c r="F2247" s="12">
        <v>1</v>
      </c>
      <c r="G2247" s="41" t="s">
        <v>36</v>
      </c>
      <c r="H2247" s="12" t="s">
        <v>201</v>
      </c>
      <c r="I2247" s="41" t="s">
        <v>7662</v>
      </c>
      <c r="J2247" s="41" t="s">
        <v>2176</v>
      </c>
      <c r="K2247" s="41" t="str">
        <f>VLOOKUP(J2247,错误mRNA总表!D:J,7,FALSE)</f>
        <v>纠后正确</v>
      </c>
      <c r="M2247" s="41" t="e">
        <f>VLOOKUP(I2247,错误mRNA总表!D:I,6,FALSE)</f>
        <v>#N/A</v>
      </c>
    </row>
    <row r="2248" spans="1:13" x14ac:dyDescent="0.2">
      <c r="A2248" s="12" t="s">
        <v>5113</v>
      </c>
      <c r="B2248" s="12" t="s">
        <v>4018</v>
      </c>
      <c r="C2248" s="12">
        <v>47721044</v>
      </c>
      <c r="D2248" s="12">
        <v>47721068</v>
      </c>
      <c r="E2248" s="12" t="s">
        <v>3940</v>
      </c>
      <c r="F2248" s="12">
        <v>1</v>
      </c>
      <c r="G2248" s="41" t="s">
        <v>241</v>
      </c>
      <c r="H2248" s="12" t="s">
        <v>6140</v>
      </c>
      <c r="I2248" s="41" t="s">
        <v>7663</v>
      </c>
      <c r="M2248" s="41" t="e">
        <f>VLOOKUP(I2248,错误mRNA总表!D:I,6,FALSE)</f>
        <v>#N/A</v>
      </c>
    </row>
    <row r="2249" spans="1:13" x14ac:dyDescent="0.2">
      <c r="A2249" s="12" t="s">
        <v>5113</v>
      </c>
      <c r="B2249" s="12" t="s">
        <v>4018</v>
      </c>
      <c r="C2249" s="12">
        <v>47721044</v>
      </c>
      <c r="D2249" s="12">
        <v>47721391</v>
      </c>
      <c r="E2249" s="12" t="s">
        <v>3940</v>
      </c>
      <c r="F2249" s="12">
        <v>1</v>
      </c>
      <c r="G2249" s="41" t="s">
        <v>241</v>
      </c>
      <c r="H2249" s="12" t="s">
        <v>6140</v>
      </c>
      <c r="I2249" s="41" t="s">
        <v>7663</v>
      </c>
      <c r="M2249" s="41" t="e">
        <f>VLOOKUP(I2249,错误mRNA总表!D:I,6,FALSE)</f>
        <v>#N/A</v>
      </c>
    </row>
    <row r="2250" spans="1:13" x14ac:dyDescent="0.2">
      <c r="A2250" s="12" t="s">
        <v>5114</v>
      </c>
      <c r="B2250" s="12" t="s">
        <v>4012</v>
      </c>
      <c r="C2250" s="12">
        <v>76311176</v>
      </c>
      <c r="D2250" s="12">
        <v>76311603</v>
      </c>
      <c r="E2250" s="12" t="s">
        <v>3940</v>
      </c>
      <c r="F2250" s="12">
        <v>1</v>
      </c>
      <c r="G2250" s="41" t="s">
        <v>121</v>
      </c>
      <c r="H2250" s="12" t="s">
        <v>232</v>
      </c>
      <c r="I2250" s="41" t="s">
        <v>2161</v>
      </c>
      <c r="J2250" s="41" t="s">
        <v>2161</v>
      </c>
      <c r="K2250" s="41" t="str">
        <f>VLOOKUP(J2250,错误mRNA总表!D:J,7,FALSE)</f>
        <v>纠后正确</v>
      </c>
      <c r="L2250" s="41" t="s">
        <v>3763</v>
      </c>
      <c r="M2250" s="41">
        <f>VLOOKUP(I2250,错误mRNA总表!D:I,6,FALSE)</f>
        <v>0</v>
      </c>
    </row>
    <row r="2251" spans="1:13" x14ac:dyDescent="0.2">
      <c r="A2251" s="12" t="s">
        <v>5115</v>
      </c>
      <c r="B2251" s="12" t="s">
        <v>3973</v>
      </c>
      <c r="C2251" s="12">
        <v>35544964</v>
      </c>
      <c r="D2251" s="12">
        <v>35545023</v>
      </c>
      <c r="E2251" s="12" t="s">
        <v>3940</v>
      </c>
      <c r="F2251" s="12">
        <v>2</v>
      </c>
      <c r="G2251" s="41" t="s">
        <v>139</v>
      </c>
      <c r="H2251" s="12" t="s">
        <v>6541</v>
      </c>
      <c r="I2251" s="41" t="s">
        <v>7664</v>
      </c>
      <c r="M2251" s="41" t="e">
        <f>VLOOKUP(I2251,错误mRNA总表!D:I,6,FALSE)</f>
        <v>#N/A</v>
      </c>
    </row>
    <row r="2252" spans="1:13" x14ac:dyDescent="0.2">
      <c r="A2252" s="12" t="s">
        <v>4977</v>
      </c>
      <c r="B2252" s="12" t="s">
        <v>3984</v>
      </c>
      <c r="C2252" s="12">
        <v>928077</v>
      </c>
      <c r="D2252" s="12">
        <v>943429</v>
      </c>
      <c r="E2252" s="12" t="s">
        <v>3943</v>
      </c>
      <c r="F2252" s="12">
        <v>4</v>
      </c>
      <c r="H2252" s="12" t="s">
        <v>3530</v>
      </c>
      <c r="I2252" s="41" t="s">
        <v>7665</v>
      </c>
      <c r="M2252" s="41" t="e">
        <f>VLOOKUP(I2252,错误mRNA总表!D:I,6,FALSE)</f>
        <v>#N/A</v>
      </c>
    </row>
    <row r="2253" spans="1:13" x14ac:dyDescent="0.2">
      <c r="A2253" s="12" t="s">
        <v>5116</v>
      </c>
      <c r="B2253" s="12" t="s">
        <v>4049</v>
      </c>
      <c r="C2253" s="12">
        <v>63867</v>
      </c>
      <c r="D2253" s="12">
        <v>65071</v>
      </c>
      <c r="E2253" s="12" t="s">
        <v>3943</v>
      </c>
      <c r="F2253" s="12">
        <v>1</v>
      </c>
      <c r="H2253" s="12" t="s">
        <v>6141</v>
      </c>
      <c r="I2253" s="41" t="s">
        <v>7666</v>
      </c>
      <c r="M2253" s="41" t="e">
        <f>VLOOKUP(I2253,错误mRNA总表!D:I,6,FALSE)</f>
        <v>#N/A</v>
      </c>
    </row>
    <row r="2254" spans="1:13" x14ac:dyDescent="0.2">
      <c r="A2254" s="12" t="s">
        <v>4044</v>
      </c>
      <c r="B2254" s="12" t="s">
        <v>4089</v>
      </c>
      <c r="C2254" s="12">
        <v>134946</v>
      </c>
      <c r="D2254" s="12">
        <v>135009</v>
      </c>
      <c r="E2254" s="12" t="s">
        <v>3940</v>
      </c>
      <c r="F2254" s="12">
        <v>1</v>
      </c>
      <c r="H2254" s="12" t="s">
        <v>3648</v>
      </c>
      <c r="I2254" s="41" t="s">
        <v>6693</v>
      </c>
      <c r="M2254" s="41" t="e">
        <f>VLOOKUP(I2254,错误mRNA总表!D:I,6,FALSE)</f>
        <v>#N/A</v>
      </c>
    </row>
    <row r="2255" spans="1:13" x14ac:dyDescent="0.2">
      <c r="A2255" s="12" t="s">
        <v>5117</v>
      </c>
      <c r="B2255" s="12" t="s">
        <v>4004</v>
      </c>
      <c r="C2255" s="12">
        <v>6666038</v>
      </c>
      <c r="D2255" s="12">
        <v>6673377</v>
      </c>
      <c r="E2255" s="12" t="s">
        <v>3943</v>
      </c>
      <c r="F2255" s="12">
        <v>1</v>
      </c>
      <c r="G2255" s="41" t="s">
        <v>103</v>
      </c>
      <c r="H2255" s="12" t="s">
        <v>242</v>
      </c>
      <c r="I2255" s="41" t="s">
        <v>2206</v>
      </c>
      <c r="J2255" s="41" t="s">
        <v>2206</v>
      </c>
      <c r="K2255" s="41" t="str">
        <f>VLOOKUP(J2255,错误mRNA总表!D:J,7,FALSE)</f>
        <v>纠后正确</v>
      </c>
      <c r="L2255" s="41" t="s">
        <v>3763</v>
      </c>
      <c r="M2255" s="41">
        <f>VLOOKUP(I2255,错误mRNA总表!D:I,6,FALSE)</f>
        <v>0</v>
      </c>
    </row>
    <row r="2256" spans="1:13" x14ac:dyDescent="0.2">
      <c r="A2256" s="12" t="s">
        <v>4238</v>
      </c>
      <c r="B2256" s="12" t="s">
        <v>3969</v>
      </c>
      <c r="C2256" s="12">
        <v>4074733</v>
      </c>
      <c r="D2256" s="12">
        <v>4077049</v>
      </c>
      <c r="E2256" s="12" t="s">
        <v>3940</v>
      </c>
      <c r="F2256" s="12">
        <v>177</v>
      </c>
      <c r="H2256" s="12" t="s">
        <v>5839</v>
      </c>
      <c r="I2256" s="41" t="s">
        <v>7667</v>
      </c>
      <c r="M2256" s="41" t="e">
        <f>VLOOKUP(I2256,错误mRNA总表!D:I,6,FALSE)</f>
        <v>#N/A</v>
      </c>
    </row>
    <row r="2257" spans="1:13" x14ac:dyDescent="0.2">
      <c r="A2257" s="12" t="s">
        <v>4238</v>
      </c>
      <c r="B2257" s="12" t="s">
        <v>3969</v>
      </c>
      <c r="C2257" s="12">
        <v>4074733</v>
      </c>
      <c r="D2257" s="12">
        <v>4077822</v>
      </c>
      <c r="E2257" s="12" t="s">
        <v>3943</v>
      </c>
      <c r="F2257" s="12">
        <v>10</v>
      </c>
      <c r="H2257" s="12" t="s">
        <v>5839</v>
      </c>
      <c r="I2257" s="41" t="s">
        <v>7667</v>
      </c>
      <c r="M2257" s="41" t="e">
        <f>VLOOKUP(I2257,错误mRNA总表!D:I,6,FALSE)</f>
        <v>#N/A</v>
      </c>
    </row>
    <row r="2258" spans="1:13" x14ac:dyDescent="0.2">
      <c r="A2258" s="12" t="s">
        <v>4393</v>
      </c>
      <c r="B2258" s="12" t="s">
        <v>3960</v>
      </c>
      <c r="C2258" s="12">
        <v>134946</v>
      </c>
      <c r="D2258" s="12">
        <v>147927</v>
      </c>
      <c r="E2258" s="12" t="s">
        <v>3940</v>
      </c>
      <c r="F2258" s="12">
        <v>1</v>
      </c>
      <c r="H2258" s="12" t="s">
        <v>3648</v>
      </c>
      <c r="I2258" s="41" t="s">
        <v>6693</v>
      </c>
      <c r="M2258" s="41" t="e">
        <f>VLOOKUP(I2258,错误mRNA总表!D:I,6,FALSE)</f>
        <v>#N/A</v>
      </c>
    </row>
    <row r="2259" spans="1:13" x14ac:dyDescent="0.2">
      <c r="A2259" s="12" t="s">
        <v>4393</v>
      </c>
      <c r="B2259" s="12" t="s">
        <v>3960</v>
      </c>
      <c r="C2259" s="12">
        <v>134946</v>
      </c>
      <c r="D2259" s="12">
        <v>135009</v>
      </c>
      <c r="E2259" s="12" t="s">
        <v>3940</v>
      </c>
      <c r="F2259" s="12">
        <v>1</v>
      </c>
      <c r="H2259" s="12" t="s">
        <v>3648</v>
      </c>
      <c r="I2259" s="41" t="s">
        <v>6693</v>
      </c>
      <c r="M2259" s="41" t="e">
        <f>VLOOKUP(I2259,错误mRNA总表!D:I,6,FALSE)</f>
        <v>#N/A</v>
      </c>
    </row>
    <row r="2260" spans="1:13" x14ac:dyDescent="0.2">
      <c r="A2260" s="12" t="s">
        <v>5118</v>
      </c>
      <c r="B2260" s="12" t="s">
        <v>4030</v>
      </c>
      <c r="C2260" s="12">
        <v>21989231</v>
      </c>
      <c r="D2260" s="12">
        <v>21989472</v>
      </c>
      <c r="E2260" s="12" t="s">
        <v>3940</v>
      </c>
      <c r="F2260" s="12">
        <v>15</v>
      </c>
      <c r="G2260" s="41" t="s">
        <v>81</v>
      </c>
      <c r="H2260" s="12" t="s">
        <v>6142</v>
      </c>
      <c r="I2260" s="41" t="s">
        <v>7668</v>
      </c>
      <c r="M2260" s="41" t="e">
        <f>VLOOKUP(I2260,错误mRNA总表!D:I,6,FALSE)</f>
        <v>#N/A</v>
      </c>
    </row>
    <row r="2261" spans="1:13" x14ac:dyDescent="0.2">
      <c r="A2261" s="12" t="s">
        <v>5118</v>
      </c>
      <c r="B2261" s="12" t="s">
        <v>4030</v>
      </c>
      <c r="C2261" s="12">
        <v>21989231</v>
      </c>
      <c r="D2261" s="12">
        <v>21989706</v>
      </c>
      <c r="E2261" s="12" t="s">
        <v>3940</v>
      </c>
      <c r="F2261" s="12">
        <v>2</v>
      </c>
      <c r="G2261" s="41" t="s">
        <v>81</v>
      </c>
      <c r="H2261" s="12" t="s">
        <v>6142</v>
      </c>
      <c r="I2261" s="41" t="s">
        <v>7668</v>
      </c>
      <c r="M2261" s="41" t="e">
        <f>VLOOKUP(I2261,错误mRNA总表!D:I,6,FALSE)</f>
        <v>#N/A</v>
      </c>
    </row>
    <row r="2262" spans="1:13" x14ac:dyDescent="0.2">
      <c r="A2262" s="12" t="s">
        <v>4545</v>
      </c>
      <c r="B2262" s="12" t="s">
        <v>4066</v>
      </c>
      <c r="C2262" s="12">
        <v>7033830</v>
      </c>
      <c r="D2262" s="12">
        <v>7035675</v>
      </c>
      <c r="E2262" s="12" t="s">
        <v>3943</v>
      </c>
      <c r="F2262" s="12">
        <v>1</v>
      </c>
      <c r="H2262" s="12" t="s">
        <v>3499</v>
      </c>
      <c r="I2262" s="41" t="s">
        <v>7669</v>
      </c>
      <c r="M2262" s="41" t="e">
        <f>VLOOKUP(I2262,错误mRNA总表!D:I,6,FALSE)</f>
        <v>#N/A</v>
      </c>
    </row>
    <row r="2263" spans="1:13" x14ac:dyDescent="0.2">
      <c r="A2263" s="12" t="s">
        <v>4101</v>
      </c>
      <c r="B2263" s="12" t="s">
        <v>3984</v>
      </c>
      <c r="C2263" s="12">
        <v>2427966</v>
      </c>
      <c r="D2263" s="12">
        <v>2430304</v>
      </c>
      <c r="E2263" s="12" t="s">
        <v>3940</v>
      </c>
      <c r="F2263" s="12">
        <v>1</v>
      </c>
      <c r="H2263" s="12" t="s">
        <v>670</v>
      </c>
      <c r="I2263" s="41" t="s">
        <v>6863</v>
      </c>
      <c r="J2263" s="41" t="s">
        <v>2607</v>
      </c>
      <c r="K2263" s="41" t="str">
        <f>VLOOKUP(J2263,错误mRNA总表!D:J,7,FALSE)</f>
        <v/>
      </c>
      <c r="M2263" s="41" t="e">
        <f>VLOOKUP(I2263,错误mRNA总表!D:I,6,FALSE)</f>
        <v>#N/A</v>
      </c>
    </row>
    <row r="2264" spans="1:13" x14ac:dyDescent="0.2">
      <c r="A2264" s="12" t="s">
        <v>5119</v>
      </c>
      <c r="B2264" s="12" t="s">
        <v>4012</v>
      </c>
      <c r="C2264" s="12">
        <v>1278336</v>
      </c>
      <c r="D2264" s="12">
        <v>1279237</v>
      </c>
      <c r="E2264" s="12" t="s">
        <v>3943</v>
      </c>
      <c r="F2264" s="12">
        <v>1</v>
      </c>
      <c r="G2264" s="41" t="s">
        <v>121</v>
      </c>
      <c r="H2264" s="12" t="s">
        <v>168</v>
      </c>
      <c r="I2264" s="41" t="s">
        <v>2149</v>
      </c>
      <c r="J2264" s="41" t="s">
        <v>2149</v>
      </c>
      <c r="K2264" s="41" t="str">
        <f>VLOOKUP(J2264,错误mRNA总表!D:J,7,FALSE)</f>
        <v>纠后正确</v>
      </c>
      <c r="L2264" s="41" t="s">
        <v>3763</v>
      </c>
      <c r="M2264" s="41">
        <f>VLOOKUP(I2264,错误mRNA总表!D:I,6,FALSE)</f>
        <v>0</v>
      </c>
    </row>
    <row r="2265" spans="1:13" x14ac:dyDescent="0.2">
      <c r="A2265" s="12" t="s">
        <v>5120</v>
      </c>
      <c r="B2265" s="12" t="s">
        <v>3978</v>
      </c>
      <c r="C2265" s="12">
        <v>121774209</v>
      </c>
      <c r="D2265" s="12">
        <v>121838797</v>
      </c>
      <c r="E2265" s="12" t="s">
        <v>3943</v>
      </c>
      <c r="F2265" s="12">
        <v>2</v>
      </c>
      <c r="G2265" s="41" t="s">
        <v>86</v>
      </c>
      <c r="H2265" s="12" t="s">
        <v>542</v>
      </c>
      <c r="I2265" s="41" t="s">
        <v>2493</v>
      </c>
      <c r="J2265" s="41" t="s">
        <v>2493</v>
      </c>
      <c r="K2265" s="41" t="str">
        <f>VLOOKUP(J2265,错误mRNA总表!D:J,7,FALSE)</f>
        <v>无变化</v>
      </c>
      <c r="L2265" s="41" t="s">
        <v>3762</v>
      </c>
      <c r="M2265" s="41">
        <f>VLOOKUP(I2265,错误mRNA总表!D:I,6,FALSE)</f>
        <v>0</v>
      </c>
    </row>
    <row r="2266" spans="1:13" x14ac:dyDescent="0.2">
      <c r="A2266" s="12" t="s">
        <v>4573</v>
      </c>
      <c r="B2266" s="12" t="s">
        <v>3996</v>
      </c>
      <c r="C2266" s="12">
        <v>2535933</v>
      </c>
      <c r="D2266" s="12">
        <v>2538521</v>
      </c>
      <c r="E2266" s="12" t="s">
        <v>3943</v>
      </c>
      <c r="F2266" s="12">
        <v>1</v>
      </c>
      <c r="H2266" s="12" t="s">
        <v>6404</v>
      </c>
      <c r="I2266" s="41" t="s">
        <v>7670</v>
      </c>
      <c r="M2266" s="41" t="e">
        <f>VLOOKUP(I2266,错误mRNA总表!D:I,6,FALSE)</f>
        <v>#N/A</v>
      </c>
    </row>
    <row r="2267" spans="1:13" x14ac:dyDescent="0.2">
      <c r="A2267" s="12" t="s">
        <v>5121</v>
      </c>
      <c r="B2267" s="12" t="s">
        <v>3984</v>
      </c>
      <c r="C2267" s="12">
        <v>2378426</v>
      </c>
      <c r="D2267" s="12">
        <v>2402352</v>
      </c>
      <c r="E2267" s="12" t="s">
        <v>3940</v>
      </c>
      <c r="F2267" s="12">
        <v>1</v>
      </c>
      <c r="H2267" s="12" t="s">
        <v>3425</v>
      </c>
      <c r="I2267" s="41" t="s">
        <v>7671</v>
      </c>
      <c r="M2267" s="41" t="e">
        <f>VLOOKUP(I2267,错误mRNA总表!D:I,6,FALSE)</f>
        <v>#N/A</v>
      </c>
    </row>
    <row r="2268" spans="1:13" x14ac:dyDescent="0.2">
      <c r="A2268" s="12" t="s">
        <v>5121</v>
      </c>
      <c r="B2268" s="12" t="s">
        <v>3984</v>
      </c>
      <c r="C2268" s="12">
        <v>2378426</v>
      </c>
      <c r="D2268" s="12">
        <v>2403571</v>
      </c>
      <c r="E2268" s="12" t="s">
        <v>3940</v>
      </c>
      <c r="F2268" s="12">
        <v>1</v>
      </c>
      <c r="H2268" s="12" t="s">
        <v>3425</v>
      </c>
      <c r="I2268" s="41" t="s">
        <v>7671</v>
      </c>
      <c r="M2268" s="41" t="e">
        <f>VLOOKUP(I2268,错误mRNA总表!D:I,6,FALSE)</f>
        <v>#N/A</v>
      </c>
    </row>
    <row r="2269" spans="1:13" x14ac:dyDescent="0.2">
      <c r="A2269" s="12" t="s">
        <v>5122</v>
      </c>
      <c r="B2269" s="12" t="s">
        <v>3942</v>
      </c>
      <c r="C2269" s="12">
        <v>35055802</v>
      </c>
      <c r="D2269" s="12">
        <v>35058665</v>
      </c>
      <c r="E2269" s="12" t="s">
        <v>3940</v>
      </c>
      <c r="F2269" s="12">
        <v>1</v>
      </c>
      <c r="G2269" s="41" t="s">
        <v>186</v>
      </c>
      <c r="H2269" s="12" t="s">
        <v>6440</v>
      </c>
      <c r="I2269" s="41" t="s">
        <v>7672</v>
      </c>
      <c r="M2269" s="41" t="e">
        <f>VLOOKUP(I2269,错误mRNA总表!D:I,6,FALSE)</f>
        <v>#N/A</v>
      </c>
    </row>
    <row r="2270" spans="1:13" x14ac:dyDescent="0.2">
      <c r="A2270" s="12" t="s">
        <v>5122</v>
      </c>
      <c r="B2270" s="12" t="s">
        <v>3942</v>
      </c>
      <c r="C2270" s="12">
        <v>35055802</v>
      </c>
      <c r="D2270" s="12">
        <v>35058727</v>
      </c>
      <c r="E2270" s="12" t="s">
        <v>3940</v>
      </c>
      <c r="F2270" s="12">
        <v>1</v>
      </c>
      <c r="G2270" s="41" t="s">
        <v>186</v>
      </c>
      <c r="H2270" s="12" t="s">
        <v>6440</v>
      </c>
      <c r="I2270" s="41" t="s">
        <v>7672</v>
      </c>
      <c r="M2270" s="41" t="e">
        <f>VLOOKUP(I2270,错误mRNA总表!D:I,6,FALSE)</f>
        <v>#N/A</v>
      </c>
    </row>
    <row r="2271" spans="1:13" x14ac:dyDescent="0.2">
      <c r="A2271" s="12" t="s">
        <v>5122</v>
      </c>
      <c r="B2271" s="12" t="s">
        <v>3942</v>
      </c>
      <c r="C2271" s="12">
        <v>35055802</v>
      </c>
      <c r="D2271" s="12">
        <v>35058804</v>
      </c>
      <c r="E2271" s="12" t="s">
        <v>3940</v>
      </c>
      <c r="F2271" s="12">
        <v>1</v>
      </c>
      <c r="G2271" s="41" t="s">
        <v>186</v>
      </c>
      <c r="H2271" s="12" t="s">
        <v>6440</v>
      </c>
      <c r="I2271" s="41" t="s">
        <v>7672</v>
      </c>
      <c r="M2271" s="41" t="e">
        <f>VLOOKUP(I2271,错误mRNA总表!D:I,6,FALSE)</f>
        <v>#N/A</v>
      </c>
    </row>
    <row r="2272" spans="1:13" x14ac:dyDescent="0.2">
      <c r="A2272" s="12" t="s">
        <v>5123</v>
      </c>
      <c r="B2272" s="12" t="s">
        <v>3948</v>
      </c>
      <c r="C2272" s="12">
        <v>57472473</v>
      </c>
      <c r="D2272" s="12">
        <v>57476113</v>
      </c>
      <c r="E2272" s="12" t="s">
        <v>3940</v>
      </c>
      <c r="F2272" s="12">
        <v>181</v>
      </c>
      <c r="G2272" s="41" t="s">
        <v>40</v>
      </c>
      <c r="H2272" s="12" t="s">
        <v>6143</v>
      </c>
      <c r="I2272" s="41" t="s">
        <v>7673</v>
      </c>
      <c r="M2272" s="41" t="e">
        <f>VLOOKUP(I2272,错误mRNA总表!D:I,6,FALSE)</f>
        <v>#N/A</v>
      </c>
    </row>
    <row r="2273" spans="1:13" x14ac:dyDescent="0.2">
      <c r="A2273" s="12" t="s">
        <v>5123</v>
      </c>
      <c r="B2273" s="12" t="s">
        <v>3948</v>
      </c>
      <c r="C2273" s="12">
        <v>57472473</v>
      </c>
      <c r="D2273" s="12">
        <v>57480967</v>
      </c>
      <c r="E2273" s="12" t="s">
        <v>3940</v>
      </c>
      <c r="F2273" s="12">
        <v>457</v>
      </c>
      <c r="G2273" s="41" t="s">
        <v>40</v>
      </c>
      <c r="H2273" s="12" t="s">
        <v>6143</v>
      </c>
      <c r="I2273" s="41" t="s">
        <v>7673</v>
      </c>
      <c r="M2273" s="41" t="e">
        <f>VLOOKUP(I2273,错误mRNA总表!D:I,6,FALSE)</f>
        <v>#N/A</v>
      </c>
    </row>
    <row r="2274" spans="1:13" x14ac:dyDescent="0.2">
      <c r="A2274" s="12" t="s">
        <v>5123</v>
      </c>
      <c r="B2274" s="12" t="s">
        <v>3948</v>
      </c>
      <c r="C2274" s="12">
        <v>57472473</v>
      </c>
      <c r="D2274" s="12">
        <v>57497748</v>
      </c>
      <c r="E2274" s="12" t="s">
        <v>3940</v>
      </c>
      <c r="F2274" s="12">
        <v>3</v>
      </c>
      <c r="G2274" s="41" t="s">
        <v>40</v>
      </c>
      <c r="H2274" s="12" t="s">
        <v>6143</v>
      </c>
      <c r="I2274" s="41" t="s">
        <v>7673</v>
      </c>
      <c r="M2274" s="41" t="e">
        <f>VLOOKUP(I2274,错误mRNA总表!D:I,6,FALSE)</f>
        <v>#N/A</v>
      </c>
    </row>
    <row r="2275" spans="1:13" x14ac:dyDescent="0.2">
      <c r="A2275" s="12" t="s">
        <v>5123</v>
      </c>
      <c r="B2275" s="12" t="s">
        <v>3948</v>
      </c>
      <c r="C2275" s="12">
        <v>57472473</v>
      </c>
      <c r="D2275" s="12">
        <v>57497755</v>
      </c>
      <c r="E2275" s="12" t="s">
        <v>3943</v>
      </c>
      <c r="F2275" s="12">
        <v>1</v>
      </c>
      <c r="G2275" s="41" t="s">
        <v>40</v>
      </c>
      <c r="H2275" s="12" t="s">
        <v>6143</v>
      </c>
      <c r="I2275" s="41" t="s">
        <v>7673</v>
      </c>
      <c r="M2275" s="41" t="e">
        <f>VLOOKUP(I2275,错误mRNA总表!D:I,6,FALSE)</f>
        <v>#N/A</v>
      </c>
    </row>
    <row r="2276" spans="1:13" x14ac:dyDescent="0.2">
      <c r="A2276" s="12" t="s">
        <v>5123</v>
      </c>
      <c r="B2276" s="12" t="s">
        <v>3948</v>
      </c>
      <c r="C2276" s="12">
        <v>57472473</v>
      </c>
      <c r="D2276" s="12">
        <v>57497930</v>
      </c>
      <c r="E2276" s="12" t="s">
        <v>3940</v>
      </c>
      <c r="F2276" s="12">
        <v>28</v>
      </c>
      <c r="G2276" s="41" t="s">
        <v>40</v>
      </c>
      <c r="H2276" s="12" t="s">
        <v>6143</v>
      </c>
      <c r="I2276" s="41" t="s">
        <v>7673</v>
      </c>
      <c r="M2276" s="41" t="e">
        <f>VLOOKUP(I2276,错误mRNA总表!D:I,6,FALSE)</f>
        <v>#N/A</v>
      </c>
    </row>
    <row r="2277" spans="1:13" x14ac:dyDescent="0.2">
      <c r="A2277" s="12" t="s">
        <v>5123</v>
      </c>
      <c r="B2277" s="12" t="s">
        <v>3948</v>
      </c>
      <c r="C2277" s="12">
        <v>57472473</v>
      </c>
      <c r="D2277" s="12">
        <v>57498536</v>
      </c>
      <c r="E2277" s="12" t="s">
        <v>3940</v>
      </c>
      <c r="F2277" s="12">
        <v>236</v>
      </c>
      <c r="G2277" s="41" t="s">
        <v>40</v>
      </c>
      <c r="H2277" s="12" t="s">
        <v>6143</v>
      </c>
      <c r="I2277" s="41" t="s">
        <v>7673</v>
      </c>
      <c r="M2277" s="41" t="e">
        <f>VLOOKUP(I2277,错误mRNA总表!D:I,6,FALSE)</f>
        <v>#N/A</v>
      </c>
    </row>
    <row r="2278" spans="1:13" x14ac:dyDescent="0.2">
      <c r="A2278" s="12" t="s">
        <v>5123</v>
      </c>
      <c r="B2278" s="12" t="s">
        <v>3948</v>
      </c>
      <c r="C2278" s="12">
        <v>57472473</v>
      </c>
      <c r="D2278" s="12">
        <v>57501472</v>
      </c>
      <c r="E2278" s="12" t="s">
        <v>3940</v>
      </c>
      <c r="F2278" s="12">
        <v>62</v>
      </c>
      <c r="G2278" s="41" t="s">
        <v>40</v>
      </c>
      <c r="H2278" s="12" t="s">
        <v>6143</v>
      </c>
      <c r="I2278" s="41" t="s">
        <v>7673</v>
      </c>
      <c r="M2278" s="41" t="e">
        <f>VLOOKUP(I2278,错误mRNA总表!D:I,6,FALSE)</f>
        <v>#N/A</v>
      </c>
    </row>
    <row r="2279" spans="1:13" x14ac:dyDescent="0.2">
      <c r="A2279" s="12" t="s">
        <v>5123</v>
      </c>
      <c r="B2279" s="12" t="s">
        <v>3948</v>
      </c>
      <c r="C2279" s="12">
        <v>57472473</v>
      </c>
      <c r="D2279" s="12">
        <v>57507501</v>
      </c>
      <c r="E2279" s="12" t="s">
        <v>3943</v>
      </c>
      <c r="F2279" s="12">
        <v>2</v>
      </c>
      <c r="G2279" s="41" t="s">
        <v>40</v>
      </c>
      <c r="H2279" s="12" t="s">
        <v>6143</v>
      </c>
      <c r="I2279" s="41" t="s">
        <v>7673</v>
      </c>
      <c r="M2279" s="41" t="e">
        <f>VLOOKUP(I2279,错误mRNA总表!D:I,6,FALSE)</f>
        <v>#N/A</v>
      </c>
    </row>
    <row r="2280" spans="1:13" x14ac:dyDescent="0.2">
      <c r="A2280" s="12" t="s">
        <v>4481</v>
      </c>
      <c r="B2280" s="12" t="s">
        <v>3969</v>
      </c>
      <c r="C2280" s="12">
        <v>4548797</v>
      </c>
      <c r="D2280" s="12">
        <v>4549763</v>
      </c>
      <c r="E2280" s="12" t="s">
        <v>3943</v>
      </c>
      <c r="F2280" s="12">
        <v>8</v>
      </c>
      <c r="H2280" s="12" t="s">
        <v>3590</v>
      </c>
      <c r="I2280" s="41" t="s">
        <v>7674</v>
      </c>
      <c r="M2280" s="41" t="e">
        <f>VLOOKUP(I2280,错误mRNA总表!D:I,6,FALSE)</f>
        <v>#N/A</v>
      </c>
    </row>
    <row r="2281" spans="1:13" x14ac:dyDescent="0.2">
      <c r="A2281" s="12" t="s">
        <v>4481</v>
      </c>
      <c r="B2281" s="12" t="s">
        <v>3969</v>
      </c>
      <c r="C2281" s="12">
        <v>4548797</v>
      </c>
      <c r="D2281" s="12">
        <v>4550076</v>
      </c>
      <c r="E2281" s="12" t="s">
        <v>3940</v>
      </c>
      <c r="F2281" s="12">
        <v>1</v>
      </c>
      <c r="H2281" s="12" t="s">
        <v>3590</v>
      </c>
      <c r="I2281" s="41" t="s">
        <v>7674</v>
      </c>
      <c r="M2281" s="41" t="e">
        <f>VLOOKUP(I2281,错误mRNA总表!D:I,6,FALSE)</f>
        <v>#N/A</v>
      </c>
    </row>
    <row r="2282" spans="1:13" x14ac:dyDescent="0.2">
      <c r="A2282" s="12" t="s">
        <v>4101</v>
      </c>
      <c r="B2282" s="12" t="s">
        <v>3969</v>
      </c>
      <c r="C2282" s="12">
        <v>2429238</v>
      </c>
      <c r="D2282" s="12">
        <v>2431576</v>
      </c>
      <c r="E2282" s="12" t="s">
        <v>3940</v>
      </c>
      <c r="F2282" s="12">
        <v>1</v>
      </c>
      <c r="H2282" s="12" t="s">
        <v>670</v>
      </c>
      <c r="I2282" s="41" t="s">
        <v>7675</v>
      </c>
      <c r="J2282" s="41" t="s">
        <v>2607</v>
      </c>
      <c r="K2282" s="41" t="str">
        <f>VLOOKUP(J2282,错误mRNA总表!D:J,7,FALSE)</f>
        <v/>
      </c>
      <c r="M2282" s="41" t="e">
        <f>VLOOKUP(I2282,错误mRNA总表!D:I,6,FALSE)</f>
        <v>#N/A</v>
      </c>
    </row>
    <row r="2283" spans="1:13" x14ac:dyDescent="0.2">
      <c r="A2283" s="12" t="s">
        <v>5124</v>
      </c>
      <c r="B2283" s="12" t="s">
        <v>3957</v>
      </c>
      <c r="C2283" s="12">
        <v>27676440</v>
      </c>
      <c r="D2283" s="12">
        <v>27676545</v>
      </c>
      <c r="E2283" s="12" t="s">
        <v>3943</v>
      </c>
      <c r="F2283" s="12">
        <v>1</v>
      </c>
      <c r="G2283" s="41" t="s">
        <v>36</v>
      </c>
      <c r="H2283" s="12" t="s">
        <v>6583</v>
      </c>
      <c r="I2283" s="41" t="s">
        <v>7676</v>
      </c>
      <c r="M2283" s="41" t="e">
        <f>VLOOKUP(I2283,错误mRNA总表!D:I,6,FALSE)</f>
        <v>#N/A</v>
      </c>
    </row>
    <row r="2284" spans="1:13" x14ac:dyDescent="0.2">
      <c r="A2284" s="12" t="s">
        <v>5124</v>
      </c>
      <c r="B2284" s="12" t="s">
        <v>3957</v>
      </c>
      <c r="C2284" s="12">
        <v>27676440</v>
      </c>
      <c r="D2284" s="12">
        <v>27679010</v>
      </c>
      <c r="E2284" s="12" t="s">
        <v>3943</v>
      </c>
      <c r="F2284" s="12">
        <v>1</v>
      </c>
      <c r="G2284" s="41" t="s">
        <v>36</v>
      </c>
      <c r="H2284" s="12" t="s">
        <v>6583</v>
      </c>
      <c r="I2284" s="41" t="s">
        <v>7676</v>
      </c>
      <c r="M2284" s="41" t="e">
        <f>VLOOKUP(I2284,错误mRNA总表!D:I,6,FALSE)</f>
        <v>#N/A</v>
      </c>
    </row>
    <row r="2285" spans="1:13" x14ac:dyDescent="0.2">
      <c r="A2285" s="12" t="s">
        <v>5125</v>
      </c>
      <c r="B2285" s="12" t="s">
        <v>4607</v>
      </c>
      <c r="C2285" s="12">
        <v>373201</v>
      </c>
      <c r="D2285" s="12">
        <v>375445</v>
      </c>
      <c r="E2285" s="12" t="s">
        <v>3943</v>
      </c>
      <c r="F2285" s="12">
        <v>1</v>
      </c>
      <c r="H2285" s="12" t="s">
        <v>3618</v>
      </c>
      <c r="I2285" s="41" t="s">
        <v>7677</v>
      </c>
      <c r="M2285" s="41" t="e">
        <f>VLOOKUP(I2285,错误mRNA总表!D:I,6,FALSE)</f>
        <v>#N/A</v>
      </c>
    </row>
    <row r="2286" spans="1:13" x14ac:dyDescent="0.2">
      <c r="A2286" s="12" t="s">
        <v>5125</v>
      </c>
      <c r="B2286" s="12" t="s">
        <v>4607</v>
      </c>
      <c r="C2286" s="12">
        <v>373201</v>
      </c>
      <c r="D2286" s="12">
        <v>376618</v>
      </c>
      <c r="E2286" s="12" t="s">
        <v>3940</v>
      </c>
      <c r="F2286" s="12">
        <v>1</v>
      </c>
      <c r="H2286" s="12" t="s">
        <v>3618</v>
      </c>
      <c r="I2286" s="41" t="s">
        <v>7677</v>
      </c>
      <c r="M2286" s="41" t="e">
        <f>VLOOKUP(I2286,错误mRNA总表!D:I,6,FALSE)</f>
        <v>#N/A</v>
      </c>
    </row>
    <row r="2287" spans="1:13" x14ac:dyDescent="0.2">
      <c r="A2287" s="12" t="s">
        <v>5126</v>
      </c>
      <c r="B2287" s="12" t="s">
        <v>4527</v>
      </c>
      <c r="C2287" s="12">
        <v>222680</v>
      </c>
      <c r="D2287" s="12">
        <v>224429</v>
      </c>
      <c r="E2287" s="12" t="s">
        <v>3940</v>
      </c>
      <c r="F2287" s="12">
        <v>5</v>
      </c>
      <c r="H2287" s="12" t="s">
        <v>6441</v>
      </c>
      <c r="I2287" s="41" t="s">
        <v>7678</v>
      </c>
      <c r="M2287" s="41" t="e">
        <f>VLOOKUP(I2287,错误mRNA总表!D:I,6,FALSE)</f>
        <v>#N/A</v>
      </c>
    </row>
    <row r="2288" spans="1:13" x14ac:dyDescent="0.2">
      <c r="A2288" s="12" t="s">
        <v>5127</v>
      </c>
      <c r="B2288" s="12" t="s">
        <v>4055</v>
      </c>
      <c r="C2288" s="12">
        <v>122064455</v>
      </c>
      <c r="D2288" s="12">
        <v>122064784</v>
      </c>
      <c r="E2288" s="12" t="s">
        <v>3943</v>
      </c>
      <c r="F2288" s="12">
        <v>6</v>
      </c>
      <c r="G2288" s="41" t="s">
        <v>212</v>
      </c>
      <c r="H2288" s="12" t="s">
        <v>1048</v>
      </c>
      <c r="I2288" s="41" t="s">
        <v>2271</v>
      </c>
      <c r="J2288" s="41" t="s">
        <v>2271</v>
      </c>
      <c r="K2288" s="41" t="str">
        <f>VLOOKUP(J2288,错误mRNA总表!D:J,7,FALSE)</f>
        <v>纠后正确，少2个氨基酸chr12：122064785-122079549</v>
      </c>
      <c r="L2288" s="41" t="s">
        <v>8357</v>
      </c>
      <c r="M2288" s="41">
        <f>VLOOKUP(I2288,错误mRNA总表!D:I,6,FALSE)</f>
        <v>0</v>
      </c>
    </row>
    <row r="2289" spans="1:13" x14ac:dyDescent="0.2">
      <c r="A2289" s="12" t="s">
        <v>4094</v>
      </c>
      <c r="B2289" s="12" t="s">
        <v>3950</v>
      </c>
      <c r="C2289" s="12">
        <v>248562</v>
      </c>
      <c r="D2289" s="12">
        <v>248597</v>
      </c>
      <c r="E2289" s="12" t="s">
        <v>3940</v>
      </c>
      <c r="F2289" s="12">
        <v>2</v>
      </c>
      <c r="H2289" s="12" t="s">
        <v>3656</v>
      </c>
      <c r="I2289" s="41" t="s">
        <v>7462</v>
      </c>
      <c r="M2289" s="41" t="e">
        <f>VLOOKUP(I2289,错误mRNA总表!D:I,6,FALSE)</f>
        <v>#N/A</v>
      </c>
    </row>
    <row r="2290" spans="1:13" x14ac:dyDescent="0.2">
      <c r="A2290" s="12" t="s">
        <v>5128</v>
      </c>
      <c r="B2290" s="12" t="s">
        <v>3957</v>
      </c>
      <c r="C2290" s="12">
        <v>20409076</v>
      </c>
      <c r="D2290" s="12">
        <v>20530816</v>
      </c>
      <c r="E2290" s="12" t="s">
        <v>3943</v>
      </c>
      <c r="F2290" s="12">
        <v>2</v>
      </c>
      <c r="G2290" s="41" t="s">
        <v>36</v>
      </c>
      <c r="H2290" s="12" t="s">
        <v>924</v>
      </c>
      <c r="I2290" s="41" t="s">
        <v>2824</v>
      </c>
      <c r="J2290" s="41" t="s">
        <v>2824</v>
      </c>
      <c r="K2290" s="41" t="str">
        <f>VLOOKUP(J2290,错误mRNA总表!D:J,7,FALSE)</f>
        <v/>
      </c>
      <c r="L2290" s="41" t="s">
        <v>3762</v>
      </c>
      <c r="M2290" s="41">
        <f>VLOOKUP(I2290,错误mRNA总表!D:I,6,FALSE)</f>
        <v>0</v>
      </c>
    </row>
    <row r="2291" spans="1:13" x14ac:dyDescent="0.2">
      <c r="A2291" s="12" t="s">
        <v>4571</v>
      </c>
      <c r="B2291" s="12" t="s">
        <v>3989</v>
      </c>
      <c r="C2291" s="12">
        <v>3234092</v>
      </c>
      <c r="D2291" s="12">
        <v>3234096</v>
      </c>
      <c r="E2291" s="12" t="s">
        <v>3940</v>
      </c>
      <c r="F2291" s="12">
        <v>5</v>
      </c>
      <c r="H2291" s="12" t="s">
        <v>3431</v>
      </c>
      <c r="I2291" s="41" t="s">
        <v>7679</v>
      </c>
      <c r="M2291" s="41" t="e">
        <f>VLOOKUP(I2291,错误mRNA总表!D:I,6,FALSE)</f>
        <v>#N/A</v>
      </c>
    </row>
    <row r="2292" spans="1:13" x14ac:dyDescent="0.2">
      <c r="A2292" s="12" t="s">
        <v>5129</v>
      </c>
      <c r="B2292" s="12" t="s">
        <v>3957</v>
      </c>
      <c r="C2292" s="12">
        <v>46638826</v>
      </c>
      <c r="D2292" s="12">
        <v>46694313</v>
      </c>
      <c r="E2292" s="12" t="s">
        <v>3943</v>
      </c>
      <c r="F2292" s="12">
        <v>2</v>
      </c>
      <c r="G2292" s="41" t="s">
        <v>36</v>
      </c>
      <c r="H2292" s="12" t="s">
        <v>6144</v>
      </c>
      <c r="I2292" s="41" t="s">
        <v>7680</v>
      </c>
      <c r="M2292" s="41" t="e">
        <f>VLOOKUP(I2292,错误mRNA总表!D:I,6,FALSE)</f>
        <v>#N/A</v>
      </c>
    </row>
    <row r="2293" spans="1:13" x14ac:dyDescent="0.2">
      <c r="A2293" s="12" t="s">
        <v>5130</v>
      </c>
      <c r="B2293" s="12" t="s">
        <v>4052</v>
      </c>
      <c r="C2293" s="12">
        <v>89623195</v>
      </c>
      <c r="D2293" s="12">
        <v>89623860</v>
      </c>
      <c r="E2293" s="12" t="s">
        <v>3943</v>
      </c>
      <c r="F2293" s="12">
        <v>1</v>
      </c>
      <c r="G2293" s="41" t="s">
        <v>93</v>
      </c>
      <c r="H2293" s="12" t="s">
        <v>6595</v>
      </c>
      <c r="I2293" s="41" t="s">
        <v>7608</v>
      </c>
      <c r="M2293" s="41" t="e">
        <f>VLOOKUP(I2293,错误mRNA总表!D:I,6,FALSE)</f>
        <v>#N/A</v>
      </c>
    </row>
    <row r="2294" spans="1:13" x14ac:dyDescent="0.2">
      <c r="A2294" s="12" t="s">
        <v>4951</v>
      </c>
      <c r="B2294" s="12" t="s">
        <v>3950</v>
      </c>
      <c r="C2294" s="12">
        <v>248562</v>
      </c>
      <c r="D2294" s="12">
        <v>248597</v>
      </c>
      <c r="E2294" s="12" t="s">
        <v>3940</v>
      </c>
      <c r="F2294" s="12">
        <v>2</v>
      </c>
      <c r="H2294" s="12" t="s">
        <v>3655</v>
      </c>
      <c r="I2294" s="41" t="s">
        <v>7681</v>
      </c>
      <c r="M2294" s="41" t="e">
        <f>VLOOKUP(I2294,错误mRNA总表!D:I,6,FALSE)</f>
        <v>#N/A</v>
      </c>
    </row>
    <row r="2295" spans="1:13" x14ac:dyDescent="0.2">
      <c r="A2295" s="12" t="s">
        <v>5131</v>
      </c>
      <c r="B2295" s="12" t="s">
        <v>3978</v>
      </c>
      <c r="C2295" s="12">
        <v>4938493</v>
      </c>
      <c r="D2295" s="12">
        <v>4940288</v>
      </c>
      <c r="E2295" s="12" t="s">
        <v>3943</v>
      </c>
      <c r="F2295" s="12">
        <v>1</v>
      </c>
      <c r="G2295" s="41" t="s">
        <v>86</v>
      </c>
      <c r="H2295" s="12" t="s">
        <v>6458</v>
      </c>
      <c r="I2295" s="41" t="s">
        <v>7682</v>
      </c>
      <c r="M2295" s="41" t="e">
        <f>VLOOKUP(I2295,错误mRNA总表!D:I,6,FALSE)</f>
        <v>#N/A</v>
      </c>
    </row>
    <row r="2296" spans="1:13" x14ac:dyDescent="0.2">
      <c r="A2296" s="12" t="s">
        <v>5132</v>
      </c>
      <c r="B2296" s="12" t="s">
        <v>4052</v>
      </c>
      <c r="C2296" s="12">
        <v>126490354</v>
      </c>
      <c r="D2296" s="12">
        <v>126525021</v>
      </c>
      <c r="E2296" s="12" t="s">
        <v>3943</v>
      </c>
      <c r="F2296" s="12">
        <v>1</v>
      </c>
      <c r="G2296" s="41" t="s">
        <v>93</v>
      </c>
      <c r="H2296" s="12" t="s">
        <v>6532</v>
      </c>
      <c r="I2296" s="41" t="s">
        <v>7683</v>
      </c>
      <c r="M2296" s="41" t="e">
        <f>VLOOKUP(I2296,错误mRNA总表!D:I,6,FALSE)</f>
        <v>#N/A</v>
      </c>
    </row>
    <row r="2297" spans="1:13" x14ac:dyDescent="0.2">
      <c r="A2297" s="12" t="s">
        <v>5133</v>
      </c>
      <c r="B2297" s="12" t="s">
        <v>4055</v>
      </c>
      <c r="C2297" s="12">
        <v>103232104</v>
      </c>
      <c r="D2297" s="12">
        <v>103311077</v>
      </c>
      <c r="E2297" s="12" t="s">
        <v>3943</v>
      </c>
      <c r="F2297" s="12">
        <v>1</v>
      </c>
      <c r="G2297" s="41" t="s">
        <v>212</v>
      </c>
      <c r="H2297" s="12" t="s">
        <v>6145</v>
      </c>
      <c r="I2297" s="41" t="s">
        <v>7684</v>
      </c>
      <c r="M2297" s="41" t="e">
        <f>VLOOKUP(I2297,错误mRNA总表!D:I,6,FALSE)</f>
        <v>#N/A</v>
      </c>
    </row>
    <row r="2298" spans="1:13" x14ac:dyDescent="0.2">
      <c r="A2298" s="12" t="s">
        <v>5134</v>
      </c>
      <c r="B2298" s="12" t="s">
        <v>4115</v>
      </c>
      <c r="C2298" s="12">
        <v>95218487</v>
      </c>
      <c r="D2298" s="12">
        <v>95237024</v>
      </c>
      <c r="E2298" s="12" t="s">
        <v>3943</v>
      </c>
      <c r="F2298" s="12">
        <v>3</v>
      </c>
      <c r="G2298" s="41" t="s">
        <v>33</v>
      </c>
      <c r="H2298" s="12" t="s">
        <v>823</v>
      </c>
      <c r="I2298" s="41" t="s">
        <v>2260</v>
      </c>
      <c r="J2298" s="41" t="s">
        <v>2260</v>
      </c>
      <c r="K2298" s="41" t="str">
        <f>VLOOKUP(J2298,错误mRNA总表!D:J,7,FALSE)</f>
        <v>纠后正确，少1个氨基酸chr9：95227244-95237086</v>
      </c>
      <c r="L2298" s="41" t="s">
        <v>8358</v>
      </c>
      <c r="M2298" s="41">
        <f>VLOOKUP(I2298,错误mRNA总表!D:I,6,FALSE)</f>
        <v>0</v>
      </c>
    </row>
    <row r="2299" spans="1:13" x14ac:dyDescent="0.2">
      <c r="A2299" s="12" t="s">
        <v>4050</v>
      </c>
      <c r="B2299" s="12" t="s">
        <v>3964</v>
      </c>
      <c r="C2299" s="12">
        <v>3737844</v>
      </c>
      <c r="D2299" s="12">
        <v>3737975</v>
      </c>
      <c r="E2299" s="12" t="s">
        <v>3943</v>
      </c>
      <c r="F2299" s="12">
        <v>1</v>
      </c>
      <c r="H2299" s="12" t="s">
        <v>5790</v>
      </c>
      <c r="I2299" s="41" t="s">
        <v>7685</v>
      </c>
      <c r="M2299" s="41" t="e">
        <f>VLOOKUP(I2299,错误mRNA总表!D:I,6,FALSE)</f>
        <v>#N/A</v>
      </c>
    </row>
    <row r="2300" spans="1:13" x14ac:dyDescent="0.2">
      <c r="A2300" s="12" t="s">
        <v>5135</v>
      </c>
      <c r="B2300" s="12" t="s">
        <v>4001</v>
      </c>
      <c r="C2300" s="12">
        <v>1318409</v>
      </c>
      <c r="D2300" s="12">
        <v>1318419</v>
      </c>
      <c r="E2300" s="12" t="s">
        <v>3940</v>
      </c>
      <c r="F2300" s="12">
        <v>5</v>
      </c>
      <c r="H2300" s="12" t="s">
        <v>3417</v>
      </c>
      <c r="I2300" s="41" t="s">
        <v>7114</v>
      </c>
      <c r="M2300" s="41" t="e">
        <f>VLOOKUP(I2300,错误mRNA总表!D:I,6,FALSE)</f>
        <v>#N/A</v>
      </c>
    </row>
    <row r="2301" spans="1:13" x14ac:dyDescent="0.2">
      <c r="A2301" s="12" t="s">
        <v>5135</v>
      </c>
      <c r="B2301" s="12" t="s">
        <v>4001</v>
      </c>
      <c r="C2301" s="12">
        <v>1318409</v>
      </c>
      <c r="D2301" s="12">
        <v>1318438</v>
      </c>
      <c r="E2301" s="12" t="s">
        <v>3943</v>
      </c>
      <c r="F2301" s="12">
        <v>2</v>
      </c>
      <c r="H2301" s="12" t="s">
        <v>3417</v>
      </c>
      <c r="I2301" s="41" t="s">
        <v>7114</v>
      </c>
      <c r="M2301" s="41" t="e">
        <f>VLOOKUP(I2301,错误mRNA总表!D:I,6,FALSE)</f>
        <v>#N/A</v>
      </c>
    </row>
    <row r="2302" spans="1:13" x14ac:dyDescent="0.2">
      <c r="A2302" s="12" t="s">
        <v>5135</v>
      </c>
      <c r="B2302" s="12" t="s">
        <v>4001</v>
      </c>
      <c r="C2302" s="12">
        <v>1318409</v>
      </c>
      <c r="D2302" s="12">
        <v>1318446</v>
      </c>
      <c r="E2302" s="12" t="s">
        <v>3940</v>
      </c>
      <c r="F2302" s="12">
        <v>1</v>
      </c>
      <c r="H2302" s="12" t="s">
        <v>3417</v>
      </c>
      <c r="I2302" s="41" t="s">
        <v>7114</v>
      </c>
      <c r="M2302" s="41" t="e">
        <f>VLOOKUP(I2302,错误mRNA总表!D:I,6,FALSE)</f>
        <v>#N/A</v>
      </c>
    </row>
    <row r="2303" spans="1:13" x14ac:dyDescent="0.2">
      <c r="A2303" s="12" t="s">
        <v>5135</v>
      </c>
      <c r="B2303" s="12" t="s">
        <v>4001</v>
      </c>
      <c r="C2303" s="12">
        <v>1318409</v>
      </c>
      <c r="D2303" s="12">
        <v>1318450</v>
      </c>
      <c r="E2303" s="12" t="s">
        <v>3940</v>
      </c>
      <c r="F2303" s="12">
        <v>5</v>
      </c>
      <c r="H2303" s="12" t="s">
        <v>3417</v>
      </c>
      <c r="I2303" s="41" t="s">
        <v>7114</v>
      </c>
      <c r="M2303" s="41" t="e">
        <f>VLOOKUP(I2303,错误mRNA总表!D:I,6,FALSE)</f>
        <v>#N/A</v>
      </c>
    </row>
    <row r="2304" spans="1:13" x14ac:dyDescent="0.2">
      <c r="A2304" s="12" t="s">
        <v>5136</v>
      </c>
      <c r="B2304" s="12" t="s">
        <v>3957</v>
      </c>
      <c r="C2304" s="12">
        <v>46638826</v>
      </c>
      <c r="D2304" s="12">
        <v>46694313</v>
      </c>
      <c r="E2304" s="12" t="s">
        <v>3943</v>
      </c>
      <c r="F2304" s="12">
        <v>2</v>
      </c>
      <c r="G2304" s="41" t="s">
        <v>36</v>
      </c>
      <c r="H2304" s="12" t="s">
        <v>6146</v>
      </c>
      <c r="I2304" s="41" t="s">
        <v>7686</v>
      </c>
      <c r="M2304" s="41" t="e">
        <f>VLOOKUP(I2304,错误mRNA总表!D:I,6,FALSE)</f>
        <v>#N/A</v>
      </c>
    </row>
    <row r="2305" spans="1:13" x14ac:dyDescent="0.2">
      <c r="A2305" s="12" t="s">
        <v>4707</v>
      </c>
      <c r="B2305" s="12" t="s">
        <v>4081</v>
      </c>
      <c r="C2305" s="12">
        <v>76503</v>
      </c>
      <c r="D2305" s="12">
        <v>79716</v>
      </c>
      <c r="E2305" s="12" t="s">
        <v>3943</v>
      </c>
      <c r="F2305" s="12">
        <v>3</v>
      </c>
      <c r="H2305" s="12" t="s">
        <v>1164</v>
      </c>
      <c r="I2305" s="41" t="s">
        <v>7687</v>
      </c>
      <c r="J2305" s="41" t="s">
        <v>3386</v>
      </c>
      <c r="K2305" s="41" t="str">
        <f>VLOOKUP(J2305,错误mRNA总表!D:J,7,FALSE)</f>
        <v>纠后正确</v>
      </c>
      <c r="M2305" s="41" t="e">
        <f>VLOOKUP(I2305,错误mRNA总表!D:I,6,FALSE)</f>
        <v>#N/A</v>
      </c>
    </row>
    <row r="2306" spans="1:13" x14ac:dyDescent="0.2">
      <c r="A2306" s="12" t="s">
        <v>5137</v>
      </c>
      <c r="B2306" s="12" t="s">
        <v>3942</v>
      </c>
      <c r="C2306" s="12">
        <v>175810940</v>
      </c>
      <c r="D2306" s="12">
        <v>175811094</v>
      </c>
      <c r="E2306" s="12" t="s">
        <v>3940</v>
      </c>
      <c r="F2306" s="12">
        <v>2</v>
      </c>
      <c r="G2306" s="41" t="s">
        <v>186</v>
      </c>
      <c r="H2306" s="12" t="s">
        <v>6147</v>
      </c>
      <c r="I2306" s="41" t="s">
        <v>7628</v>
      </c>
      <c r="M2306" s="41" t="e">
        <f>VLOOKUP(I2306,错误mRNA总表!D:I,6,FALSE)</f>
        <v>#N/A</v>
      </c>
    </row>
    <row r="2307" spans="1:13" x14ac:dyDescent="0.2">
      <c r="A2307" s="12" t="s">
        <v>3997</v>
      </c>
      <c r="B2307" s="12" t="s">
        <v>3994</v>
      </c>
      <c r="C2307" s="12">
        <v>2480458</v>
      </c>
      <c r="D2307" s="12">
        <v>2482472</v>
      </c>
      <c r="E2307" s="12" t="s">
        <v>3943</v>
      </c>
      <c r="F2307" s="12">
        <v>3</v>
      </c>
      <c r="H2307" s="12" t="s">
        <v>671</v>
      </c>
      <c r="I2307" s="41" t="s">
        <v>7688</v>
      </c>
      <c r="J2307" s="41" t="s">
        <v>2608</v>
      </c>
      <c r="K2307" s="41" t="str">
        <f>VLOOKUP(J2307,错误mRNA总表!D:J,7,FALSE)</f>
        <v/>
      </c>
      <c r="M2307" s="41" t="e">
        <f>VLOOKUP(I2307,错误mRNA总表!D:I,6,FALSE)</f>
        <v>#N/A</v>
      </c>
    </row>
    <row r="2308" spans="1:13" x14ac:dyDescent="0.2">
      <c r="A2308" s="12" t="s">
        <v>3997</v>
      </c>
      <c r="B2308" s="12" t="s">
        <v>3994</v>
      </c>
      <c r="C2308" s="12">
        <v>2480458</v>
      </c>
      <c r="D2308" s="12">
        <v>2482796</v>
      </c>
      <c r="E2308" s="12" t="s">
        <v>3940</v>
      </c>
      <c r="F2308" s="12">
        <v>1</v>
      </c>
      <c r="H2308" s="12" t="s">
        <v>671</v>
      </c>
      <c r="I2308" s="41" t="s">
        <v>7688</v>
      </c>
      <c r="J2308" s="41" t="s">
        <v>2608</v>
      </c>
      <c r="K2308" s="41" t="str">
        <f>VLOOKUP(J2308,错误mRNA总表!D:J,7,FALSE)</f>
        <v/>
      </c>
      <c r="M2308" s="41" t="e">
        <f>VLOOKUP(I2308,错误mRNA总表!D:I,6,FALSE)</f>
        <v>#N/A</v>
      </c>
    </row>
    <row r="2309" spans="1:13" x14ac:dyDescent="0.2">
      <c r="A2309" s="12" t="s">
        <v>5138</v>
      </c>
      <c r="B2309" s="12" t="s">
        <v>4030</v>
      </c>
      <c r="C2309" s="12">
        <v>21989231</v>
      </c>
      <c r="D2309" s="12">
        <v>21989472</v>
      </c>
      <c r="E2309" s="12" t="s">
        <v>3940</v>
      </c>
      <c r="F2309" s="12">
        <v>15</v>
      </c>
      <c r="G2309" s="41" t="s">
        <v>81</v>
      </c>
      <c r="H2309" s="12" t="s">
        <v>6148</v>
      </c>
      <c r="I2309" s="41" t="s">
        <v>7689</v>
      </c>
      <c r="M2309" s="41" t="e">
        <f>VLOOKUP(I2309,错误mRNA总表!D:I,6,FALSE)</f>
        <v>#N/A</v>
      </c>
    </row>
    <row r="2310" spans="1:13" x14ac:dyDescent="0.2">
      <c r="A2310" s="12" t="s">
        <v>5138</v>
      </c>
      <c r="B2310" s="12" t="s">
        <v>4030</v>
      </c>
      <c r="C2310" s="12">
        <v>21989231</v>
      </c>
      <c r="D2310" s="12">
        <v>21989706</v>
      </c>
      <c r="E2310" s="12" t="s">
        <v>3940</v>
      </c>
      <c r="F2310" s="12">
        <v>2</v>
      </c>
      <c r="G2310" s="41" t="s">
        <v>81</v>
      </c>
      <c r="H2310" s="12" t="s">
        <v>6148</v>
      </c>
      <c r="I2310" s="41" t="s">
        <v>7689</v>
      </c>
      <c r="M2310" s="41" t="e">
        <f>VLOOKUP(I2310,错误mRNA总表!D:I,6,FALSE)</f>
        <v>#N/A</v>
      </c>
    </row>
    <row r="2311" spans="1:13" x14ac:dyDescent="0.2">
      <c r="A2311" s="12" t="s">
        <v>4294</v>
      </c>
      <c r="B2311" s="12" t="s">
        <v>3969</v>
      </c>
      <c r="C2311" s="12">
        <v>928111</v>
      </c>
      <c r="D2311" s="12">
        <v>943463</v>
      </c>
      <c r="E2311" s="12" t="s">
        <v>3943</v>
      </c>
      <c r="F2311" s="12">
        <v>4</v>
      </c>
      <c r="H2311" s="12" t="s">
        <v>3525</v>
      </c>
      <c r="I2311" s="41" t="s">
        <v>7690</v>
      </c>
      <c r="M2311" s="41" t="e">
        <f>VLOOKUP(I2311,错误mRNA总表!D:I,6,FALSE)</f>
        <v>#N/A</v>
      </c>
    </row>
    <row r="2312" spans="1:13" x14ac:dyDescent="0.2">
      <c r="A2312" s="12" t="s">
        <v>4691</v>
      </c>
      <c r="B2312" s="12" t="s">
        <v>3984</v>
      </c>
      <c r="C2312" s="12">
        <v>928077</v>
      </c>
      <c r="D2312" s="12">
        <v>943429</v>
      </c>
      <c r="E2312" s="12" t="s">
        <v>3943</v>
      </c>
      <c r="F2312" s="12">
        <v>4</v>
      </c>
      <c r="H2312" s="12" t="s">
        <v>3529</v>
      </c>
      <c r="I2312" s="41" t="s">
        <v>7691</v>
      </c>
      <c r="M2312" s="41" t="e">
        <f>VLOOKUP(I2312,错误mRNA总表!D:I,6,FALSE)</f>
        <v>#N/A</v>
      </c>
    </row>
    <row r="2313" spans="1:13" x14ac:dyDescent="0.2">
      <c r="A2313" s="12" t="s">
        <v>4393</v>
      </c>
      <c r="B2313" s="12" t="s">
        <v>4942</v>
      </c>
      <c r="C2313" s="12">
        <v>134946</v>
      </c>
      <c r="D2313" s="12">
        <v>147927</v>
      </c>
      <c r="E2313" s="12" t="s">
        <v>3940</v>
      </c>
      <c r="F2313" s="12">
        <v>1</v>
      </c>
      <c r="H2313" s="12" t="s">
        <v>3648</v>
      </c>
      <c r="I2313" s="41" t="s">
        <v>6693</v>
      </c>
      <c r="M2313" s="41" t="e">
        <f>VLOOKUP(I2313,错误mRNA总表!D:I,6,FALSE)</f>
        <v>#N/A</v>
      </c>
    </row>
    <row r="2314" spans="1:13" x14ac:dyDescent="0.2">
      <c r="A2314" s="12" t="s">
        <v>4393</v>
      </c>
      <c r="B2314" s="12" t="s">
        <v>4942</v>
      </c>
      <c r="C2314" s="12">
        <v>134946</v>
      </c>
      <c r="D2314" s="12">
        <v>135009</v>
      </c>
      <c r="E2314" s="12" t="s">
        <v>3940</v>
      </c>
      <c r="F2314" s="12">
        <v>1</v>
      </c>
      <c r="H2314" s="12" t="s">
        <v>3648</v>
      </c>
      <c r="I2314" s="41" t="s">
        <v>6693</v>
      </c>
      <c r="M2314" s="41" t="e">
        <f>VLOOKUP(I2314,错误mRNA总表!D:I,6,FALSE)</f>
        <v>#N/A</v>
      </c>
    </row>
    <row r="2315" spans="1:13" x14ac:dyDescent="0.2">
      <c r="A2315" s="12" t="s">
        <v>5139</v>
      </c>
      <c r="B2315" s="12" t="s">
        <v>3966</v>
      </c>
      <c r="C2315" s="12">
        <v>29702985</v>
      </c>
      <c r="D2315" s="12">
        <v>29707641</v>
      </c>
      <c r="E2315" s="12" t="s">
        <v>3940</v>
      </c>
      <c r="F2315" s="12">
        <v>1</v>
      </c>
      <c r="G2315" s="41" t="s">
        <v>43</v>
      </c>
      <c r="H2315" s="12" t="s">
        <v>213</v>
      </c>
      <c r="I2315" s="41" t="s">
        <v>7692</v>
      </c>
      <c r="J2315" s="41" t="s">
        <v>2168</v>
      </c>
      <c r="K2315" s="41" t="str">
        <f>VLOOKUP(J2315,错误mRNA总表!D:J,7,FALSE)</f>
        <v>纠后正确，utr略有变化，版本不一致</v>
      </c>
      <c r="M2315" s="41" t="e">
        <f>VLOOKUP(I2315,错误mRNA总表!D:I,6,FALSE)</f>
        <v>#N/A</v>
      </c>
    </row>
    <row r="2316" spans="1:13" x14ac:dyDescent="0.2">
      <c r="A2316" s="12" t="s">
        <v>4200</v>
      </c>
      <c r="B2316" s="12" t="s">
        <v>3969</v>
      </c>
      <c r="C2316" s="12">
        <v>3906294</v>
      </c>
      <c r="D2316" s="12">
        <v>3906870</v>
      </c>
      <c r="E2316" s="12" t="s">
        <v>3943</v>
      </c>
      <c r="F2316" s="12">
        <v>1</v>
      </c>
      <c r="H2316" s="12" t="s">
        <v>5826</v>
      </c>
      <c r="I2316" s="41" t="s">
        <v>7693</v>
      </c>
      <c r="M2316" s="41" t="e">
        <f>VLOOKUP(I2316,错误mRNA总表!D:I,6,FALSE)</f>
        <v>#N/A</v>
      </c>
    </row>
    <row r="2317" spans="1:13" x14ac:dyDescent="0.2">
      <c r="A2317" s="12" t="s">
        <v>5140</v>
      </c>
      <c r="B2317" s="12" t="s">
        <v>4042</v>
      </c>
      <c r="C2317" s="12">
        <v>67358195</v>
      </c>
      <c r="D2317" s="12">
        <v>67485936</v>
      </c>
      <c r="E2317" s="12" t="s">
        <v>3943</v>
      </c>
      <c r="F2317" s="12">
        <v>3</v>
      </c>
      <c r="G2317" s="41" t="s">
        <v>113</v>
      </c>
      <c r="H2317" s="12" t="s">
        <v>6533</v>
      </c>
      <c r="I2317" s="41" t="s">
        <v>7694</v>
      </c>
      <c r="M2317" s="41" t="e">
        <f>VLOOKUP(I2317,错误mRNA总表!D:I,6,FALSE)</f>
        <v>#N/A</v>
      </c>
    </row>
    <row r="2318" spans="1:13" x14ac:dyDescent="0.2">
      <c r="A2318" s="12" t="s">
        <v>4560</v>
      </c>
      <c r="B2318" s="12" t="s">
        <v>3973</v>
      </c>
      <c r="C2318" s="12">
        <v>248902716</v>
      </c>
      <c r="D2318" s="12">
        <v>248903151</v>
      </c>
      <c r="E2318" s="12" t="s">
        <v>3940</v>
      </c>
      <c r="F2318" s="12">
        <v>2</v>
      </c>
      <c r="G2318" s="41" t="s">
        <v>139</v>
      </c>
      <c r="H2318" s="12" t="s">
        <v>5941</v>
      </c>
      <c r="I2318" s="41" t="s">
        <v>7695</v>
      </c>
      <c r="M2318" s="41" t="e">
        <f>VLOOKUP(I2318,错误mRNA总表!D:I,6,FALSE)</f>
        <v>#N/A</v>
      </c>
    </row>
    <row r="2319" spans="1:13" x14ac:dyDescent="0.2">
      <c r="A2319" s="12" t="s">
        <v>4560</v>
      </c>
      <c r="B2319" s="12" t="s">
        <v>3973</v>
      </c>
      <c r="C2319" s="12">
        <v>248902716</v>
      </c>
      <c r="D2319" s="12">
        <v>248903157</v>
      </c>
      <c r="E2319" s="12" t="s">
        <v>3940</v>
      </c>
      <c r="F2319" s="12">
        <v>4</v>
      </c>
      <c r="G2319" s="41" t="s">
        <v>139</v>
      </c>
      <c r="H2319" s="12" t="s">
        <v>5941</v>
      </c>
      <c r="I2319" s="41" t="s">
        <v>7695</v>
      </c>
      <c r="M2319" s="41" t="e">
        <f>VLOOKUP(I2319,错误mRNA总表!D:I,6,FALSE)</f>
        <v>#N/A</v>
      </c>
    </row>
    <row r="2320" spans="1:13" x14ac:dyDescent="0.2">
      <c r="A2320" s="12" t="s">
        <v>4560</v>
      </c>
      <c r="B2320" s="12" t="s">
        <v>3973</v>
      </c>
      <c r="C2320" s="12">
        <v>248902716</v>
      </c>
      <c r="D2320" s="12">
        <v>248903164</v>
      </c>
      <c r="E2320" s="12" t="s">
        <v>3943</v>
      </c>
      <c r="F2320" s="12">
        <v>1</v>
      </c>
      <c r="G2320" s="41" t="s">
        <v>139</v>
      </c>
      <c r="H2320" s="12" t="s">
        <v>5941</v>
      </c>
      <c r="I2320" s="41" t="s">
        <v>7695</v>
      </c>
      <c r="M2320" s="41" t="e">
        <f>VLOOKUP(I2320,错误mRNA总表!D:I,6,FALSE)</f>
        <v>#N/A</v>
      </c>
    </row>
    <row r="2321" spans="1:13" x14ac:dyDescent="0.2">
      <c r="A2321" s="12" t="s">
        <v>5141</v>
      </c>
      <c r="B2321" s="12" t="s">
        <v>4004</v>
      </c>
      <c r="C2321" s="12">
        <v>64081112</v>
      </c>
      <c r="D2321" s="12">
        <v>64098729</v>
      </c>
      <c r="E2321" s="12" t="s">
        <v>3940</v>
      </c>
      <c r="F2321" s="12">
        <v>1</v>
      </c>
      <c r="G2321" s="41" t="s">
        <v>103</v>
      </c>
      <c r="H2321" s="12" t="s">
        <v>3443</v>
      </c>
      <c r="I2321" s="41" t="s">
        <v>7696</v>
      </c>
      <c r="M2321" s="41" t="e">
        <f>VLOOKUP(I2321,错误mRNA总表!D:I,6,FALSE)</f>
        <v>#N/A</v>
      </c>
    </row>
    <row r="2322" spans="1:13" x14ac:dyDescent="0.2">
      <c r="A2322" s="12" t="s">
        <v>5142</v>
      </c>
      <c r="B2322" s="12" t="s">
        <v>4030</v>
      </c>
      <c r="C2322" s="12">
        <v>73957644</v>
      </c>
      <c r="D2322" s="12">
        <v>73957982</v>
      </c>
      <c r="E2322" s="12" t="s">
        <v>3940</v>
      </c>
      <c r="F2322" s="12">
        <v>1</v>
      </c>
      <c r="G2322" s="41" t="s">
        <v>81</v>
      </c>
      <c r="H2322" s="12" t="s">
        <v>227</v>
      </c>
      <c r="I2322" s="41" t="s">
        <v>2159</v>
      </c>
      <c r="J2322" s="41" t="s">
        <v>2159</v>
      </c>
      <c r="K2322" s="41" t="str">
        <f>VLOOKUP(J2322,错误mRNA总表!D:J,7,FALSE)</f>
        <v>纠后正确，utr略有变化，版本不一致</v>
      </c>
      <c r="L2322" s="41" t="s">
        <v>3899</v>
      </c>
      <c r="M2322" s="41">
        <f>VLOOKUP(I2322,错误mRNA总表!D:I,6,FALSE)</f>
        <v>0</v>
      </c>
    </row>
    <row r="2323" spans="1:13" x14ac:dyDescent="0.2">
      <c r="A2323" s="12" t="s">
        <v>5143</v>
      </c>
      <c r="B2323" s="12" t="s">
        <v>3973</v>
      </c>
      <c r="C2323" s="12">
        <v>1571100</v>
      </c>
      <c r="D2323" s="12">
        <v>1590440</v>
      </c>
      <c r="E2323" s="12" t="s">
        <v>3943</v>
      </c>
      <c r="F2323" s="12">
        <v>1</v>
      </c>
      <c r="G2323" s="41" t="s">
        <v>139</v>
      </c>
      <c r="H2323" s="12" t="s">
        <v>3760</v>
      </c>
      <c r="I2323" s="41" t="s">
        <v>3761</v>
      </c>
      <c r="M2323" s="41" t="e">
        <f>VLOOKUP(I2323,错误mRNA总表!D:I,6,FALSE)</f>
        <v>#N/A</v>
      </c>
    </row>
    <row r="2324" spans="1:13" x14ac:dyDescent="0.2">
      <c r="A2324" s="12" t="s">
        <v>5143</v>
      </c>
      <c r="B2324" s="12" t="s">
        <v>3973</v>
      </c>
      <c r="C2324" s="12">
        <v>1571100</v>
      </c>
      <c r="D2324" s="12">
        <v>1585972</v>
      </c>
      <c r="E2324" s="12" t="s">
        <v>3940</v>
      </c>
      <c r="F2324" s="12">
        <v>57</v>
      </c>
      <c r="G2324" s="41" t="s">
        <v>139</v>
      </c>
      <c r="H2324" s="12" t="s">
        <v>3760</v>
      </c>
      <c r="I2324" s="41" t="s">
        <v>3761</v>
      </c>
      <c r="M2324" s="41" t="e">
        <f>VLOOKUP(I2324,错误mRNA总表!D:I,6,FALSE)</f>
        <v>#N/A</v>
      </c>
    </row>
    <row r="2325" spans="1:13" x14ac:dyDescent="0.2">
      <c r="A2325" s="12" t="s">
        <v>5143</v>
      </c>
      <c r="B2325" s="12" t="s">
        <v>3973</v>
      </c>
      <c r="C2325" s="12">
        <v>1571100</v>
      </c>
      <c r="D2325" s="12">
        <v>1581832</v>
      </c>
      <c r="E2325" s="12" t="s">
        <v>3940</v>
      </c>
      <c r="F2325" s="12">
        <v>112</v>
      </c>
      <c r="G2325" s="41" t="s">
        <v>139</v>
      </c>
      <c r="H2325" s="12" t="s">
        <v>3760</v>
      </c>
      <c r="I2325" s="41" t="s">
        <v>3761</v>
      </c>
      <c r="M2325" s="41" t="e">
        <f>VLOOKUP(I2325,错误mRNA总表!D:I,6,FALSE)</f>
        <v>#N/A</v>
      </c>
    </row>
    <row r="2326" spans="1:13" x14ac:dyDescent="0.2">
      <c r="A2326" s="12" t="s">
        <v>5143</v>
      </c>
      <c r="B2326" s="12" t="s">
        <v>3973</v>
      </c>
      <c r="C2326" s="12">
        <v>1571100</v>
      </c>
      <c r="D2326" s="12">
        <v>1577365</v>
      </c>
      <c r="E2326" s="12" t="s">
        <v>3940</v>
      </c>
      <c r="F2326" s="12">
        <v>59</v>
      </c>
      <c r="G2326" s="41" t="s">
        <v>139</v>
      </c>
      <c r="H2326" s="12" t="s">
        <v>3760</v>
      </c>
      <c r="I2326" s="41" t="s">
        <v>3761</v>
      </c>
      <c r="M2326" s="41" t="e">
        <f>VLOOKUP(I2326,错误mRNA总表!D:I,6,FALSE)</f>
        <v>#N/A</v>
      </c>
    </row>
    <row r="2327" spans="1:13" x14ac:dyDescent="0.2">
      <c r="A2327" s="12" t="s">
        <v>5143</v>
      </c>
      <c r="B2327" s="12" t="s">
        <v>3973</v>
      </c>
      <c r="C2327" s="12">
        <v>1571100</v>
      </c>
      <c r="D2327" s="12">
        <v>1581820</v>
      </c>
      <c r="E2327" s="12" t="s">
        <v>3943</v>
      </c>
      <c r="F2327" s="12">
        <v>2</v>
      </c>
      <c r="G2327" s="41" t="s">
        <v>139</v>
      </c>
      <c r="H2327" s="12" t="s">
        <v>3760</v>
      </c>
      <c r="I2327" s="41" t="s">
        <v>3761</v>
      </c>
      <c r="M2327" s="41" t="e">
        <f>VLOOKUP(I2327,错误mRNA总表!D:I,6,FALSE)</f>
        <v>#N/A</v>
      </c>
    </row>
    <row r="2328" spans="1:13" x14ac:dyDescent="0.2">
      <c r="A2328" s="12" t="s">
        <v>5143</v>
      </c>
      <c r="B2328" s="12" t="s">
        <v>3973</v>
      </c>
      <c r="C2328" s="12">
        <v>1571100</v>
      </c>
      <c r="D2328" s="12">
        <v>1581826</v>
      </c>
      <c r="E2328" s="12" t="s">
        <v>3940</v>
      </c>
      <c r="F2328" s="12">
        <v>1</v>
      </c>
      <c r="G2328" s="41" t="s">
        <v>139</v>
      </c>
      <c r="H2328" s="12" t="s">
        <v>3760</v>
      </c>
      <c r="I2328" s="41" t="s">
        <v>3761</v>
      </c>
      <c r="M2328" s="41" t="e">
        <f>VLOOKUP(I2328,错误mRNA总表!D:I,6,FALSE)</f>
        <v>#N/A</v>
      </c>
    </row>
    <row r="2329" spans="1:13" x14ac:dyDescent="0.2">
      <c r="A2329" s="12" t="s">
        <v>5144</v>
      </c>
      <c r="B2329" s="12" t="s">
        <v>3957</v>
      </c>
      <c r="C2329" s="12">
        <v>118528942</v>
      </c>
      <c r="D2329" s="12">
        <v>118529044</v>
      </c>
      <c r="E2329" s="12" t="s">
        <v>3940</v>
      </c>
      <c r="F2329" s="12">
        <v>1</v>
      </c>
      <c r="G2329" s="41" t="s">
        <v>36</v>
      </c>
      <c r="H2329" s="12" t="s">
        <v>6149</v>
      </c>
      <c r="I2329" s="41" t="s">
        <v>7697</v>
      </c>
      <c r="M2329" s="41" t="e">
        <f>VLOOKUP(I2329,错误mRNA总表!D:I,6,FALSE)</f>
        <v>#N/A</v>
      </c>
    </row>
    <row r="2330" spans="1:13" x14ac:dyDescent="0.2">
      <c r="A2330" s="12" t="s">
        <v>4202</v>
      </c>
      <c r="B2330" s="12" t="s">
        <v>4045</v>
      </c>
      <c r="C2330" s="12">
        <v>165232</v>
      </c>
      <c r="D2330" s="12">
        <v>169309</v>
      </c>
      <c r="E2330" s="12" t="s">
        <v>3943</v>
      </c>
      <c r="F2330" s="12">
        <v>3</v>
      </c>
      <c r="H2330" s="12" t="s">
        <v>5827</v>
      </c>
      <c r="I2330" s="41" t="s">
        <v>6807</v>
      </c>
      <c r="M2330" s="41" t="e">
        <f>VLOOKUP(I2330,错误mRNA总表!D:I,6,FALSE)</f>
        <v>#N/A</v>
      </c>
    </row>
    <row r="2331" spans="1:13" x14ac:dyDescent="0.2">
      <c r="A2331" s="12" t="s">
        <v>5145</v>
      </c>
      <c r="B2331" s="12" t="s">
        <v>4149</v>
      </c>
      <c r="C2331" s="12">
        <v>1845520</v>
      </c>
      <c r="D2331" s="12">
        <v>1845703</v>
      </c>
      <c r="E2331" s="12" t="s">
        <v>3940</v>
      </c>
      <c r="F2331" s="12">
        <v>1</v>
      </c>
      <c r="H2331" s="12" t="s">
        <v>3692</v>
      </c>
      <c r="I2331" s="41" t="s">
        <v>7698</v>
      </c>
      <c r="M2331" s="41" t="e">
        <f>VLOOKUP(I2331,错误mRNA总表!D:I,6,FALSE)</f>
        <v>#N/A</v>
      </c>
    </row>
    <row r="2332" spans="1:13" x14ac:dyDescent="0.2">
      <c r="A2332" s="12" t="s">
        <v>5146</v>
      </c>
      <c r="B2332" s="12" t="s">
        <v>3957</v>
      </c>
      <c r="C2332" s="12">
        <v>111652919</v>
      </c>
      <c r="D2332" s="12">
        <v>111742145</v>
      </c>
      <c r="E2332" s="12" t="s">
        <v>3943</v>
      </c>
      <c r="F2332" s="12">
        <v>1</v>
      </c>
      <c r="G2332" s="41" t="s">
        <v>36</v>
      </c>
      <c r="H2332" s="12" t="s">
        <v>37</v>
      </c>
      <c r="I2332" s="41" t="s">
        <v>2075</v>
      </c>
      <c r="J2332" s="41" t="s">
        <v>2075</v>
      </c>
      <c r="K2332" s="41" t="str">
        <f>VLOOKUP(J2332,错误mRNA总表!D:J,7,FALSE)</f>
        <v>纠后正确</v>
      </c>
      <c r="L2332" s="41" t="s">
        <v>3763</v>
      </c>
      <c r="M2332" s="41">
        <f>VLOOKUP(I2332,错误mRNA总表!D:I,6,FALSE)</f>
        <v>0</v>
      </c>
    </row>
    <row r="2333" spans="1:13" x14ac:dyDescent="0.2">
      <c r="A2333" s="12" t="s">
        <v>4019</v>
      </c>
      <c r="B2333" s="12" t="s">
        <v>3994</v>
      </c>
      <c r="C2333" s="12">
        <v>2480458</v>
      </c>
      <c r="D2333" s="12">
        <v>2482796</v>
      </c>
      <c r="E2333" s="12" t="s">
        <v>3940</v>
      </c>
      <c r="F2333" s="12">
        <v>1</v>
      </c>
      <c r="H2333" s="12" t="s">
        <v>670</v>
      </c>
      <c r="I2333" s="41" t="s">
        <v>6842</v>
      </c>
      <c r="J2333" s="41" t="s">
        <v>2607</v>
      </c>
      <c r="K2333" s="41" t="str">
        <f>VLOOKUP(J2333,错误mRNA总表!D:J,7,FALSE)</f>
        <v/>
      </c>
      <c r="M2333" s="41" t="e">
        <f>VLOOKUP(I2333,错误mRNA总表!D:I,6,FALSE)</f>
        <v>#N/A</v>
      </c>
    </row>
    <row r="2334" spans="1:13" x14ac:dyDescent="0.2">
      <c r="A2334" s="12" t="s">
        <v>4019</v>
      </c>
      <c r="B2334" s="12" t="s">
        <v>3994</v>
      </c>
      <c r="C2334" s="12">
        <v>2480458</v>
      </c>
      <c r="D2334" s="12">
        <v>2483077</v>
      </c>
      <c r="E2334" s="12" t="s">
        <v>3943</v>
      </c>
      <c r="F2334" s="12">
        <v>3</v>
      </c>
      <c r="H2334" s="12" t="s">
        <v>670</v>
      </c>
      <c r="I2334" s="41" t="s">
        <v>6842</v>
      </c>
      <c r="J2334" s="41" t="s">
        <v>2607</v>
      </c>
      <c r="K2334" s="41" t="str">
        <f>VLOOKUP(J2334,错误mRNA总表!D:J,7,FALSE)</f>
        <v/>
      </c>
      <c r="M2334" s="41" t="e">
        <f>VLOOKUP(I2334,错误mRNA总表!D:I,6,FALSE)</f>
        <v>#N/A</v>
      </c>
    </row>
    <row r="2335" spans="1:13" x14ac:dyDescent="0.2">
      <c r="A2335" s="12" t="s">
        <v>5147</v>
      </c>
      <c r="B2335" s="12" t="s">
        <v>3986</v>
      </c>
      <c r="C2335" s="12">
        <v>53935227</v>
      </c>
      <c r="D2335" s="12">
        <v>53952888</v>
      </c>
      <c r="E2335" s="12" t="s">
        <v>3943</v>
      </c>
      <c r="F2335" s="12">
        <v>1</v>
      </c>
      <c r="G2335" s="41" t="s">
        <v>50</v>
      </c>
      <c r="H2335" s="12" t="s">
        <v>183</v>
      </c>
      <c r="I2335" s="41" t="s">
        <v>2156</v>
      </c>
      <c r="J2335" s="41" t="s">
        <v>2156</v>
      </c>
      <c r="K2335" s="41" t="str">
        <f>VLOOKUP(J2335,错误mRNA总表!D:J,7,FALSE)</f>
        <v>纠后正确</v>
      </c>
      <c r="L2335" s="41" t="s">
        <v>3763</v>
      </c>
      <c r="M2335" s="41">
        <f>VLOOKUP(I2335,错误mRNA总表!D:I,6,FALSE)</f>
        <v>0</v>
      </c>
    </row>
    <row r="2336" spans="1:13" x14ac:dyDescent="0.2">
      <c r="A2336" s="12" t="s">
        <v>5148</v>
      </c>
      <c r="B2336" s="12" t="s">
        <v>3986</v>
      </c>
      <c r="C2336" s="12">
        <v>45010211</v>
      </c>
      <c r="D2336" s="12">
        <v>45016990</v>
      </c>
      <c r="E2336" s="12" t="s">
        <v>3943</v>
      </c>
      <c r="F2336" s="12">
        <v>1</v>
      </c>
      <c r="G2336" s="41" t="s">
        <v>50</v>
      </c>
      <c r="H2336" s="12" t="s">
        <v>60</v>
      </c>
      <c r="I2336" s="41" t="s">
        <v>2087</v>
      </c>
      <c r="J2336" s="41" t="s">
        <v>2087</v>
      </c>
      <c r="K2336" s="41" t="str">
        <f>VLOOKUP(J2336,错误mRNA总表!D:J,7,FALSE)</f>
        <v>纠后正确</v>
      </c>
      <c r="L2336" s="41" t="s">
        <v>3763</v>
      </c>
      <c r="M2336" s="41">
        <f>VLOOKUP(I2336,错误mRNA总表!D:I,6,FALSE)</f>
        <v>0</v>
      </c>
    </row>
    <row r="2337" spans="1:13" x14ac:dyDescent="0.2">
      <c r="A2337" s="12" t="s">
        <v>5149</v>
      </c>
      <c r="B2337" s="12" t="s">
        <v>3978</v>
      </c>
      <c r="C2337" s="12">
        <v>195241218</v>
      </c>
      <c r="D2337" s="12">
        <v>195241806</v>
      </c>
      <c r="E2337" s="12" t="s">
        <v>3943</v>
      </c>
      <c r="F2337" s="12">
        <v>1</v>
      </c>
      <c r="G2337" s="41" t="s">
        <v>86</v>
      </c>
      <c r="H2337" s="12" t="s">
        <v>6150</v>
      </c>
      <c r="I2337" s="41" t="s">
        <v>7699</v>
      </c>
      <c r="M2337" s="41" t="e">
        <f>VLOOKUP(I2337,错误mRNA总表!D:I,6,FALSE)</f>
        <v>#N/A</v>
      </c>
    </row>
    <row r="2338" spans="1:13" x14ac:dyDescent="0.2">
      <c r="A2338" s="12" t="s">
        <v>5149</v>
      </c>
      <c r="B2338" s="12" t="s">
        <v>3978</v>
      </c>
      <c r="C2338" s="12">
        <v>195241218</v>
      </c>
      <c r="D2338" s="12">
        <v>195243006</v>
      </c>
      <c r="E2338" s="12" t="s">
        <v>3943</v>
      </c>
      <c r="F2338" s="12">
        <v>1</v>
      </c>
      <c r="G2338" s="41" t="s">
        <v>86</v>
      </c>
      <c r="H2338" s="12" t="s">
        <v>6150</v>
      </c>
      <c r="I2338" s="41" t="s">
        <v>7699</v>
      </c>
      <c r="M2338" s="41" t="e">
        <f>VLOOKUP(I2338,错误mRNA总表!D:I,6,FALSE)</f>
        <v>#N/A</v>
      </c>
    </row>
    <row r="2339" spans="1:13" x14ac:dyDescent="0.2">
      <c r="A2339" s="12" t="s">
        <v>5150</v>
      </c>
      <c r="B2339" s="12" t="s">
        <v>3986</v>
      </c>
      <c r="C2339" s="12">
        <v>53949480</v>
      </c>
      <c r="D2339" s="12">
        <v>53952888</v>
      </c>
      <c r="E2339" s="12" t="s">
        <v>3943</v>
      </c>
      <c r="F2339" s="12">
        <v>1</v>
      </c>
      <c r="G2339" s="41" t="s">
        <v>50</v>
      </c>
      <c r="H2339" s="12" t="s">
        <v>6151</v>
      </c>
      <c r="I2339" s="41" t="s">
        <v>7700</v>
      </c>
      <c r="M2339" s="41" t="e">
        <f>VLOOKUP(I2339,错误mRNA总表!D:I,6,FALSE)</f>
        <v>#N/A</v>
      </c>
    </row>
    <row r="2340" spans="1:13" x14ac:dyDescent="0.2">
      <c r="A2340" s="12" t="s">
        <v>5151</v>
      </c>
      <c r="B2340" s="12" t="s">
        <v>3986</v>
      </c>
      <c r="C2340" s="12">
        <v>50922195</v>
      </c>
      <c r="D2340" s="12">
        <v>50931797</v>
      </c>
      <c r="E2340" s="12" t="s">
        <v>3940</v>
      </c>
      <c r="F2340" s="12">
        <v>1</v>
      </c>
      <c r="G2340" s="41" t="s">
        <v>50</v>
      </c>
      <c r="H2340" s="12" t="s">
        <v>6152</v>
      </c>
      <c r="I2340" s="41" t="s">
        <v>7701</v>
      </c>
      <c r="M2340" s="41" t="e">
        <f>VLOOKUP(I2340,错误mRNA总表!D:I,6,FALSE)</f>
        <v>#N/A</v>
      </c>
    </row>
    <row r="2341" spans="1:13" x14ac:dyDescent="0.2">
      <c r="A2341" s="12" t="s">
        <v>5152</v>
      </c>
      <c r="B2341" s="12" t="s">
        <v>4098</v>
      </c>
      <c r="C2341" s="12">
        <v>340900</v>
      </c>
      <c r="D2341" s="12">
        <v>340916</v>
      </c>
      <c r="E2341" s="12" t="s">
        <v>3940</v>
      </c>
      <c r="F2341" s="12">
        <v>480</v>
      </c>
      <c r="H2341" s="12" t="s">
        <v>3472</v>
      </c>
      <c r="I2341" s="41" t="s">
        <v>7702</v>
      </c>
      <c r="M2341" s="41" t="e">
        <f>VLOOKUP(I2341,错误mRNA总表!D:I,6,FALSE)</f>
        <v>#N/A</v>
      </c>
    </row>
    <row r="2342" spans="1:13" x14ac:dyDescent="0.2">
      <c r="A2342" s="12" t="s">
        <v>5152</v>
      </c>
      <c r="B2342" s="12" t="s">
        <v>4098</v>
      </c>
      <c r="C2342" s="12">
        <v>340900</v>
      </c>
      <c r="D2342" s="12">
        <v>344479</v>
      </c>
      <c r="E2342" s="12" t="s">
        <v>3940</v>
      </c>
      <c r="F2342" s="12">
        <v>301</v>
      </c>
      <c r="H2342" s="12" t="s">
        <v>3472</v>
      </c>
      <c r="I2342" s="41" t="s">
        <v>7702</v>
      </c>
      <c r="M2342" s="41" t="e">
        <f>VLOOKUP(I2342,错误mRNA总表!D:I,6,FALSE)</f>
        <v>#N/A</v>
      </c>
    </row>
    <row r="2343" spans="1:13" x14ac:dyDescent="0.2">
      <c r="A2343" s="12" t="s">
        <v>5152</v>
      </c>
      <c r="B2343" s="12" t="s">
        <v>4098</v>
      </c>
      <c r="C2343" s="12">
        <v>340900</v>
      </c>
      <c r="D2343" s="12">
        <v>349896</v>
      </c>
      <c r="E2343" s="12" t="s">
        <v>3940</v>
      </c>
      <c r="F2343" s="12">
        <v>94</v>
      </c>
      <c r="H2343" s="12" t="s">
        <v>3472</v>
      </c>
      <c r="I2343" s="41" t="s">
        <v>7702</v>
      </c>
      <c r="M2343" s="41" t="e">
        <f>VLOOKUP(I2343,错误mRNA总表!D:I,6,FALSE)</f>
        <v>#N/A</v>
      </c>
    </row>
    <row r="2344" spans="1:13" x14ac:dyDescent="0.2">
      <c r="A2344" s="12" t="s">
        <v>5152</v>
      </c>
      <c r="B2344" s="12" t="s">
        <v>4098</v>
      </c>
      <c r="C2344" s="12">
        <v>340900</v>
      </c>
      <c r="D2344" s="12">
        <v>349877</v>
      </c>
      <c r="E2344" s="12" t="s">
        <v>3943</v>
      </c>
      <c r="F2344" s="12">
        <v>1</v>
      </c>
      <c r="H2344" s="12" t="s">
        <v>3472</v>
      </c>
      <c r="I2344" s="41" t="s">
        <v>7702</v>
      </c>
      <c r="M2344" s="41" t="e">
        <f>VLOOKUP(I2344,错误mRNA总表!D:I,6,FALSE)</f>
        <v>#N/A</v>
      </c>
    </row>
    <row r="2345" spans="1:13" x14ac:dyDescent="0.2">
      <c r="A2345" s="12" t="s">
        <v>5152</v>
      </c>
      <c r="B2345" s="12" t="s">
        <v>4098</v>
      </c>
      <c r="C2345" s="12">
        <v>340900</v>
      </c>
      <c r="D2345" s="12">
        <v>354239</v>
      </c>
      <c r="E2345" s="12" t="s">
        <v>3940</v>
      </c>
      <c r="F2345" s="12">
        <v>20</v>
      </c>
      <c r="H2345" s="12" t="s">
        <v>3472</v>
      </c>
      <c r="I2345" s="41" t="s">
        <v>7702</v>
      </c>
      <c r="M2345" s="41" t="e">
        <f>VLOOKUP(I2345,错误mRNA总表!D:I,6,FALSE)</f>
        <v>#N/A</v>
      </c>
    </row>
    <row r="2346" spans="1:13" x14ac:dyDescent="0.2">
      <c r="A2346" s="12" t="s">
        <v>5152</v>
      </c>
      <c r="B2346" s="12" t="s">
        <v>4098</v>
      </c>
      <c r="C2346" s="12">
        <v>340900</v>
      </c>
      <c r="D2346" s="12">
        <v>355369</v>
      </c>
      <c r="E2346" s="12" t="s">
        <v>3940</v>
      </c>
      <c r="F2346" s="12">
        <v>284</v>
      </c>
      <c r="H2346" s="12" t="s">
        <v>3472</v>
      </c>
      <c r="I2346" s="41" t="s">
        <v>7702</v>
      </c>
      <c r="M2346" s="41" t="e">
        <f>VLOOKUP(I2346,错误mRNA总表!D:I,6,FALSE)</f>
        <v>#N/A</v>
      </c>
    </row>
    <row r="2347" spans="1:13" x14ac:dyDescent="0.2">
      <c r="A2347" s="12" t="s">
        <v>5152</v>
      </c>
      <c r="B2347" s="12" t="s">
        <v>4098</v>
      </c>
      <c r="C2347" s="12">
        <v>340900</v>
      </c>
      <c r="D2347" s="12">
        <v>355359</v>
      </c>
      <c r="E2347" s="12" t="s">
        <v>3940</v>
      </c>
      <c r="F2347" s="12">
        <v>1</v>
      </c>
      <c r="H2347" s="12" t="s">
        <v>3472</v>
      </c>
      <c r="I2347" s="41" t="s">
        <v>7702</v>
      </c>
      <c r="M2347" s="41" t="e">
        <f>VLOOKUP(I2347,错误mRNA总表!D:I,6,FALSE)</f>
        <v>#N/A</v>
      </c>
    </row>
    <row r="2348" spans="1:13" x14ac:dyDescent="0.2">
      <c r="A2348" s="12" t="s">
        <v>5153</v>
      </c>
      <c r="B2348" s="12" t="s">
        <v>4052</v>
      </c>
      <c r="C2348" s="12">
        <v>11784356</v>
      </c>
      <c r="D2348" s="12">
        <v>11805838</v>
      </c>
      <c r="E2348" s="12" t="s">
        <v>3940</v>
      </c>
      <c r="F2348" s="12">
        <v>1</v>
      </c>
      <c r="G2348" s="41" t="s">
        <v>93</v>
      </c>
      <c r="H2348" s="12" t="s">
        <v>846</v>
      </c>
      <c r="I2348" s="41" t="s">
        <v>3242</v>
      </c>
      <c r="J2348" s="41" t="s">
        <v>3242</v>
      </c>
      <c r="K2348" s="41" t="str">
        <f>VLOOKUP(J2348,错误mRNA总表!D:J,7,FALSE)</f>
        <v/>
      </c>
      <c r="L2348" s="41" t="s">
        <v>3762</v>
      </c>
      <c r="M2348" s="41">
        <f>VLOOKUP(I2348,错误mRNA总表!D:I,6,FALSE)</f>
        <v>0</v>
      </c>
    </row>
    <row r="2349" spans="1:13" x14ac:dyDescent="0.2">
      <c r="A2349" s="12" t="s">
        <v>4002</v>
      </c>
      <c r="B2349" s="12" t="s">
        <v>3996</v>
      </c>
      <c r="C2349" s="12">
        <v>1234756</v>
      </c>
      <c r="D2349" s="12">
        <v>1234923</v>
      </c>
      <c r="E2349" s="12" t="s">
        <v>3943</v>
      </c>
      <c r="F2349" s="12">
        <v>1</v>
      </c>
      <c r="H2349" s="12" t="s">
        <v>5781</v>
      </c>
      <c r="I2349" s="41" t="s">
        <v>7703</v>
      </c>
      <c r="M2349" s="41" t="e">
        <f>VLOOKUP(I2349,错误mRNA总表!D:I,6,FALSE)</f>
        <v>#N/A</v>
      </c>
    </row>
    <row r="2350" spans="1:13" x14ac:dyDescent="0.2">
      <c r="A2350" s="12" t="s">
        <v>5154</v>
      </c>
      <c r="B2350" s="12" t="s">
        <v>3973</v>
      </c>
      <c r="C2350" s="12">
        <v>150190717</v>
      </c>
      <c r="D2350" s="12">
        <v>150192506</v>
      </c>
      <c r="E2350" s="12" t="s">
        <v>3943</v>
      </c>
      <c r="F2350" s="12">
        <v>3</v>
      </c>
      <c r="G2350" s="41" t="s">
        <v>139</v>
      </c>
      <c r="H2350" s="12" t="s">
        <v>3501</v>
      </c>
      <c r="I2350" s="41" t="s">
        <v>7704</v>
      </c>
      <c r="M2350" s="41" t="e">
        <f>VLOOKUP(I2350,错误mRNA总表!D:I,6,FALSE)</f>
        <v>#N/A</v>
      </c>
    </row>
    <row r="2351" spans="1:13" x14ac:dyDescent="0.2">
      <c r="A2351" s="12" t="s">
        <v>3951</v>
      </c>
      <c r="B2351" s="12" t="s">
        <v>3986</v>
      </c>
      <c r="C2351" s="12">
        <v>54663833</v>
      </c>
      <c r="D2351" s="12">
        <v>54663896</v>
      </c>
      <c r="E2351" s="12" t="s">
        <v>3940</v>
      </c>
      <c r="F2351" s="12">
        <v>1</v>
      </c>
      <c r="G2351" s="41" t="s">
        <v>50</v>
      </c>
      <c r="H2351" s="12" t="s">
        <v>3649</v>
      </c>
      <c r="I2351" s="41" t="s">
        <v>7159</v>
      </c>
      <c r="M2351" s="41" t="e">
        <f>VLOOKUP(I2351,错误mRNA总表!D:I,6,FALSE)</f>
        <v>#N/A</v>
      </c>
    </row>
    <row r="2352" spans="1:13" x14ac:dyDescent="0.2">
      <c r="A2352" s="12" t="s">
        <v>5155</v>
      </c>
      <c r="B2352" s="12" t="s">
        <v>4004</v>
      </c>
      <c r="C2352" s="12">
        <v>143738874</v>
      </c>
      <c r="D2352" s="12">
        <v>143746087</v>
      </c>
      <c r="E2352" s="12" t="s">
        <v>3943</v>
      </c>
      <c r="F2352" s="12">
        <v>2</v>
      </c>
      <c r="G2352" s="41" t="s">
        <v>103</v>
      </c>
      <c r="H2352" s="12" t="s">
        <v>3448</v>
      </c>
      <c r="I2352" s="41" t="s">
        <v>7705</v>
      </c>
      <c r="M2352" s="41" t="e">
        <f>VLOOKUP(I2352,错误mRNA总表!D:I,6,FALSE)</f>
        <v>#N/A</v>
      </c>
    </row>
    <row r="2353" spans="1:13" x14ac:dyDescent="0.2">
      <c r="A2353" s="12" t="s">
        <v>5156</v>
      </c>
      <c r="B2353" s="12" t="s">
        <v>3994</v>
      </c>
      <c r="C2353" s="12">
        <v>2713997</v>
      </c>
      <c r="D2353" s="12">
        <v>2726589</v>
      </c>
      <c r="E2353" s="12" t="s">
        <v>3943</v>
      </c>
      <c r="F2353" s="12">
        <v>2</v>
      </c>
      <c r="H2353" s="12" t="s">
        <v>6153</v>
      </c>
      <c r="I2353" s="41" t="s">
        <v>7706</v>
      </c>
      <c r="M2353" s="41" t="e">
        <f>VLOOKUP(I2353,错误mRNA总表!D:I,6,FALSE)</f>
        <v>#N/A</v>
      </c>
    </row>
    <row r="2354" spans="1:13" x14ac:dyDescent="0.2">
      <c r="A2354" s="12" t="s">
        <v>4021</v>
      </c>
      <c r="B2354" s="12" t="s">
        <v>3964</v>
      </c>
      <c r="C2354" s="12">
        <v>3385938</v>
      </c>
      <c r="D2354" s="12">
        <v>3386072</v>
      </c>
      <c r="E2354" s="12" t="s">
        <v>3940</v>
      </c>
      <c r="F2354" s="12">
        <v>3</v>
      </c>
      <c r="H2354" s="12" t="s">
        <v>3575</v>
      </c>
      <c r="I2354" s="41" t="s">
        <v>7707</v>
      </c>
      <c r="M2354" s="41" t="e">
        <f>VLOOKUP(I2354,错误mRNA总表!D:I,6,FALSE)</f>
        <v>#N/A</v>
      </c>
    </row>
    <row r="2355" spans="1:13" x14ac:dyDescent="0.2">
      <c r="A2355" s="12" t="s">
        <v>4202</v>
      </c>
      <c r="B2355" s="12" t="s">
        <v>4942</v>
      </c>
      <c r="C2355" s="12">
        <v>165232</v>
      </c>
      <c r="D2355" s="12">
        <v>169309</v>
      </c>
      <c r="E2355" s="12" t="s">
        <v>3943</v>
      </c>
      <c r="F2355" s="12">
        <v>3</v>
      </c>
      <c r="H2355" s="12" t="s">
        <v>5827</v>
      </c>
      <c r="I2355" s="41" t="s">
        <v>6807</v>
      </c>
      <c r="M2355" s="41" t="e">
        <f>VLOOKUP(I2355,错误mRNA总表!D:I,6,FALSE)</f>
        <v>#N/A</v>
      </c>
    </row>
    <row r="2356" spans="1:13" x14ac:dyDescent="0.2">
      <c r="A2356" s="12" t="s">
        <v>5157</v>
      </c>
      <c r="B2356" s="12" t="s">
        <v>4124</v>
      </c>
      <c r="C2356" s="12">
        <v>98081676</v>
      </c>
      <c r="D2356" s="12">
        <v>98090341</v>
      </c>
      <c r="E2356" s="12" t="s">
        <v>3943</v>
      </c>
      <c r="F2356" s="12">
        <v>4</v>
      </c>
      <c r="G2356" s="41" t="s">
        <v>1</v>
      </c>
      <c r="H2356" s="12" t="s">
        <v>6442</v>
      </c>
      <c r="I2356" s="41" t="s">
        <v>7708</v>
      </c>
      <c r="M2356" s="41" t="e">
        <f>VLOOKUP(I2356,错误mRNA总表!D:I,6,FALSE)</f>
        <v>#N/A</v>
      </c>
    </row>
    <row r="2357" spans="1:13" x14ac:dyDescent="0.2">
      <c r="A2357" s="12" t="s">
        <v>5157</v>
      </c>
      <c r="B2357" s="12" t="s">
        <v>4124</v>
      </c>
      <c r="C2357" s="12">
        <v>98081676</v>
      </c>
      <c r="D2357" s="12">
        <v>98090347</v>
      </c>
      <c r="E2357" s="12" t="s">
        <v>3940</v>
      </c>
      <c r="F2357" s="12">
        <v>8</v>
      </c>
      <c r="G2357" s="41" t="s">
        <v>1</v>
      </c>
      <c r="H2357" s="12" t="s">
        <v>6442</v>
      </c>
      <c r="I2357" s="41" t="s">
        <v>7708</v>
      </c>
      <c r="M2357" s="41" t="e">
        <f>VLOOKUP(I2357,错误mRNA总表!D:I,6,FALSE)</f>
        <v>#N/A</v>
      </c>
    </row>
    <row r="2358" spans="1:13" x14ac:dyDescent="0.2">
      <c r="A2358" s="12" t="s">
        <v>5157</v>
      </c>
      <c r="B2358" s="12" t="s">
        <v>4124</v>
      </c>
      <c r="C2358" s="12">
        <v>98081676</v>
      </c>
      <c r="D2358" s="12">
        <v>98090357</v>
      </c>
      <c r="E2358" s="12" t="s">
        <v>3940</v>
      </c>
      <c r="F2358" s="12">
        <v>5</v>
      </c>
      <c r="G2358" s="41" t="s">
        <v>1</v>
      </c>
      <c r="H2358" s="12" t="s">
        <v>6442</v>
      </c>
      <c r="I2358" s="41" t="s">
        <v>7708</v>
      </c>
      <c r="M2358" s="41" t="e">
        <f>VLOOKUP(I2358,错误mRNA总表!D:I,6,FALSE)</f>
        <v>#N/A</v>
      </c>
    </row>
    <row r="2359" spans="1:13" x14ac:dyDescent="0.2">
      <c r="A2359" s="12" t="s">
        <v>5157</v>
      </c>
      <c r="B2359" s="12" t="s">
        <v>4124</v>
      </c>
      <c r="C2359" s="12">
        <v>98081676</v>
      </c>
      <c r="D2359" s="12">
        <v>98090390</v>
      </c>
      <c r="E2359" s="12" t="s">
        <v>3943</v>
      </c>
      <c r="F2359" s="12">
        <v>5</v>
      </c>
      <c r="G2359" s="41" t="s">
        <v>1</v>
      </c>
      <c r="H2359" s="12" t="s">
        <v>6442</v>
      </c>
      <c r="I2359" s="41" t="s">
        <v>7708</v>
      </c>
      <c r="M2359" s="41" t="e">
        <f>VLOOKUP(I2359,错误mRNA总表!D:I,6,FALSE)</f>
        <v>#N/A</v>
      </c>
    </row>
    <row r="2360" spans="1:13" x14ac:dyDescent="0.2">
      <c r="A2360" s="12" t="s">
        <v>5157</v>
      </c>
      <c r="B2360" s="12" t="s">
        <v>4124</v>
      </c>
      <c r="C2360" s="12">
        <v>98081676</v>
      </c>
      <c r="D2360" s="12">
        <v>98090405</v>
      </c>
      <c r="E2360" s="12" t="s">
        <v>3943</v>
      </c>
      <c r="F2360" s="12">
        <v>8</v>
      </c>
      <c r="G2360" s="41" t="s">
        <v>1</v>
      </c>
      <c r="H2360" s="12" t="s">
        <v>6442</v>
      </c>
      <c r="I2360" s="41" t="s">
        <v>7708</v>
      </c>
      <c r="M2360" s="41" t="e">
        <f>VLOOKUP(I2360,错误mRNA总表!D:I,6,FALSE)</f>
        <v>#N/A</v>
      </c>
    </row>
    <row r="2361" spans="1:13" x14ac:dyDescent="0.2">
      <c r="A2361" s="12" t="s">
        <v>5157</v>
      </c>
      <c r="B2361" s="12" t="s">
        <v>4124</v>
      </c>
      <c r="C2361" s="12">
        <v>98081676</v>
      </c>
      <c r="D2361" s="12">
        <v>98090415</v>
      </c>
      <c r="E2361" s="12" t="s">
        <v>3940</v>
      </c>
      <c r="F2361" s="12">
        <v>4</v>
      </c>
      <c r="G2361" s="41" t="s">
        <v>1</v>
      </c>
      <c r="H2361" s="12" t="s">
        <v>6442</v>
      </c>
      <c r="I2361" s="41" t="s">
        <v>7708</v>
      </c>
      <c r="M2361" s="41" t="e">
        <f>VLOOKUP(I2361,错误mRNA总表!D:I,6,FALSE)</f>
        <v>#N/A</v>
      </c>
    </row>
    <row r="2362" spans="1:13" x14ac:dyDescent="0.2">
      <c r="A2362" s="12" t="s">
        <v>4462</v>
      </c>
      <c r="B2362" s="12" t="s">
        <v>3952</v>
      </c>
      <c r="C2362" s="12">
        <v>248805</v>
      </c>
      <c r="D2362" s="12">
        <v>248840</v>
      </c>
      <c r="E2362" s="12" t="s">
        <v>3940</v>
      </c>
      <c r="F2362" s="12">
        <v>2</v>
      </c>
      <c r="H2362" s="12" t="s">
        <v>5908</v>
      </c>
      <c r="I2362" s="41" t="s">
        <v>6943</v>
      </c>
      <c r="M2362" s="41" t="e">
        <f>VLOOKUP(I2362,错误mRNA总表!D:I,6,FALSE)</f>
        <v>#N/A</v>
      </c>
    </row>
    <row r="2363" spans="1:13" x14ac:dyDescent="0.2">
      <c r="A2363" s="12" t="s">
        <v>5158</v>
      </c>
      <c r="B2363" s="12" t="s">
        <v>4124</v>
      </c>
      <c r="C2363" s="12">
        <v>232070913</v>
      </c>
      <c r="D2363" s="12">
        <v>232225538</v>
      </c>
      <c r="E2363" s="12" t="s">
        <v>3940</v>
      </c>
      <c r="F2363" s="12">
        <v>1</v>
      </c>
      <c r="G2363" s="41" t="s">
        <v>1</v>
      </c>
      <c r="H2363" s="12" t="s">
        <v>200</v>
      </c>
      <c r="I2363" s="41" t="s">
        <v>7709</v>
      </c>
      <c r="J2363" s="41" t="s">
        <v>2158</v>
      </c>
      <c r="K2363" s="41" t="str">
        <f>VLOOKUP(J2363,错误mRNA总表!D:J,7,FALSE)</f>
        <v>纠后正确</v>
      </c>
      <c r="M2363" s="41" t="e">
        <f>VLOOKUP(I2363,错误mRNA总表!D:I,6,FALSE)</f>
        <v>#N/A</v>
      </c>
    </row>
    <row r="2364" spans="1:13" x14ac:dyDescent="0.2">
      <c r="A2364" s="12" t="s">
        <v>5159</v>
      </c>
      <c r="B2364" s="12" t="s">
        <v>3978</v>
      </c>
      <c r="C2364" s="12">
        <v>121796696</v>
      </c>
      <c r="D2364" s="12">
        <v>121838797</v>
      </c>
      <c r="E2364" s="12" t="s">
        <v>3943</v>
      </c>
      <c r="F2364" s="12">
        <v>2</v>
      </c>
      <c r="G2364" s="41" t="s">
        <v>86</v>
      </c>
      <c r="H2364" s="12" t="s">
        <v>544</v>
      </c>
      <c r="I2364" s="41" t="s">
        <v>2495</v>
      </c>
      <c r="J2364" s="41" t="s">
        <v>2495</v>
      </c>
      <c r="K2364" s="41" t="str">
        <f>VLOOKUP(J2364,错误mRNA总表!D:J,7,FALSE)</f>
        <v/>
      </c>
      <c r="L2364" s="41" t="s">
        <v>3762</v>
      </c>
      <c r="M2364" s="41">
        <f>VLOOKUP(I2364,错误mRNA总表!D:I,6,FALSE)</f>
        <v>0</v>
      </c>
    </row>
    <row r="2365" spans="1:13" x14ac:dyDescent="0.2">
      <c r="A2365" s="12" t="s">
        <v>5160</v>
      </c>
      <c r="B2365" s="12" t="s">
        <v>4841</v>
      </c>
      <c r="C2365" s="12">
        <v>5099</v>
      </c>
      <c r="D2365" s="12">
        <v>5405</v>
      </c>
      <c r="E2365" s="12" t="s">
        <v>3940</v>
      </c>
      <c r="F2365" s="12">
        <v>2628</v>
      </c>
      <c r="H2365" s="12" t="s">
        <v>3666</v>
      </c>
      <c r="I2365" s="41" t="s">
        <v>7710</v>
      </c>
      <c r="M2365" s="41" t="e">
        <f>VLOOKUP(I2365,错误mRNA总表!D:I,6,FALSE)</f>
        <v>#N/A</v>
      </c>
    </row>
    <row r="2366" spans="1:13" x14ac:dyDescent="0.2">
      <c r="A2366" s="12" t="s">
        <v>5160</v>
      </c>
      <c r="B2366" s="12" t="s">
        <v>4841</v>
      </c>
      <c r="C2366" s="12">
        <v>5099</v>
      </c>
      <c r="D2366" s="12">
        <v>5104</v>
      </c>
      <c r="E2366" s="12" t="s">
        <v>3943</v>
      </c>
      <c r="F2366" s="12">
        <v>5</v>
      </c>
      <c r="H2366" s="12" t="s">
        <v>3666</v>
      </c>
      <c r="I2366" s="41" t="s">
        <v>7710</v>
      </c>
      <c r="M2366" s="41" t="e">
        <f>VLOOKUP(I2366,错误mRNA总表!D:I,6,FALSE)</f>
        <v>#N/A</v>
      </c>
    </row>
    <row r="2367" spans="1:13" x14ac:dyDescent="0.2">
      <c r="A2367" s="12" t="s">
        <v>5160</v>
      </c>
      <c r="B2367" s="12" t="s">
        <v>4841</v>
      </c>
      <c r="C2367" s="12">
        <v>5099</v>
      </c>
      <c r="D2367" s="12">
        <v>5167</v>
      </c>
      <c r="E2367" s="12" t="s">
        <v>3940</v>
      </c>
      <c r="F2367" s="12">
        <v>6</v>
      </c>
      <c r="H2367" s="12" t="s">
        <v>3666</v>
      </c>
      <c r="I2367" s="41" t="s">
        <v>7710</v>
      </c>
      <c r="M2367" s="41" t="e">
        <f>VLOOKUP(I2367,错误mRNA总表!D:I,6,FALSE)</f>
        <v>#N/A</v>
      </c>
    </row>
    <row r="2368" spans="1:13" x14ac:dyDescent="0.2">
      <c r="A2368" s="12" t="s">
        <v>5160</v>
      </c>
      <c r="B2368" s="12" t="s">
        <v>4841</v>
      </c>
      <c r="C2368" s="12">
        <v>5099</v>
      </c>
      <c r="D2368" s="12">
        <v>5229</v>
      </c>
      <c r="E2368" s="12" t="s">
        <v>3940</v>
      </c>
      <c r="F2368" s="12">
        <v>1</v>
      </c>
      <c r="H2368" s="12" t="s">
        <v>3666</v>
      </c>
      <c r="I2368" s="41" t="s">
        <v>7710</v>
      </c>
      <c r="M2368" s="41" t="e">
        <f>VLOOKUP(I2368,错误mRNA总表!D:I,6,FALSE)</f>
        <v>#N/A</v>
      </c>
    </row>
    <row r="2369" spans="1:13" x14ac:dyDescent="0.2">
      <c r="A2369" s="12" t="s">
        <v>5160</v>
      </c>
      <c r="B2369" s="12" t="s">
        <v>4841</v>
      </c>
      <c r="C2369" s="12">
        <v>5099</v>
      </c>
      <c r="D2369" s="12">
        <v>5286</v>
      </c>
      <c r="E2369" s="12" t="s">
        <v>3940</v>
      </c>
      <c r="F2369" s="12">
        <v>1</v>
      </c>
      <c r="H2369" s="12" t="s">
        <v>3666</v>
      </c>
      <c r="I2369" s="41" t="s">
        <v>7710</v>
      </c>
      <c r="M2369" s="41" t="e">
        <f>VLOOKUP(I2369,错误mRNA总表!D:I,6,FALSE)</f>
        <v>#N/A</v>
      </c>
    </row>
    <row r="2370" spans="1:13" x14ac:dyDescent="0.2">
      <c r="A2370" s="12" t="s">
        <v>5160</v>
      </c>
      <c r="B2370" s="12" t="s">
        <v>4841</v>
      </c>
      <c r="C2370" s="12">
        <v>5099</v>
      </c>
      <c r="D2370" s="12">
        <v>5381</v>
      </c>
      <c r="E2370" s="12" t="s">
        <v>3943</v>
      </c>
      <c r="F2370" s="12">
        <v>3</v>
      </c>
      <c r="H2370" s="12" t="s">
        <v>3666</v>
      </c>
      <c r="I2370" s="41" t="s">
        <v>7710</v>
      </c>
      <c r="M2370" s="41" t="e">
        <f>VLOOKUP(I2370,错误mRNA总表!D:I,6,FALSE)</f>
        <v>#N/A</v>
      </c>
    </row>
    <row r="2371" spans="1:13" x14ac:dyDescent="0.2">
      <c r="A2371" s="12" t="s">
        <v>5160</v>
      </c>
      <c r="B2371" s="12" t="s">
        <v>4841</v>
      </c>
      <c r="C2371" s="12">
        <v>5099</v>
      </c>
      <c r="D2371" s="12">
        <v>5399</v>
      </c>
      <c r="E2371" s="12" t="s">
        <v>3940</v>
      </c>
      <c r="F2371" s="12">
        <v>4</v>
      </c>
      <c r="H2371" s="12" t="s">
        <v>3666</v>
      </c>
      <c r="I2371" s="41" t="s">
        <v>7710</v>
      </c>
      <c r="M2371" s="41" t="e">
        <f>VLOOKUP(I2371,错误mRNA总表!D:I,6,FALSE)</f>
        <v>#N/A</v>
      </c>
    </row>
    <row r="2372" spans="1:13" x14ac:dyDescent="0.2">
      <c r="A2372" s="12" t="s">
        <v>5161</v>
      </c>
      <c r="B2372" s="12" t="s">
        <v>3973</v>
      </c>
      <c r="C2372" s="12">
        <v>146853914</v>
      </c>
      <c r="D2372" s="12">
        <v>146989357</v>
      </c>
      <c r="E2372" s="12" t="s">
        <v>3943</v>
      </c>
      <c r="F2372" s="12">
        <v>1</v>
      </c>
      <c r="G2372" s="41" t="s">
        <v>139</v>
      </c>
      <c r="H2372" s="12" t="s">
        <v>6443</v>
      </c>
      <c r="I2372" s="41" t="s">
        <v>7711</v>
      </c>
      <c r="M2372" s="41" t="e">
        <f>VLOOKUP(I2372,错误mRNA总表!D:I,6,FALSE)</f>
        <v>#N/A</v>
      </c>
    </row>
    <row r="2373" spans="1:13" x14ac:dyDescent="0.2">
      <c r="A2373" s="12" t="s">
        <v>5162</v>
      </c>
      <c r="B2373" s="12" t="s">
        <v>4004</v>
      </c>
      <c r="C2373" s="12">
        <v>143719949</v>
      </c>
      <c r="D2373" s="12">
        <v>143721866</v>
      </c>
      <c r="E2373" s="12" t="s">
        <v>3943</v>
      </c>
      <c r="F2373" s="12">
        <v>2</v>
      </c>
      <c r="G2373" s="41" t="s">
        <v>103</v>
      </c>
      <c r="H2373" s="12" t="s">
        <v>6154</v>
      </c>
      <c r="I2373" s="41" t="s">
        <v>7712</v>
      </c>
      <c r="M2373" s="41" t="e">
        <f>VLOOKUP(I2373,错误mRNA总表!D:I,6,FALSE)</f>
        <v>#N/A</v>
      </c>
    </row>
    <row r="2374" spans="1:13" x14ac:dyDescent="0.2">
      <c r="A2374" s="12" t="s">
        <v>4458</v>
      </c>
      <c r="B2374" s="12" t="s">
        <v>3989</v>
      </c>
      <c r="C2374" s="12">
        <v>1186740</v>
      </c>
      <c r="D2374" s="12">
        <v>1186936</v>
      </c>
      <c r="E2374" s="12" t="s">
        <v>3940</v>
      </c>
      <c r="F2374" s="12">
        <v>12</v>
      </c>
      <c r="H2374" s="12" t="s">
        <v>6398</v>
      </c>
      <c r="I2374" s="41" t="s">
        <v>7713</v>
      </c>
      <c r="M2374" s="41" t="e">
        <f>VLOOKUP(I2374,错误mRNA总表!D:I,6,FALSE)</f>
        <v>#N/A</v>
      </c>
    </row>
    <row r="2375" spans="1:13" x14ac:dyDescent="0.2">
      <c r="A2375" s="12" t="s">
        <v>4458</v>
      </c>
      <c r="B2375" s="12" t="s">
        <v>3989</v>
      </c>
      <c r="C2375" s="12">
        <v>1186740</v>
      </c>
      <c r="D2375" s="12">
        <v>1188457</v>
      </c>
      <c r="E2375" s="12" t="s">
        <v>3940</v>
      </c>
      <c r="F2375" s="12">
        <v>1</v>
      </c>
      <c r="H2375" s="12" t="s">
        <v>6398</v>
      </c>
      <c r="I2375" s="41" t="s">
        <v>7713</v>
      </c>
      <c r="M2375" s="41" t="e">
        <f>VLOOKUP(I2375,错误mRNA总表!D:I,6,FALSE)</f>
        <v>#N/A</v>
      </c>
    </row>
    <row r="2376" spans="1:13" x14ac:dyDescent="0.2">
      <c r="A2376" s="12" t="s">
        <v>4458</v>
      </c>
      <c r="B2376" s="12" t="s">
        <v>3989</v>
      </c>
      <c r="C2376" s="12">
        <v>1186740</v>
      </c>
      <c r="D2376" s="12">
        <v>1188580</v>
      </c>
      <c r="E2376" s="12" t="s">
        <v>3940</v>
      </c>
      <c r="F2376" s="12">
        <v>1</v>
      </c>
      <c r="H2376" s="12" t="s">
        <v>6398</v>
      </c>
      <c r="I2376" s="41" t="s">
        <v>7713</v>
      </c>
      <c r="M2376" s="41" t="e">
        <f>VLOOKUP(I2376,错误mRNA总表!D:I,6,FALSE)</f>
        <v>#N/A</v>
      </c>
    </row>
    <row r="2377" spans="1:13" x14ac:dyDescent="0.2">
      <c r="A2377" s="12" t="s">
        <v>4458</v>
      </c>
      <c r="B2377" s="12" t="s">
        <v>3989</v>
      </c>
      <c r="C2377" s="12">
        <v>1186740</v>
      </c>
      <c r="D2377" s="12">
        <v>1189856</v>
      </c>
      <c r="E2377" s="12" t="s">
        <v>3940</v>
      </c>
      <c r="F2377" s="12">
        <v>4</v>
      </c>
      <c r="H2377" s="12" t="s">
        <v>6398</v>
      </c>
      <c r="I2377" s="41" t="s">
        <v>7713</v>
      </c>
      <c r="M2377" s="41" t="e">
        <f>VLOOKUP(I2377,错误mRNA总表!D:I,6,FALSE)</f>
        <v>#N/A</v>
      </c>
    </row>
    <row r="2378" spans="1:13" x14ac:dyDescent="0.2">
      <c r="A2378" s="12" t="s">
        <v>5163</v>
      </c>
      <c r="B2378" s="12" t="s">
        <v>3966</v>
      </c>
      <c r="C2378" s="12">
        <v>29702985</v>
      </c>
      <c r="D2378" s="12">
        <v>29707641</v>
      </c>
      <c r="E2378" s="12" t="s">
        <v>3940</v>
      </c>
      <c r="F2378" s="12">
        <v>1</v>
      </c>
      <c r="G2378" s="41" t="s">
        <v>43</v>
      </c>
      <c r="H2378" s="12" t="s">
        <v>235</v>
      </c>
      <c r="I2378" s="41" t="s">
        <v>7714</v>
      </c>
      <c r="J2378" s="41" t="s">
        <v>2169</v>
      </c>
      <c r="K2378" s="41" t="str">
        <f>VLOOKUP(J2378,错误mRNA总表!D:J,7,FALSE)</f>
        <v>纠后正确，utr略有变化，版本不一致</v>
      </c>
      <c r="M2378" s="41" t="e">
        <f>VLOOKUP(I2378,错误mRNA总表!D:I,6,FALSE)</f>
        <v>#N/A</v>
      </c>
    </row>
    <row r="2379" spans="1:13" x14ac:dyDescent="0.2">
      <c r="A2379" s="12" t="s">
        <v>5164</v>
      </c>
      <c r="B2379" s="12" t="s">
        <v>4004</v>
      </c>
      <c r="C2379" s="12">
        <v>104311059</v>
      </c>
      <c r="D2379" s="12">
        <v>104343941</v>
      </c>
      <c r="E2379" s="12" t="s">
        <v>3943</v>
      </c>
      <c r="F2379" s="12">
        <v>1</v>
      </c>
      <c r="G2379" s="41" t="s">
        <v>103</v>
      </c>
      <c r="H2379" s="12" t="s">
        <v>6155</v>
      </c>
      <c r="I2379" s="41" t="s">
        <v>7715</v>
      </c>
      <c r="M2379" s="41" t="e">
        <f>VLOOKUP(I2379,错误mRNA总表!D:I,6,FALSE)</f>
        <v>#N/A</v>
      </c>
    </row>
    <row r="2380" spans="1:13" x14ac:dyDescent="0.2">
      <c r="A2380" s="12" t="s">
        <v>5165</v>
      </c>
      <c r="B2380" s="12" t="s">
        <v>4012</v>
      </c>
      <c r="C2380" s="12">
        <v>3589033</v>
      </c>
      <c r="D2380" s="12">
        <v>3602227</v>
      </c>
      <c r="E2380" s="12" t="s">
        <v>3943</v>
      </c>
      <c r="F2380" s="12">
        <v>1</v>
      </c>
      <c r="G2380" s="41" t="s">
        <v>121</v>
      </c>
      <c r="H2380" s="12" t="s">
        <v>239</v>
      </c>
      <c r="I2380" s="41" t="s">
        <v>2178</v>
      </c>
      <c r="J2380" s="41" t="s">
        <v>2178</v>
      </c>
      <c r="K2380" s="41" t="str">
        <f>VLOOKUP(J2380,错误mRNA总表!D:J,7,FALSE)</f>
        <v>纠后正确</v>
      </c>
      <c r="L2380" s="41" t="s">
        <v>3763</v>
      </c>
      <c r="M2380" s="41">
        <f>VLOOKUP(I2380,错误mRNA总表!D:I,6,FALSE)</f>
        <v>0</v>
      </c>
    </row>
    <row r="2381" spans="1:13" x14ac:dyDescent="0.2">
      <c r="A2381" s="12" t="s">
        <v>4458</v>
      </c>
      <c r="B2381" s="12" t="s">
        <v>3994</v>
      </c>
      <c r="C2381" s="12">
        <v>1149678</v>
      </c>
      <c r="D2381" s="12">
        <v>1149874</v>
      </c>
      <c r="E2381" s="12" t="s">
        <v>3940</v>
      </c>
      <c r="F2381" s="12">
        <v>12</v>
      </c>
      <c r="H2381" s="12" t="s">
        <v>6398</v>
      </c>
      <c r="I2381" s="41" t="s">
        <v>7716</v>
      </c>
      <c r="M2381" s="41" t="e">
        <f>VLOOKUP(I2381,错误mRNA总表!D:I,6,FALSE)</f>
        <v>#N/A</v>
      </c>
    </row>
    <row r="2382" spans="1:13" x14ac:dyDescent="0.2">
      <c r="A2382" s="12" t="s">
        <v>4458</v>
      </c>
      <c r="B2382" s="12" t="s">
        <v>3994</v>
      </c>
      <c r="C2382" s="12">
        <v>1149678</v>
      </c>
      <c r="D2382" s="12">
        <v>1151395</v>
      </c>
      <c r="E2382" s="12" t="s">
        <v>3940</v>
      </c>
      <c r="F2382" s="12">
        <v>1</v>
      </c>
      <c r="H2382" s="12" t="s">
        <v>6398</v>
      </c>
      <c r="I2382" s="41" t="s">
        <v>7716</v>
      </c>
      <c r="M2382" s="41" t="e">
        <f>VLOOKUP(I2382,错误mRNA总表!D:I,6,FALSE)</f>
        <v>#N/A</v>
      </c>
    </row>
    <row r="2383" spans="1:13" x14ac:dyDescent="0.2">
      <c r="A2383" s="12" t="s">
        <v>4458</v>
      </c>
      <c r="B2383" s="12" t="s">
        <v>3994</v>
      </c>
      <c r="C2383" s="12">
        <v>1149678</v>
      </c>
      <c r="D2383" s="12">
        <v>1151518</v>
      </c>
      <c r="E2383" s="12" t="s">
        <v>3940</v>
      </c>
      <c r="F2383" s="12">
        <v>1</v>
      </c>
      <c r="H2383" s="12" t="s">
        <v>6398</v>
      </c>
      <c r="I2383" s="41" t="s">
        <v>7716</v>
      </c>
      <c r="M2383" s="41" t="e">
        <f>VLOOKUP(I2383,错误mRNA总表!D:I,6,FALSE)</f>
        <v>#N/A</v>
      </c>
    </row>
    <row r="2384" spans="1:13" x14ac:dyDescent="0.2">
      <c r="A2384" s="12" t="s">
        <v>4458</v>
      </c>
      <c r="B2384" s="12" t="s">
        <v>3994</v>
      </c>
      <c r="C2384" s="12">
        <v>1149678</v>
      </c>
      <c r="D2384" s="12">
        <v>1152794</v>
      </c>
      <c r="E2384" s="12" t="s">
        <v>3940</v>
      </c>
      <c r="F2384" s="12">
        <v>4</v>
      </c>
      <c r="H2384" s="12" t="s">
        <v>6398</v>
      </c>
      <c r="I2384" s="41" t="s">
        <v>7716</v>
      </c>
      <c r="M2384" s="41" t="e">
        <f>VLOOKUP(I2384,错误mRNA总表!D:I,6,FALSE)</f>
        <v>#N/A</v>
      </c>
    </row>
    <row r="2385" spans="1:13" x14ac:dyDescent="0.2">
      <c r="A2385" s="12" t="s">
        <v>4375</v>
      </c>
      <c r="B2385" s="12" t="s">
        <v>3984</v>
      </c>
      <c r="C2385" s="12">
        <v>4148517</v>
      </c>
      <c r="D2385" s="12">
        <v>4148666</v>
      </c>
      <c r="E2385" s="12" t="s">
        <v>3943</v>
      </c>
      <c r="F2385" s="12">
        <v>3</v>
      </c>
      <c r="H2385" s="12" t="s">
        <v>3584</v>
      </c>
      <c r="I2385" s="41" t="s">
        <v>7717</v>
      </c>
      <c r="M2385" s="41" t="e">
        <f>VLOOKUP(I2385,错误mRNA总表!D:I,6,FALSE)</f>
        <v>#N/A</v>
      </c>
    </row>
    <row r="2386" spans="1:13" x14ac:dyDescent="0.2">
      <c r="A2386" s="12" t="s">
        <v>4429</v>
      </c>
      <c r="B2386" s="12" t="s">
        <v>4059</v>
      </c>
      <c r="C2386" s="12">
        <v>29855537</v>
      </c>
      <c r="D2386" s="12">
        <v>29855589</v>
      </c>
      <c r="E2386" s="12" t="s">
        <v>3943</v>
      </c>
      <c r="F2386" s="12">
        <v>6</v>
      </c>
      <c r="G2386" s="41" t="s">
        <v>175</v>
      </c>
      <c r="H2386" s="12" t="s">
        <v>6398</v>
      </c>
      <c r="I2386" s="41" t="s">
        <v>7718</v>
      </c>
      <c r="M2386" s="41" t="e">
        <f>VLOOKUP(I2386,错误mRNA总表!D:I,6,FALSE)</f>
        <v>#N/A</v>
      </c>
    </row>
    <row r="2387" spans="1:13" x14ac:dyDescent="0.2">
      <c r="A2387" s="12" t="s">
        <v>4429</v>
      </c>
      <c r="B2387" s="12" t="s">
        <v>4059</v>
      </c>
      <c r="C2387" s="12">
        <v>29855537</v>
      </c>
      <c r="D2387" s="12">
        <v>29857112</v>
      </c>
      <c r="E2387" s="12" t="s">
        <v>3943</v>
      </c>
      <c r="F2387" s="12">
        <v>1</v>
      </c>
      <c r="G2387" s="41" t="s">
        <v>175</v>
      </c>
      <c r="H2387" s="12" t="s">
        <v>6398</v>
      </c>
      <c r="I2387" s="41" t="s">
        <v>7718</v>
      </c>
      <c r="M2387" s="41" t="e">
        <f>VLOOKUP(I2387,错误mRNA总表!D:I,6,FALSE)</f>
        <v>#N/A</v>
      </c>
    </row>
    <row r="2388" spans="1:13" x14ac:dyDescent="0.2">
      <c r="A2388" s="12" t="s">
        <v>4429</v>
      </c>
      <c r="B2388" s="12" t="s">
        <v>4059</v>
      </c>
      <c r="C2388" s="12">
        <v>29855537</v>
      </c>
      <c r="D2388" s="12">
        <v>29857236</v>
      </c>
      <c r="E2388" s="12" t="s">
        <v>3943</v>
      </c>
      <c r="F2388" s="12">
        <v>1</v>
      </c>
      <c r="G2388" s="41" t="s">
        <v>175</v>
      </c>
      <c r="H2388" s="12" t="s">
        <v>6398</v>
      </c>
      <c r="I2388" s="41" t="s">
        <v>7718</v>
      </c>
      <c r="M2388" s="41" t="e">
        <f>VLOOKUP(I2388,错误mRNA总表!D:I,6,FALSE)</f>
        <v>#N/A</v>
      </c>
    </row>
    <row r="2389" spans="1:13" x14ac:dyDescent="0.2">
      <c r="A2389" s="12" t="s">
        <v>4429</v>
      </c>
      <c r="B2389" s="12" t="s">
        <v>4059</v>
      </c>
      <c r="C2389" s="12">
        <v>29855537</v>
      </c>
      <c r="D2389" s="12">
        <v>29858513</v>
      </c>
      <c r="E2389" s="12" t="s">
        <v>3943</v>
      </c>
      <c r="F2389" s="12">
        <v>4</v>
      </c>
      <c r="G2389" s="41" t="s">
        <v>175</v>
      </c>
      <c r="H2389" s="12" t="s">
        <v>6398</v>
      </c>
      <c r="I2389" s="41" t="s">
        <v>7718</v>
      </c>
      <c r="M2389" s="41" t="e">
        <f>VLOOKUP(I2389,错误mRNA总表!D:I,6,FALSE)</f>
        <v>#N/A</v>
      </c>
    </row>
    <row r="2390" spans="1:13" x14ac:dyDescent="0.2">
      <c r="A2390" s="12" t="s">
        <v>5166</v>
      </c>
      <c r="B2390" s="12" t="s">
        <v>4124</v>
      </c>
      <c r="C2390" s="12">
        <v>209224569</v>
      </c>
      <c r="D2390" s="12">
        <v>209224875</v>
      </c>
      <c r="E2390" s="12" t="s">
        <v>3943</v>
      </c>
      <c r="F2390" s="12">
        <v>1</v>
      </c>
      <c r="G2390" s="41" t="s">
        <v>1</v>
      </c>
      <c r="H2390" s="12" t="s">
        <v>6156</v>
      </c>
      <c r="I2390" s="41" t="s">
        <v>7719</v>
      </c>
      <c r="M2390" s="41" t="e">
        <f>VLOOKUP(I2390,错误mRNA总表!D:I,6,FALSE)</f>
        <v>#N/A</v>
      </c>
    </row>
    <row r="2391" spans="1:13" x14ac:dyDescent="0.2">
      <c r="A2391" s="12" t="s">
        <v>4532</v>
      </c>
      <c r="B2391" s="12" t="s">
        <v>3996</v>
      </c>
      <c r="C2391" s="12">
        <v>4730149</v>
      </c>
      <c r="D2391" s="12">
        <v>4730202</v>
      </c>
      <c r="E2391" s="12" t="s">
        <v>3943</v>
      </c>
      <c r="F2391" s="12">
        <v>2</v>
      </c>
      <c r="H2391" s="12" t="s">
        <v>3593</v>
      </c>
      <c r="I2391" s="41" t="s">
        <v>7720</v>
      </c>
      <c r="M2391" s="41" t="e">
        <f>VLOOKUP(I2391,错误mRNA总表!D:I,6,FALSE)</f>
        <v>#N/A</v>
      </c>
    </row>
    <row r="2392" spans="1:13" x14ac:dyDescent="0.2">
      <c r="A2392" s="12" t="s">
        <v>5167</v>
      </c>
      <c r="B2392" s="12" t="s">
        <v>3939</v>
      </c>
      <c r="C2392" s="12">
        <v>142710595</v>
      </c>
      <c r="D2392" s="12">
        <v>142712351</v>
      </c>
      <c r="E2392" s="12" t="s">
        <v>3943</v>
      </c>
      <c r="F2392" s="12">
        <v>1</v>
      </c>
      <c r="G2392" s="41" t="s">
        <v>73</v>
      </c>
      <c r="H2392" s="12" t="s">
        <v>3671</v>
      </c>
      <c r="I2392" s="41" t="s">
        <v>7721</v>
      </c>
      <c r="M2392" s="41" t="e">
        <f>VLOOKUP(I2392,错误mRNA总表!D:I,6,FALSE)</f>
        <v>#N/A</v>
      </c>
    </row>
    <row r="2393" spans="1:13" x14ac:dyDescent="0.2">
      <c r="A2393" s="12" t="s">
        <v>5167</v>
      </c>
      <c r="B2393" s="12" t="s">
        <v>3939</v>
      </c>
      <c r="C2393" s="12">
        <v>142710595</v>
      </c>
      <c r="D2393" s="12">
        <v>142714379</v>
      </c>
      <c r="E2393" s="12" t="s">
        <v>3940</v>
      </c>
      <c r="F2393" s="12">
        <v>1</v>
      </c>
      <c r="G2393" s="41" t="s">
        <v>73</v>
      </c>
      <c r="H2393" s="12" t="s">
        <v>3671</v>
      </c>
      <c r="I2393" s="41" t="s">
        <v>7721</v>
      </c>
      <c r="M2393" s="41" t="e">
        <f>VLOOKUP(I2393,错误mRNA总表!D:I,6,FALSE)</f>
        <v>#N/A</v>
      </c>
    </row>
    <row r="2394" spans="1:13" x14ac:dyDescent="0.2">
      <c r="A2394" s="12" t="s">
        <v>5167</v>
      </c>
      <c r="B2394" s="12" t="s">
        <v>3939</v>
      </c>
      <c r="C2394" s="12">
        <v>142710595</v>
      </c>
      <c r="D2394" s="12">
        <v>142715896</v>
      </c>
      <c r="E2394" s="12" t="s">
        <v>3943</v>
      </c>
      <c r="F2394" s="12">
        <v>11</v>
      </c>
      <c r="G2394" s="41" t="s">
        <v>73</v>
      </c>
      <c r="H2394" s="12" t="s">
        <v>3671</v>
      </c>
      <c r="I2394" s="41" t="s">
        <v>7721</v>
      </c>
      <c r="M2394" s="41" t="e">
        <f>VLOOKUP(I2394,错误mRNA总表!D:I,6,FALSE)</f>
        <v>#N/A</v>
      </c>
    </row>
    <row r="2395" spans="1:13" x14ac:dyDescent="0.2">
      <c r="A2395" s="12" t="s">
        <v>4430</v>
      </c>
      <c r="B2395" s="12" t="s">
        <v>4045</v>
      </c>
      <c r="C2395" s="12">
        <v>166178</v>
      </c>
      <c r="D2395" s="12">
        <v>169309</v>
      </c>
      <c r="E2395" s="12" t="s">
        <v>3943</v>
      </c>
      <c r="F2395" s="12">
        <v>3</v>
      </c>
      <c r="H2395" s="12" t="s">
        <v>3651</v>
      </c>
      <c r="I2395" s="41" t="s">
        <v>7013</v>
      </c>
      <c r="M2395" s="41" t="e">
        <f>VLOOKUP(I2395,错误mRNA总表!D:I,6,FALSE)</f>
        <v>#N/A</v>
      </c>
    </row>
    <row r="2396" spans="1:13" x14ac:dyDescent="0.2">
      <c r="A2396" s="12" t="s">
        <v>5168</v>
      </c>
      <c r="B2396" s="12" t="s">
        <v>3973</v>
      </c>
      <c r="C2396" s="12">
        <v>150547027</v>
      </c>
      <c r="D2396" s="12">
        <v>150548887</v>
      </c>
      <c r="E2396" s="12" t="s">
        <v>3940</v>
      </c>
      <c r="F2396" s="12">
        <v>4</v>
      </c>
      <c r="G2396" s="41" t="s">
        <v>139</v>
      </c>
      <c r="H2396" s="12" t="s">
        <v>6157</v>
      </c>
      <c r="I2396" s="41" t="s">
        <v>7722</v>
      </c>
      <c r="M2396" s="41" t="e">
        <f>VLOOKUP(I2396,错误mRNA总表!D:I,6,FALSE)</f>
        <v>#N/A</v>
      </c>
    </row>
    <row r="2397" spans="1:13" x14ac:dyDescent="0.2">
      <c r="A2397" s="12" t="s">
        <v>4817</v>
      </c>
      <c r="B2397" s="12" t="s">
        <v>5169</v>
      </c>
      <c r="C2397" s="12">
        <v>29992</v>
      </c>
      <c r="D2397" s="12">
        <v>30444</v>
      </c>
      <c r="E2397" s="12" t="s">
        <v>3940</v>
      </c>
      <c r="F2397" s="12">
        <v>1</v>
      </c>
      <c r="H2397" s="12" t="s">
        <v>218</v>
      </c>
      <c r="I2397" s="41" t="s">
        <v>7723</v>
      </c>
      <c r="J2397" s="41" t="s">
        <v>2173</v>
      </c>
      <c r="K2397" s="41" t="str">
        <f>VLOOKUP(J2397,错误mRNA总表!D:J,7,FALSE)</f>
        <v>纠后正确</v>
      </c>
      <c r="M2397" s="41" t="e">
        <f>VLOOKUP(I2397,错误mRNA总表!D:I,6,FALSE)</f>
        <v>#N/A</v>
      </c>
    </row>
    <row r="2398" spans="1:13" x14ac:dyDescent="0.2">
      <c r="A2398" s="12" t="s">
        <v>5170</v>
      </c>
      <c r="B2398" s="12" t="s">
        <v>3950</v>
      </c>
      <c r="C2398" s="12">
        <v>248562</v>
      </c>
      <c r="D2398" s="12">
        <v>248597</v>
      </c>
      <c r="E2398" s="12" t="s">
        <v>3940</v>
      </c>
      <c r="F2398" s="12">
        <v>2</v>
      </c>
      <c r="H2398" s="12" t="s">
        <v>3655</v>
      </c>
      <c r="I2398" s="41" t="s">
        <v>7681</v>
      </c>
      <c r="M2398" s="41" t="e">
        <f>VLOOKUP(I2398,错误mRNA总表!D:I,6,FALSE)</f>
        <v>#N/A</v>
      </c>
    </row>
    <row r="2399" spans="1:13" x14ac:dyDescent="0.2">
      <c r="A2399" s="12" t="s">
        <v>3988</v>
      </c>
      <c r="B2399" s="12" t="s">
        <v>3994</v>
      </c>
      <c r="C2399" s="12">
        <v>2480458</v>
      </c>
      <c r="D2399" s="12">
        <v>2481923</v>
      </c>
      <c r="E2399" s="12" t="s">
        <v>3943</v>
      </c>
      <c r="F2399" s="12">
        <v>6</v>
      </c>
      <c r="H2399" s="12" t="s">
        <v>5778</v>
      </c>
      <c r="I2399" s="41" t="s">
        <v>7724</v>
      </c>
      <c r="M2399" s="41" t="e">
        <f>VLOOKUP(I2399,错误mRNA总表!D:I,6,FALSE)</f>
        <v>#N/A</v>
      </c>
    </row>
    <row r="2400" spans="1:13" x14ac:dyDescent="0.2">
      <c r="A2400" s="12" t="s">
        <v>3988</v>
      </c>
      <c r="B2400" s="12" t="s">
        <v>3994</v>
      </c>
      <c r="C2400" s="12">
        <v>2480458</v>
      </c>
      <c r="D2400" s="12">
        <v>2481972</v>
      </c>
      <c r="E2400" s="12" t="s">
        <v>3943</v>
      </c>
      <c r="F2400" s="12">
        <v>2</v>
      </c>
      <c r="H2400" s="12" t="s">
        <v>5778</v>
      </c>
      <c r="I2400" s="41" t="s">
        <v>7724</v>
      </c>
      <c r="M2400" s="41" t="e">
        <f>VLOOKUP(I2400,错误mRNA总表!D:I,6,FALSE)</f>
        <v>#N/A</v>
      </c>
    </row>
    <row r="2401" spans="1:13" x14ac:dyDescent="0.2">
      <c r="A2401" s="12" t="s">
        <v>3988</v>
      </c>
      <c r="B2401" s="12" t="s">
        <v>3994</v>
      </c>
      <c r="C2401" s="12">
        <v>2480458</v>
      </c>
      <c r="D2401" s="12">
        <v>2482472</v>
      </c>
      <c r="E2401" s="12" t="s">
        <v>3943</v>
      </c>
      <c r="F2401" s="12">
        <v>3</v>
      </c>
      <c r="H2401" s="12" t="s">
        <v>5778</v>
      </c>
      <c r="I2401" s="41" t="s">
        <v>7724</v>
      </c>
      <c r="M2401" s="41" t="e">
        <f>VLOOKUP(I2401,错误mRNA总表!D:I,6,FALSE)</f>
        <v>#N/A</v>
      </c>
    </row>
    <row r="2402" spans="1:13" x14ac:dyDescent="0.2">
      <c r="A2402" s="12" t="s">
        <v>3988</v>
      </c>
      <c r="B2402" s="12" t="s">
        <v>3994</v>
      </c>
      <c r="C2402" s="12">
        <v>2480458</v>
      </c>
      <c r="D2402" s="12">
        <v>2482796</v>
      </c>
      <c r="E2402" s="12" t="s">
        <v>3940</v>
      </c>
      <c r="F2402" s="12">
        <v>1</v>
      </c>
      <c r="H2402" s="12" t="s">
        <v>5778</v>
      </c>
      <c r="I2402" s="41" t="s">
        <v>7724</v>
      </c>
      <c r="M2402" s="41" t="e">
        <f>VLOOKUP(I2402,错误mRNA总表!D:I,6,FALSE)</f>
        <v>#N/A</v>
      </c>
    </row>
    <row r="2403" spans="1:13" x14ac:dyDescent="0.2">
      <c r="A2403" s="12" t="s">
        <v>3988</v>
      </c>
      <c r="B2403" s="12" t="s">
        <v>3994</v>
      </c>
      <c r="C2403" s="12">
        <v>2480458</v>
      </c>
      <c r="D2403" s="12">
        <v>2483077</v>
      </c>
      <c r="E2403" s="12" t="s">
        <v>3943</v>
      </c>
      <c r="F2403" s="12">
        <v>3</v>
      </c>
      <c r="H2403" s="12" t="s">
        <v>5778</v>
      </c>
      <c r="I2403" s="41" t="s">
        <v>7724</v>
      </c>
      <c r="M2403" s="41" t="e">
        <f>VLOOKUP(I2403,错误mRNA总表!D:I,6,FALSE)</f>
        <v>#N/A</v>
      </c>
    </row>
    <row r="2404" spans="1:13" x14ac:dyDescent="0.2">
      <c r="A2404" s="12" t="s">
        <v>4046</v>
      </c>
      <c r="B2404" s="12" t="s">
        <v>3939</v>
      </c>
      <c r="C2404" s="12">
        <v>1314869</v>
      </c>
      <c r="D2404" s="12">
        <v>1314883</v>
      </c>
      <c r="E2404" s="12" t="s">
        <v>3940</v>
      </c>
      <c r="F2404" s="12">
        <v>2</v>
      </c>
      <c r="G2404" s="41" t="s">
        <v>73</v>
      </c>
      <c r="H2404" s="12" t="s">
        <v>1361</v>
      </c>
      <c r="I2404" s="41" t="s">
        <v>3300</v>
      </c>
      <c r="J2404" s="41" t="s">
        <v>3300</v>
      </c>
      <c r="K2404" s="41" t="str">
        <f>VLOOKUP(J2404,错误mRNA总表!D:J,7,FALSE)</f>
        <v>无rs号验证，氨基酸加1个chrX:1314875-1314998</v>
      </c>
      <c r="L2404" s="41" t="s">
        <v>8352</v>
      </c>
      <c r="M2404" s="41">
        <f>VLOOKUP(I2404,错误mRNA总表!D:I,6,FALSE)</f>
        <v>0</v>
      </c>
    </row>
    <row r="2405" spans="1:13" x14ac:dyDescent="0.2">
      <c r="A2405" s="12" t="s">
        <v>4046</v>
      </c>
      <c r="B2405" s="12" t="s">
        <v>3939</v>
      </c>
      <c r="C2405" s="12">
        <v>1314869</v>
      </c>
      <c r="D2405" s="12">
        <v>1314893</v>
      </c>
      <c r="E2405" s="12" t="s">
        <v>3940</v>
      </c>
      <c r="F2405" s="12">
        <v>1</v>
      </c>
      <c r="G2405" s="41" t="s">
        <v>73</v>
      </c>
      <c r="H2405" s="12" t="s">
        <v>1361</v>
      </c>
      <c r="I2405" s="41" t="s">
        <v>3300</v>
      </c>
      <c r="J2405" s="41" t="s">
        <v>3300</v>
      </c>
      <c r="K2405" s="41" t="str">
        <f>VLOOKUP(J2405,错误mRNA总表!D:J,7,FALSE)</f>
        <v>无rs号验证，氨基酸加1个chrX:1314875-1314998</v>
      </c>
      <c r="L2405" s="41" t="s">
        <v>8352</v>
      </c>
      <c r="M2405" s="41">
        <f>VLOOKUP(I2405,错误mRNA总表!D:I,6,FALSE)</f>
        <v>0</v>
      </c>
    </row>
    <row r="2406" spans="1:13" x14ac:dyDescent="0.2">
      <c r="A2406" s="12" t="s">
        <v>3968</v>
      </c>
      <c r="B2406" s="12" t="s">
        <v>3989</v>
      </c>
      <c r="C2406" s="12">
        <v>2937602</v>
      </c>
      <c r="D2406" s="12">
        <v>2950925</v>
      </c>
      <c r="E2406" s="12" t="s">
        <v>3943</v>
      </c>
      <c r="F2406" s="12">
        <v>4</v>
      </c>
      <c r="H2406" s="12" t="s">
        <v>3563</v>
      </c>
      <c r="I2406" s="41" t="s">
        <v>7725</v>
      </c>
      <c r="M2406" s="41" t="e">
        <f>VLOOKUP(I2406,错误mRNA总表!D:I,6,FALSE)</f>
        <v>#N/A</v>
      </c>
    </row>
    <row r="2407" spans="1:13" x14ac:dyDescent="0.2">
      <c r="A2407" s="12" t="s">
        <v>3968</v>
      </c>
      <c r="B2407" s="12" t="s">
        <v>3989</v>
      </c>
      <c r="C2407" s="12">
        <v>2937602</v>
      </c>
      <c r="D2407" s="12">
        <v>2937698</v>
      </c>
      <c r="E2407" s="12" t="s">
        <v>3943</v>
      </c>
      <c r="F2407" s="12">
        <v>4</v>
      </c>
      <c r="H2407" s="12" t="s">
        <v>3563</v>
      </c>
      <c r="I2407" s="41" t="s">
        <v>7725</v>
      </c>
      <c r="M2407" s="41" t="e">
        <f>VLOOKUP(I2407,错误mRNA总表!D:I,6,FALSE)</f>
        <v>#N/A</v>
      </c>
    </row>
    <row r="2408" spans="1:13" x14ac:dyDescent="0.2">
      <c r="A2408" s="12" t="s">
        <v>5171</v>
      </c>
      <c r="B2408" s="12" t="s">
        <v>3957</v>
      </c>
      <c r="C2408" s="12">
        <v>35453374</v>
      </c>
      <c r="D2408" s="12">
        <v>35453796</v>
      </c>
      <c r="E2408" s="12" t="s">
        <v>3943</v>
      </c>
      <c r="F2408" s="12">
        <v>1</v>
      </c>
      <c r="G2408" s="41" t="s">
        <v>36</v>
      </c>
      <c r="H2408" s="12" t="s">
        <v>6444</v>
      </c>
      <c r="I2408" s="41" t="s">
        <v>7033</v>
      </c>
      <c r="M2408" s="41" t="e">
        <f>VLOOKUP(I2408,错误mRNA总表!D:I,6,FALSE)</f>
        <v>#N/A</v>
      </c>
    </row>
    <row r="2409" spans="1:13" x14ac:dyDescent="0.2">
      <c r="A2409" s="12" t="s">
        <v>5172</v>
      </c>
      <c r="B2409" s="12" t="s">
        <v>3986</v>
      </c>
      <c r="C2409" s="12">
        <v>4910566</v>
      </c>
      <c r="D2409" s="12">
        <v>4954680</v>
      </c>
      <c r="E2409" s="12" t="s">
        <v>3940</v>
      </c>
      <c r="F2409" s="12">
        <v>1</v>
      </c>
      <c r="G2409" s="41" t="s">
        <v>50</v>
      </c>
      <c r="H2409" s="12" t="s">
        <v>216</v>
      </c>
      <c r="I2409" s="41" t="s">
        <v>2203</v>
      </c>
      <c r="J2409" s="41" t="s">
        <v>2203</v>
      </c>
      <c r="K2409" s="41" t="str">
        <f>VLOOKUP(J2409,错误mRNA总表!D:J,7,FALSE)</f>
        <v>纠后正确</v>
      </c>
      <c r="L2409" s="41" t="s">
        <v>3763</v>
      </c>
      <c r="M2409" s="41">
        <f>VLOOKUP(I2409,错误mRNA总表!D:I,6,FALSE)</f>
        <v>0</v>
      </c>
    </row>
    <row r="2410" spans="1:13" x14ac:dyDescent="0.2">
      <c r="A2410" s="12" t="s">
        <v>4298</v>
      </c>
      <c r="B2410" s="12" t="s">
        <v>3964</v>
      </c>
      <c r="C2410" s="12">
        <v>3670160</v>
      </c>
      <c r="D2410" s="12">
        <v>3670161</v>
      </c>
      <c r="E2410" s="12" t="s">
        <v>3940</v>
      </c>
      <c r="F2410" s="12">
        <v>2</v>
      </c>
      <c r="H2410" s="12" t="s">
        <v>3432</v>
      </c>
      <c r="I2410" s="41" t="s">
        <v>7726</v>
      </c>
      <c r="M2410" s="41" t="e">
        <f>VLOOKUP(I2410,错误mRNA总表!D:I,6,FALSE)</f>
        <v>#N/A</v>
      </c>
    </row>
    <row r="2411" spans="1:13" x14ac:dyDescent="0.2">
      <c r="A2411" s="12" t="s">
        <v>4159</v>
      </c>
      <c r="B2411" s="12" t="s">
        <v>3994</v>
      </c>
      <c r="C2411" s="12">
        <v>2480458</v>
      </c>
      <c r="D2411" s="12">
        <v>2482472</v>
      </c>
      <c r="E2411" s="12" t="s">
        <v>3943</v>
      </c>
      <c r="F2411" s="12">
        <v>3</v>
      </c>
      <c r="H2411" s="12" t="s">
        <v>671</v>
      </c>
      <c r="I2411" s="41" t="s">
        <v>7688</v>
      </c>
      <c r="J2411" s="41" t="s">
        <v>2608</v>
      </c>
      <c r="K2411" s="41" t="str">
        <f>VLOOKUP(J2411,错误mRNA总表!D:J,7,FALSE)</f>
        <v/>
      </c>
      <c r="M2411" s="41" t="e">
        <f>VLOOKUP(I2411,错误mRNA总表!D:I,6,FALSE)</f>
        <v>#N/A</v>
      </c>
    </row>
    <row r="2412" spans="1:13" x14ac:dyDescent="0.2">
      <c r="A2412" s="12" t="s">
        <v>4159</v>
      </c>
      <c r="B2412" s="12" t="s">
        <v>3994</v>
      </c>
      <c r="C2412" s="12">
        <v>2480458</v>
      </c>
      <c r="D2412" s="12">
        <v>2482796</v>
      </c>
      <c r="E2412" s="12" t="s">
        <v>3940</v>
      </c>
      <c r="F2412" s="12">
        <v>1</v>
      </c>
      <c r="H2412" s="12" t="s">
        <v>671</v>
      </c>
      <c r="I2412" s="41" t="s">
        <v>7688</v>
      </c>
      <c r="J2412" s="41" t="s">
        <v>2608</v>
      </c>
      <c r="K2412" s="41" t="str">
        <f>VLOOKUP(J2412,错误mRNA总表!D:J,7,FALSE)</f>
        <v/>
      </c>
      <c r="M2412" s="41" t="e">
        <f>VLOOKUP(I2412,错误mRNA总表!D:I,6,FALSE)</f>
        <v>#N/A</v>
      </c>
    </row>
    <row r="2413" spans="1:13" x14ac:dyDescent="0.2">
      <c r="A2413" s="12" t="s">
        <v>4159</v>
      </c>
      <c r="B2413" s="12" t="s">
        <v>3994</v>
      </c>
      <c r="C2413" s="12">
        <v>2480458</v>
      </c>
      <c r="D2413" s="12">
        <v>2483077</v>
      </c>
      <c r="E2413" s="12" t="s">
        <v>3943</v>
      </c>
      <c r="F2413" s="12">
        <v>3</v>
      </c>
      <c r="H2413" s="12" t="s">
        <v>671</v>
      </c>
      <c r="I2413" s="41" t="s">
        <v>7688</v>
      </c>
      <c r="J2413" s="41" t="s">
        <v>2608</v>
      </c>
      <c r="K2413" s="41" t="str">
        <f>VLOOKUP(J2413,错误mRNA总表!D:J,7,FALSE)</f>
        <v/>
      </c>
      <c r="M2413" s="41" t="e">
        <f>VLOOKUP(I2413,错误mRNA总表!D:I,6,FALSE)</f>
        <v>#N/A</v>
      </c>
    </row>
    <row r="2414" spans="1:13" x14ac:dyDescent="0.2">
      <c r="A2414" s="12" t="s">
        <v>5173</v>
      </c>
      <c r="B2414" s="12" t="s">
        <v>4004</v>
      </c>
      <c r="C2414" s="12">
        <v>30601682</v>
      </c>
      <c r="D2414" s="12">
        <v>30620844</v>
      </c>
      <c r="E2414" s="12" t="s">
        <v>3940</v>
      </c>
      <c r="F2414" s="12">
        <v>1</v>
      </c>
      <c r="G2414" s="41" t="s">
        <v>103</v>
      </c>
      <c r="H2414" s="12" t="s">
        <v>6158</v>
      </c>
      <c r="I2414" s="41" t="s">
        <v>7727</v>
      </c>
      <c r="M2414" s="41" t="e">
        <f>VLOOKUP(I2414,错误mRNA总表!D:I,6,FALSE)</f>
        <v>#N/A</v>
      </c>
    </row>
    <row r="2415" spans="1:13" x14ac:dyDescent="0.2">
      <c r="A2415" s="12" t="s">
        <v>4267</v>
      </c>
      <c r="B2415" s="12" t="s">
        <v>4001</v>
      </c>
      <c r="C2415" s="12">
        <v>928284</v>
      </c>
      <c r="D2415" s="12">
        <v>943634</v>
      </c>
      <c r="E2415" s="12" t="s">
        <v>3943</v>
      </c>
      <c r="F2415" s="12">
        <v>4</v>
      </c>
      <c r="H2415" s="12" t="s">
        <v>3528</v>
      </c>
      <c r="I2415" s="41" t="s">
        <v>7728</v>
      </c>
      <c r="M2415" s="41" t="e">
        <f>VLOOKUP(I2415,错误mRNA总表!D:I,6,FALSE)</f>
        <v>#N/A</v>
      </c>
    </row>
    <row r="2416" spans="1:13" x14ac:dyDescent="0.2">
      <c r="A2416" s="12" t="s">
        <v>5170</v>
      </c>
      <c r="B2416" s="12" t="s">
        <v>3952</v>
      </c>
      <c r="C2416" s="12">
        <v>248805</v>
      </c>
      <c r="D2416" s="12">
        <v>248840</v>
      </c>
      <c r="E2416" s="12" t="s">
        <v>3940</v>
      </c>
      <c r="F2416" s="12">
        <v>2</v>
      </c>
      <c r="H2416" s="12" t="s">
        <v>3655</v>
      </c>
      <c r="I2416" s="41" t="s">
        <v>7729</v>
      </c>
      <c r="M2416" s="41" t="e">
        <f>VLOOKUP(I2416,错误mRNA总表!D:I,6,FALSE)</f>
        <v>#N/A</v>
      </c>
    </row>
    <row r="2417" spans="1:13" x14ac:dyDescent="0.2">
      <c r="A2417" s="12" t="s">
        <v>5174</v>
      </c>
      <c r="B2417" s="12" t="s">
        <v>3962</v>
      </c>
      <c r="C2417" s="12">
        <v>21106624</v>
      </c>
      <c r="D2417" s="12">
        <v>21186163</v>
      </c>
      <c r="E2417" s="12" t="s">
        <v>3940</v>
      </c>
      <c r="F2417" s="12">
        <v>1</v>
      </c>
      <c r="G2417" s="41" t="s">
        <v>53</v>
      </c>
      <c r="H2417" s="12" t="s">
        <v>128</v>
      </c>
      <c r="I2417" s="41" t="s">
        <v>2123</v>
      </c>
      <c r="J2417" s="41" t="s">
        <v>2123</v>
      </c>
      <c r="K2417" s="41" t="str">
        <f>VLOOKUP(J2417,错误mRNA总表!D:J,7,FALSE)</f>
        <v>纠后正确</v>
      </c>
      <c r="L2417" s="41" t="s">
        <v>3763</v>
      </c>
      <c r="M2417" s="41">
        <f>VLOOKUP(I2417,错误mRNA总表!D:I,6,FALSE)</f>
        <v>0</v>
      </c>
    </row>
    <row r="2418" spans="1:13" x14ac:dyDescent="0.2">
      <c r="A2418" s="12" t="s">
        <v>5175</v>
      </c>
      <c r="B2418" s="12" t="s">
        <v>3946</v>
      </c>
      <c r="C2418" s="12">
        <v>34310692</v>
      </c>
      <c r="D2418" s="12">
        <v>34328646</v>
      </c>
      <c r="E2418" s="12" t="s">
        <v>3943</v>
      </c>
      <c r="F2418" s="12">
        <v>7</v>
      </c>
      <c r="G2418" s="41" t="s">
        <v>47</v>
      </c>
      <c r="H2418" s="12" t="s">
        <v>6534</v>
      </c>
      <c r="I2418" s="41" t="s">
        <v>7730</v>
      </c>
      <c r="M2418" s="41" t="e">
        <f>VLOOKUP(I2418,错误mRNA总表!D:I,6,FALSE)</f>
        <v>#N/A</v>
      </c>
    </row>
    <row r="2419" spans="1:13" x14ac:dyDescent="0.2">
      <c r="A2419" s="12" t="s">
        <v>4438</v>
      </c>
      <c r="B2419" s="12" t="s">
        <v>3964</v>
      </c>
      <c r="C2419" s="12">
        <v>927947</v>
      </c>
      <c r="D2419" s="12">
        <v>943295</v>
      </c>
      <c r="E2419" s="12" t="s">
        <v>3940</v>
      </c>
      <c r="F2419" s="12">
        <v>4</v>
      </c>
      <c r="H2419" s="12" t="s">
        <v>3522</v>
      </c>
      <c r="I2419" s="41" t="s">
        <v>7731</v>
      </c>
      <c r="M2419" s="41" t="e">
        <f>VLOOKUP(I2419,错误mRNA总表!D:I,6,FALSE)</f>
        <v>#N/A</v>
      </c>
    </row>
    <row r="2420" spans="1:13" x14ac:dyDescent="0.2">
      <c r="A2420" s="12" t="s">
        <v>5176</v>
      </c>
      <c r="B2420" s="12" t="s">
        <v>4030</v>
      </c>
      <c r="C2420" s="12">
        <v>105235686</v>
      </c>
      <c r="D2420" s="12">
        <v>105262025</v>
      </c>
      <c r="E2420" s="12" t="s">
        <v>3940</v>
      </c>
      <c r="F2420" s="12">
        <v>1</v>
      </c>
      <c r="G2420" s="41" t="s">
        <v>81</v>
      </c>
      <c r="H2420" s="12" t="s">
        <v>6159</v>
      </c>
      <c r="I2420" s="41" t="s">
        <v>7732</v>
      </c>
      <c r="M2420" s="41" t="e">
        <f>VLOOKUP(I2420,错误mRNA总表!D:I,6,FALSE)</f>
        <v>#N/A</v>
      </c>
    </row>
    <row r="2421" spans="1:13" x14ac:dyDescent="0.2">
      <c r="A2421" s="12" t="s">
        <v>5177</v>
      </c>
      <c r="B2421" s="12" t="s">
        <v>3946</v>
      </c>
      <c r="C2421" s="12">
        <v>73584139</v>
      </c>
      <c r="D2421" s="12">
        <v>73612643</v>
      </c>
      <c r="E2421" s="12" t="s">
        <v>3940</v>
      </c>
      <c r="F2421" s="12">
        <v>1</v>
      </c>
      <c r="G2421" s="41" t="s">
        <v>47</v>
      </c>
      <c r="H2421" s="12" t="s">
        <v>6160</v>
      </c>
      <c r="I2421" s="41" t="s">
        <v>7733</v>
      </c>
      <c r="M2421" s="41" t="e">
        <f>VLOOKUP(I2421,错误mRNA总表!D:I,6,FALSE)</f>
        <v>#N/A</v>
      </c>
    </row>
    <row r="2422" spans="1:13" x14ac:dyDescent="0.2">
      <c r="A2422" s="12" t="s">
        <v>5178</v>
      </c>
      <c r="B2422" s="12" t="s">
        <v>5179</v>
      </c>
      <c r="C2422" s="12">
        <v>644596</v>
      </c>
      <c r="D2422" s="12">
        <v>644613</v>
      </c>
      <c r="E2422" s="12" t="s">
        <v>3940</v>
      </c>
      <c r="F2422" s="12">
        <v>1</v>
      </c>
      <c r="H2422" s="12" t="s">
        <v>3677</v>
      </c>
      <c r="I2422" s="41" t="s">
        <v>7734</v>
      </c>
      <c r="M2422" s="41" t="e">
        <f>VLOOKUP(I2422,错误mRNA总表!D:I,6,FALSE)</f>
        <v>#N/A</v>
      </c>
    </row>
    <row r="2423" spans="1:13" x14ac:dyDescent="0.2">
      <c r="A2423" s="12" t="s">
        <v>5180</v>
      </c>
      <c r="B2423" s="12" t="s">
        <v>3973</v>
      </c>
      <c r="C2423" s="12">
        <v>16888922</v>
      </c>
      <c r="D2423" s="12">
        <v>16892304</v>
      </c>
      <c r="E2423" s="12" t="s">
        <v>3940</v>
      </c>
      <c r="F2423" s="12">
        <v>273</v>
      </c>
      <c r="G2423" s="41" t="s">
        <v>139</v>
      </c>
      <c r="H2423" s="12" t="s">
        <v>326</v>
      </c>
      <c r="I2423" s="41" t="s">
        <v>7735</v>
      </c>
      <c r="J2423" s="41" t="s">
        <v>2225</v>
      </c>
      <c r="K2423" s="41" t="str">
        <f>VLOOKUP(J2423,错误mRNA总表!D:J,7,FALSE)</f>
        <v>纠后增加92个氨基酸（版本不一致，区间略有变化）,rs号无信息chr1:16890439-16892303</v>
      </c>
      <c r="M2423" s="41" t="e">
        <f>VLOOKUP(I2423,错误mRNA总表!D:I,6,FALSE)</f>
        <v>#N/A</v>
      </c>
    </row>
    <row r="2424" spans="1:13" x14ac:dyDescent="0.2">
      <c r="A2424" s="12" t="s">
        <v>5181</v>
      </c>
      <c r="B2424" s="12" t="s">
        <v>3973</v>
      </c>
      <c r="C2424" s="12">
        <v>1570603</v>
      </c>
      <c r="D2424" s="12">
        <v>1577871</v>
      </c>
      <c r="E2424" s="12" t="s">
        <v>3940</v>
      </c>
      <c r="F2424" s="12">
        <v>260</v>
      </c>
      <c r="G2424" s="41" t="s">
        <v>139</v>
      </c>
      <c r="H2424" s="12" t="s">
        <v>6445</v>
      </c>
      <c r="I2424" s="41" t="s">
        <v>7736</v>
      </c>
      <c r="M2424" s="41" t="e">
        <f>VLOOKUP(I2424,错误mRNA总表!D:I,6,FALSE)</f>
        <v>#N/A</v>
      </c>
    </row>
    <row r="2425" spans="1:13" x14ac:dyDescent="0.2">
      <c r="A2425" s="12" t="s">
        <v>5181</v>
      </c>
      <c r="B2425" s="12" t="s">
        <v>3973</v>
      </c>
      <c r="C2425" s="12">
        <v>1570603</v>
      </c>
      <c r="D2425" s="12">
        <v>1570917</v>
      </c>
      <c r="E2425" s="12" t="s">
        <v>3940</v>
      </c>
      <c r="F2425" s="12">
        <v>13</v>
      </c>
      <c r="G2425" s="41" t="s">
        <v>139</v>
      </c>
      <c r="H2425" s="12" t="s">
        <v>6445</v>
      </c>
      <c r="I2425" s="41" t="s">
        <v>7736</v>
      </c>
      <c r="M2425" s="41" t="e">
        <f>VLOOKUP(I2425,错误mRNA总表!D:I,6,FALSE)</f>
        <v>#N/A</v>
      </c>
    </row>
    <row r="2426" spans="1:13" x14ac:dyDescent="0.2">
      <c r="A2426" s="12" t="s">
        <v>5181</v>
      </c>
      <c r="B2426" s="12" t="s">
        <v>3973</v>
      </c>
      <c r="C2426" s="12">
        <v>1570603</v>
      </c>
      <c r="D2426" s="12">
        <v>1570922</v>
      </c>
      <c r="E2426" s="12" t="s">
        <v>3940</v>
      </c>
      <c r="F2426" s="12">
        <v>1</v>
      </c>
      <c r="G2426" s="41" t="s">
        <v>139</v>
      </c>
      <c r="H2426" s="12" t="s">
        <v>6445</v>
      </c>
      <c r="I2426" s="41" t="s">
        <v>7736</v>
      </c>
      <c r="M2426" s="41" t="e">
        <f>VLOOKUP(I2426,错误mRNA总表!D:I,6,FALSE)</f>
        <v>#N/A</v>
      </c>
    </row>
    <row r="2427" spans="1:13" x14ac:dyDescent="0.2">
      <c r="A2427" s="12" t="s">
        <v>4392</v>
      </c>
      <c r="B2427" s="12" t="s">
        <v>3964</v>
      </c>
      <c r="C2427" s="12">
        <v>2234284</v>
      </c>
      <c r="D2427" s="12">
        <v>2252155</v>
      </c>
      <c r="E2427" s="12" t="s">
        <v>3943</v>
      </c>
      <c r="F2427" s="12">
        <v>1</v>
      </c>
      <c r="H2427" s="12" t="s">
        <v>3421</v>
      </c>
      <c r="I2427" s="41" t="s">
        <v>7737</v>
      </c>
      <c r="M2427" s="41" t="e">
        <f>VLOOKUP(I2427,错误mRNA总表!D:I,6,FALSE)</f>
        <v>#N/A</v>
      </c>
    </row>
    <row r="2428" spans="1:13" x14ac:dyDescent="0.2">
      <c r="A2428" s="12" t="s">
        <v>4392</v>
      </c>
      <c r="B2428" s="12" t="s">
        <v>3964</v>
      </c>
      <c r="C2428" s="12">
        <v>2234284</v>
      </c>
      <c r="D2428" s="12">
        <v>2252167</v>
      </c>
      <c r="E2428" s="12" t="s">
        <v>3940</v>
      </c>
      <c r="F2428" s="12">
        <v>1</v>
      </c>
      <c r="H2428" s="12" t="s">
        <v>3421</v>
      </c>
      <c r="I2428" s="41" t="s">
        <v>7737</v>
      </c>
      <c r="M2428" s="41" t="e">
        <f>VLOOKUP(I2428,错误mRNA总表!D:I,6,FALSE)</f>
        <v>#N/A</v>
      </c>
    </row>
    <row r="2429" spans="1:13" x14ac:dyDescent="0.2">
      <c r="A2429" s="12" t="s">
        <v>4392</v>
      </c>
      <c r="B2429" s="12" t="s">
        <v>3964</v>
      </c>
      <c r="C2429" s="12">
        <v>2234284</v>
      </c>
      <c r="D2429" s="12">
        <v>2252171</v>
      </c>
      <c r="E2429" s="12" t="s">
        <v>3943</v>
      </c>
      <c r="F2429" s="12">
        <v>1</v>
      </c>
      <c r="H2429" s="12" t="s">
        <v>3421</v>
      </c>
      <c r="I2429" s="41" t="s">
        <v>7737</v>
      </c>
      <c r="M2429" s="41" t="e">
        <f>VLOOKUP(I2429,错误mRNA总表!D:I,6,FALSE)</f>
        <v>#N/A</v>
      </c>
    </row>
    <row r="2430" spans="1:13" x14ac:dyDescent="0.2">
      <c r="A2430" s="12" t="s">
        <v>4392</v>
      </c>
      <c r="B2430" s="12" t="s">
        <v>3964</v>
      </c>
      <c r="C2430" s="12">
        <v>2234284</v>
      </c>
      <c r="D2430" s="12">
        <v>2254632</v>
      </c>
      <c r="E2430" s="12" t="s">
        <v>3943</v>
      </c>
      <c r="F2430" s="12">
        <v>1</v>
      </c>
      <c r="H2430" s="12" t="s">
        <v>3421</v>
      </c>
      <c r="I2430" s="41" t="s">
        <v>7737</v>
      </c>
      <c r="M2430" s="41" t="e">
        <f>VLOOKUP(I2430,错误mRNA总表!D:I,6,FALSE)</f>
        <v>#N/A</v>
      </c>
    </row>
    <row r="2431" spans="1:13" x14ac:dyDescent="0.2">
      <c r="A2431" s="12" t="s">
        <v>4392</v>
      </c>
      <c r="B2431" s="12" t="s">
        <v>3964</v>
      </c>
      <c r="C2431" s="12">
        <v>2234284</v>
      </c>
      <c r="D2431" s="12">
        <v>2254639</v>
      </c>
      <c r="E2431" s="12" t="s">
        <v>3943</v>
      </c>
      <c r="F2431" s="12">
        <v>1</v>
      </c>
      <c r="H2431" s="12" t="s">
        <v>3421</v>
      </c>
      <c r="I2431" s="41" t="s">
        <v>7737</v>
      </c>
      <c r="M2431" s="41" t="e">
        <f>VLOOKUP(I2431,错误mRNA总表!D:I,6,FALSE)</f>
        <v>#N/A</v>
      </c>
    </row>
    <row r="2432" spans="1:13" x14ac:dyDescent="0.2">
      <c r="A2432" s="12" t="s">
        <v>4392</v>
      </c>
      <c r="B2432" s="12" t="s">
        <v>3964</v>
      </c>
      <c r="C2432" s="12">
        <v>2234284</v>
      </c>
      <c r="D2432" s="12">
        <v>2254645</v>
      </c>
      <c r="E2432" s="12" t="s">
        <v>3943</v>
      </c>
      <c r="F2432" s="12">
        <v>1</v>
      </c>
      <c r="H2432" s="12" t="s">
        <v>3421</v>
      </c>
      <c r="I2432" s="41" t="s">
        <v>7737</v>
      </c>
      <c r="M2432" s="41" t="e">
        <f>VLOOKUP(I2432,错误mRNA总表!D:I,6,FALSE)</f>
        <v>#N/A</v>
      </c>
    </row>
    <row r="2433" spans="1:13" x14ac:dyDescent="0.2">
      <c r="A2433" s="12" t="s">
        <v>5182</v>
      </c>
      <c r="B2433" s="12" t="s">
        <v>3999</v>
      </c>
      <c r="C2433" s="12">
        <v>489200</v>
      </c>
      <c r="D2433" s="12">
        <v>498976</v>
      </c>
      <c r="E2433" s="12" t="s">
        <v>3940</v>
      </c>
      <c r="F2433" s="12">
        <v>22</v>
      </c>
      <c r="H2433" s="12" t="s">
        <v>6161</v>
      </c>
      <c r="I2433" s="41" t="s">
        <v>7738</v>
      </c>
      <c r="M2433" s="41" t="e">
        <f>VLOOKUP(I2433,错误mRNA总表!D:I,6,FALSE)</f>
        <v>#N/A</v>
      </c>
    </row>
    <row r="2434" spans="1:13" x14ac:dyDescent="0.2">
      <c r="A2434" s="12" t="s">
        <v>5182</v>
      </c>
      <c r="B2434" s="12" t="s">
        <v>3999</v>
      </c>
      <c r="C2434" s="12">
        <v>489200</v>
      </c>
      <c r="D2434" s="12">
        <v>498988</v>
      </c>
      <c r="E2434" s="12" t="s">
        <v>3940</v>
      </c>
      <c r="F2434" s="12">
        <v>17</v>
      </c>
      <c r="H2434" s="12" t="s">
        <v>6161</v>
      </c>
      <c r="I2434" s="41" t="s">
        <v>7738</v>
      </c>
      <c r="M2434" s="41" t="e">
        <f>VLOOKUP(I2434,错误mRNA总表!D:I,6,FALSE)</f>
        <v>#N/A</v>
      </c>
    </row>
    <row r="2435" spans="1:13" x14ac:dyDescent="0.2">
      <c r="A2435" s="12" t="s">
        <v>5182</v>
      </c>
      <c r="B2435" s="12" t="s">
        <v>3999</v>
      </c>
      <c r="C2435" s="12">
        <v>489200</v>
      </c>
      <c r="D2435" s="12">
        <v>499165</v>
      </c>
      <c r="E2435" s="12" t="s">
        <v>3940</v>
      </c>
      <c r="F2435" s="12">
        <v>148</v>
      </c>
      <c r="H2435" s="12" t="s">
        <v>6161</v>
      </c>
      <c r="I2435" s="41" t="s">
        <v>7738</v>
      </c>
      <c r="M2435" s="41" t="e">
        <f>VLOOKUP(I2435,错误mRNA总表!D:I,6,FALSE)</f>
        <v>#N/A</v>
      </c>
    </row>
    <row r="2436" spans="1:13" x14ac:dyDescent="0.2">
      <c r="A2436" s="12" t="s">
        <v>5182</v>
      </c>
      <c r="B2436" s="12" t="s">
        <v>3999</v>
      </c>
      <c r="C2436" s="12">
        <v>489200</v>
      </c>
      <c r="D2436" s="12">
        <v>499153</v>
      </c>
      <c r="E2436" s="12" t="s">
        <v>3943</v>
      </c>
      <c r="F2436" s="12">
        <v>2</v>
      </c>
      <c r="H2436" s="12" t="s">
        <v>6161</v>
      </c>
      <c r="I2436" s="41" t="s">
        <v>7738</v>
      </c>
      <c r="M2436" s="41" t="e">
        <f>VLOOKUP(I2436,错误mRNA总表!D:I,6,FALSE)</f>
        <v>#N/A</v>
      </c>
    </row>
    <row r="2437" spans="1:13" x14ac:dyDescent="0.2">
      <c r="A2437" s="12" t="s">
        <v>5182</v>
      </c>
      <c r="B2437" s="12" t="s">
        <v>3999</v>
      </c>
      <c r="C2437" s="12">
        <v>489200</v>
      </c>
      <c r="D2437" s="12">
        <v>499352</v>
      </c>
      <c r="E2437" s="12" t="s">
        <v>3940</v>
      </c>
      <c r="F2437" s="12">
        <v>1</v>
      </c>
      <c r="H2437" s="12" t="s">
        <v>6161</v>
      </c>
      <c r="I2437" s="41" t="s">
        <v>7738</v>
      </c>
      <c r="M2437" s="41" t="e">
        <f>VLOOKUP(I2437,错误mRNA总表!D:I,6,FALSE)</f>
        <v>#N/A</v>
      </c>
    </row>
    <row r="2438" spans="1:13" x14ac:dyDescent="0.2">
      <c r="A2438" s="12" t="s">
        <v>5182</v>
      </c>
      <c r="B2438" s="12" t="s">
        <v>3999</v>
      </c>
      <c r="C2438" s="12">
        <v>489200</v>
      </c>
      <c r="D2438" s="12">
        <v>499365</v>
      </c>
      <c r="E2438" s="12" t="s">
        <v>3940</v>
      </c>
      <c r="F2438" s="12">
        <v>1</v>
      </c>
      <c r="H2438" s="12" t="s">
        <v>6161</v>
      </c>
      <c r="I2438" s="41" t="s">
        <v>7738</v>
      </c>
      <c r="M2438" s="41" t="e">
        <f>VLOOKUP(I2438,错误mRNA总表!D:I,6,FALSE)</f>
        <v>#N/A</v>
      </c>
    </row>
    <row r="2439" spans="1:13" x14ac:dyDescent="0.2">
      <c r="A2439" s="12" t="s">
        <v>5183</v>
      </c>
      <c r="B2439" s="12" t="s">
        <v>3942</v>
      </c>
      <c r="C2439" s="12">
        <v>77656339</v>
      </c>
      <c r="D2439" s="12">
        <v>77745854</v>
      </c>
      <c r="E2439" s="12" t="s">
        <v>3940</v>
      </c>
      <c r="F2439" s="12">
        <v>1</v>
      </c>
      <c r="G2439" s="41" t="s">
        <v>186</v>
      </c>
      <c r="H2439" s="12" t="s">
        <v>205</v>
      </c>
      <c r="I2439" s="41" t="s">
        <v>2192</v>
      </c>
      <c r="J2439" s="41" t="s">
        <v>2192</v>
      </c>
      <c r="K2439" s="41" t="str">
        <f>VLOOKUP(J2439,错误mRNA总表!D:J,7,FALSE)</f>
        <v>纠后正确</v>
      </c>
      <c r="L2439" s="41" t="s">
        <v>3763</v>
      </c>
      <c r="M2439" s="41">
        <f>VLOOKUP(I2439,错误mRNA总表!D:I,6,FALSE)</f>
        <v>0</v>
      </c>
    </row>
    <row r="2440" spans="1:13" x14ac:dyDescent="0.2">
      <c r="A2440" s="12" t="s">
        <v>5184</v>
      </c>
      <c r="B2440" s="12" t="s">
        <v>3986</v>
      </c>
      <c r="C2440" s="12">
        <v>54818353</v>
      </c>
      <c r="D2440" s="12">
        <v>54818525</v>
      </c>
      <c r="E2440" s="12" t="s">
        <v>3943</v>
      </c>
      <c r="F2440" s="12">
        <v>2</v>
      </c>
      <c r="G2440" s="41" t="s">
        <v>50</v>
      </c>
      <c r="H2440" s="12" t="s">
        <v>3658</v>
      </c>
      <c r="I2440" s="41" t="s">
        <v>7739</v>
      </c>
      <c r="M2440" s="41" t="e">
        <f>VLOOKUP(I2440,错误mRNA总表!D:I,6,FALSE)</f>
        <v>#N/A</v>
      </c>
    </row>
    <row r="2441" spans="1:13" x14ac:dyDescent="0.2">
      <c r="A2441" s="12" t="s">
        <v>3988</v>
      </c>
      <c r="B2441" s="12" t="s">
        <v>3996</v>
      </c>
      <c r="C2441" s="12">
        <v>2646867</v>
      </c>
      <c r="D2441" s="12">
        <v>2648332</v>
      </c>
      <c r="E2441" s="12" t="s">
        <v>3943</v>
      </c>
      <c r="F2441" s="12">
        <v>6</v>
      </c>
      <c r="H2441" s="12" t="s">
        <v>5778</v>
      </c>
      <c r="I2441" s="41" t="s">
        <v>7740</v>
      </c>
      <c r="M2441" s="41" t="e">
        <f>VLOOKUP(I2441,错误mRNA总表!D:I,6,FALSE)</f>
        <v>#N/A</v>
      </c>
    </row>
    <row r="2442" spans="1:13" x14ac:dyDescent="0.2">
      <c r="A2442" s="12" t="s">
        <v>3988</v>
      </c>
      <c r="B2442" s="12" t="s">
        <v>3996</v>
      </c>
      <c r="C2442" s="12">
        <v>2646867</v>
      </c>
      <c r="D2442" s="12">
        <v>2648381</v>
      </c>
      <c r="E2442" s="12" t="s">
        <v>3943</v>
      </c>
      <c r="F2442" s="12">
        <v>2</v>
      </c>
      <c r="H2442" s="12" t="s">
        <v>5778</v>
      </c>
      <c r="I2442" s="41" t="s">
        <v>7740</v>
      </c>
      <c r="M2442" s="41" t="e">
        <f>VLOOKUP(I2442,错误mRNA总表!D:I,6,FALSE)</f>
        <v>#N/A</v>
      </c>
    </row>
    <row r="2443" spans="1:13" x14ac:dyDescent="0.2">
      <c r="A2443" s="12" t="s">
        <v>3988</v>
      </c>
      <c r="B2443" s="12" t="s">
        <v>3996</v>
      </c>
      <c r="C2443" s="12">
        <v>2646867</v>
      </c>
      <c r="D2443" s="12">
        <v>2648881</v>
      </c>
      <c r="E2443" s="12" t="s">
        <v>3943</v>
      </c>
      <c r="F2443" s="12">
        <v>3</v>
      </c>
      <c r="H2443" s="12" t="s">
        <v>5778</v>
      </c>
      <c r="I2443" s="41" t="s">
        <v>7740</v>
      </c>
      <c r="M2443" s="41" t="e">
        <f>VLOOKUP(I2443,错误mRNA总表!D:I,6,FALSE)</f>
        <v>#N/A</v>
      </c>
    </row>
    <row r="2444" spans="1:13" x14ac:dyDescent="0.2">
      <c r="A2444" s="12" t="s">
        <v>3988</v>
      </c>
      <c r="B2444" s="12" t="s">
        <v>3996</v>
      </c>
      <c r="C2444" s="12">
        <v>2646867</v>
      </c>
      <c r="D2444" s="12">
        <v>2649205</v>
      </c>
      <c r="E2444" s="12" t="s">
        <v>3940</v>
      </c>
      <c r="F2444" s="12">
        <v>1</v>
      </c>
      <c r="H2444" s="12" t="s">
        <v>5778</v>
      </c>
      <c r="I2444" s="41" t="s">
        <v>7740</v>
      </c>
      <c r="M2444" s="41" t="e">
        <f>VLOOKUP(I2444,错误mRNA总表!D:I,6,FALSE)</f>
        <v>#N/A</v>
      </c>
    </row>
    <row r="2445" spans="1:13" x14ac:dyDescent="0.2">
      <c r="A2445" s="12" t="s">
        <v>3988</v>
      </c>
      <c r="B2445" s="12" t="s">
        <v>3996</v>
      </c>
      <c r="C2445" s="12">
        <v>2646867</v>
      </c>
      <c r="D2445" s="12">
        <v>2649486</v>
      </c>
      <c r="E2445" s="12" t="s">
        <v>3943</v>
      </c>
      <c r="F2445" s="12">
        <v>3</v>
      </c>
      <c r="H2445" s="12" t="s">
        <v>5778</v>
      </c>
      <c r="I2445" s="41" t="s">
        <v>7740</v>
      </c>
      <c r="M2445" s="41" t="e">
        <f>VLOOKUP(I2445,错误mRNA总表!D:I,6,FALSE)</f>
        <v>#N/A</v>
      </c>
    </row>
    <row r="2446" spans="1:13" x14ac:dyDescent="0.2">
      <c r="A2446" s="12" t="s">
        <v>5185</v>
      </c>
      <c r="B2446" s="12" t="s">
        <v>3984</v>
      </c>
      <c r="C2446" s="12">
        <v>3381593</v>
      </c>
      <c r="D2446" s="12">
        <v>3381690</v>
      </c>
      <c r="E2446" s="12" t="s">
        <v>3940</v>
      </c>
      <c r="F2446" s="12">
        <v>1</v>
      </c>
      <c r="H2446" s="12" t="s">
        <v>6162</v>
      </c>
      <c r="I2446" s="41" t="s">
        <v>7741</v>
      </c>
      <c r="M2446" s="41" t="e">
        <f>VLOOKUP(I2446,错误mRNA总表!D:I,6,FALSE)</f>
        <v>#N/A</v>
      </c>
    </row>
    <row r="2447" spans="1:13" x14ac:dyDescent="0.2">
      <c r="A2447" s="12" t="s">
        <v>5186</v>
      </c>
      <c r="B2447" s="12" t="s">
        <v>3984</v>
      </c>
      <c r="C2447" s="12">
        <v>3161186</v>
      </c>
      <c r="D2447" s="12">
        <v>3163526</v>
      </c>
      <c r="E2447" s="12" t="s">
        <v>3943</v>
      </c>
      <c r="F2447" s="12">
        <v>2</v>
      </c>
      <c r="H2447" s="12" t="s">
        <v>3574</v>
      </c>
      <c r="I2447" s="41" t="s">
        <v>7742</v>
      </c>
      <c r="M2447" s="41" t="e">
        <f>VLOOKUP(I2447,错误mRNA总表!D:I,6,FALSE)</f>
        <v>#N/A</v>
      </c>
    </row>
    <row r="2448" spans="1:13" x14ac:dyDescent="0.2">
      <c r="A2448" s="12" t="s">
        <v>5187</v>
      </c>
      <c r="B2448" s="12" t="s">
        <v>4035</v>
      </c>
      <c r="C2448" s="12">
        <v>20532848</v>
      </c>
      <c r="D2448" s="12">
        <v>20664046</v>
      </c>
      <c r="E2448" s="12" t="s">
        <v>3940</v>
      </c>
      <c r="F2448" s="12">
        <v>1</v>
      </c>
      <c r="G2448" s="41" t="s">
        <v>106</v>
      </c>
      <c r="H2448" s="12" t="s">
        <v>6446</v>
      </c>
      <c r="I2448" s="41" t="s">
        <v>7743</v>
      </c>
      <c r="M2448" s="41" t="e">
        <f>VLOOKUP(I2448,错误mRNA总表!D:I,6,FALSE)</f>
        <v>#N/A</v>
      </c>
    </row>
    <row r="2449" spans="1:13" x14ac:dyDescent="0.2">
      <c r="A2449" s="12" t="s">
        <v>4573</v>
      </c>
      <c r="B2449" s="12" t="s">
        <v>3984</v>
      </c>
      <c r="C2449" s="12">
        <v>2317378</v>
      </c>
      <c r="D2449" s="12">
        <v>2318458</v>
      </c>
      <c r="E2449" s="12" t="s">
        <v>3940</v>
      </c>
      <c r="F2449" s="12">
        <v>137</v>
      </c>
      <c r="H2449" s="12" t="s">
        <v>6404</v>
      </c>
      <c r="I2449" s="41" t="s">
        <v>7744</v>
      </c>
      <c r="M2449" s="41" t="e">
        <f>VLOOKUP(I2449,错误mRNA总表!D:I,6,FALSE)</f>
        <v>#N/A</v>
      </c>
    </row>
    <row r="2450" spans="1:13" x14ac:dyDescent="0.2">
      <c r="A2450" s="12" t="s">
        <v>4573</v>
      </c>
      <c r="B2450" s="12" t="s">
        <v>3984</v>
      </c>
      <c r="C2450" s="12">
        <v>2317378</v>
      </c>
      <c r="D2450" s="12">
        <v>2318447</v>
      </c>
      <c r="E2450" s="12" t="s">
        <v>3943</v>
      </c>
      <c r="F2450" s="12">
        <v>1</v>
      </c>
      <c r="H2450" s="12" t="s">
        <v>6404</v>
      </c>
      <c r="I2450" s="41" t="s">
        <v>7744</v>
      </c>
      <c r="M2450" s="41" t="e">
        <f>VLOOKUP(I2450,错误mRNA总表!D:I,6,FALSE)</f>
        <v>#N/A</v>
      </c>
    </row>
    <row r="2451" spans="1:13" x14ac:dyDescent="0.2">
      <c r="A2451" s="12" t="s">
        <v>4573</v>
      </c>
      <c r="B2451" s="12" t="s">
        <v>3984</v>
      </c>
      <c r="C2451" s="12">
        <v>2317378</v>
      </c>
      <c r="D2451" s="12">
        <v>2319426</v>
      </c>
      <c r="E2451" s="12" t="s">
        <v>3943</v>
      </c>
      <c r="F2451" s="12">
        <v>1</v>
      </c>
      <c r="H2451" s="12" t="s">
        <v>6404</v>
      </c>
      <c r="I2451" s="41" t="s">
        <v>7744</v>
      </c>
      <c r="M2451" s="41" t="e">
        <f>VLOOKUP(I2451,错误mRNA总表!D:I,6,FALSE)</f>
        <v>#N/A</v>
      </c>
    </row>
    <row r="2452" spans="1:13" x14ac:dyDescent="0.2">
      <c r="A2452" s="12" t="s">
        <v>4573</v>
      </c>
      <c r="B2452" s="12" t="s">
        <v>3984</v>
      </c>
      <c r="C2452" s="12">
        <v>2317378</v>
      </c>
      <c r="D2452" s="12">
        <v>2319441</v>
      </c>
      <c r="E2452" s="12" t="s">
        <v>3943</v>
      </c>
      <c r="F2452" s="12">
        <v>3</v>
      </c>
      <c r="H2452" s="12" t="s">
        <v>6404</v>
      </c>
      <c r="I2452" s="41" t="s">
        <v>7744</v>
      </c>
      <c r="M2452" s="41" t="e">
        <f>VLOOKUP(I2452,错误mRNA总表!D:I,6,FALSE)</f>
        <v>#N/A</v>
      </c>
    </row>
    <row r="2453" spans="1:13" x14ac:dyDescent="0.2">
      <c r="A2453" s="12" t="s">
        <v>4573</v>
      </c>
      <c r="B2453" s="12" t="s">
        <v>3984</v>
      </c>
      <c r="C2453" s="12">
        <v>2317378</v>
      </c>
      <c r="D2453" s="12">
        <v>2319602</v>
      </c>
      <c r="E2453" s="12" t="s">
        <v>3943</v>
      </c>
      <c r="F2453" s="12">
        <v>1</v>
      </c>
      <c r="H2453" s="12" t="s">
        <v>6404</v>
      </c>
      <c r="I2453" s="41" t="s">
        <v>7744</v>
      </c>
      <c r="M2453" s="41" t="e">
        <f>VLOOKUP(I2453,错误mRNA总表!D:I,6,FALSE)</f>
        <v>#N/A</v>
      </c>
    </row>
    <row r="2454" spans="1:13" x14ac:dyDescent="0.2">
      <c r="A2454" s="12" t="s">
        <v>4573</v>
      </c>
      <c r="B2454" s="12" t="s">
        <v>3984</v>
      </c>
      <c r="C2454" s="12">
        <v>2317378</v>
      </c>
      <c r="D2454" s="12">
        <v>2320078</v>
      </c>
      <c r="E2454" s="12" t="s">
        <v>3940</v>
      </c>
      <c r="F2454" s="12">
        <v>4</v>
      </c>
      <c r="H2454" s="12" t="s">
        <v>6404</v>
      </c>
      <c r="I2454" s="41" t="s">
        <v>7744</v>
      </c>
      <c r="M2454" s="41" t="e">
        <f>VLOOKUP(I2454,错误mRNA总表!D:I,6,FALSE)</f>
        <v>#N/A</v>
      </c>
    </row>
    <row r="2455" spans="1:13" x14ac:dyDescent="0.2">
      <c r="A2455" s="12" t="s">
        <v>5188</v>
      </c>
      <c r="B2455" s="12" t="s">
        <v>3942</v>
      </c>
      <c r="C2455" s="12">
        <v>175810940</v>
      </c>
      <c r="D2455" s="12">
        <v>175811094</v>
      </c>
      <c r="E2455" s="12" t="s">
        <v>3940</v>
      </c>
      <c r="F2455" s="12">
        <v>2</v>
      </c>
      <c r="G2455" s="41" t="s">
        <v>186</v>
      </c>
      <c r="H2455" s="12" t="s">
        <v>6454</v>
      </c>
      <c r="I2455" s="41" t="s">
        <v>7745</v>
      </c>
      <c r="M2455" s="41" t="e">
        <f>VLOOKUP(I2455,错误mRNA总表!D:I,6,FALSE)</f>
        <v>#N/A</v>
      </c>
    </row>
    <row r="2456" spans="1:13" x14ac:dyDescent="0.2">
      <c r="A2456" s="12" t="s">
        <v>5189</v>
      </c>
      <c r="B2456" s="12" t="s">
        <v>3952</v>
      </c>
      <c r="C2456" s="12">
        <v>248805</v>
      </c>
      <c r="D2456" s="12">
        <v>253362</v>
      </c>
      <c r="E2456" s="12" t="s">
        <v>3940</v>
      </c>
      <c r="F2456" s="12">
        <v>1066</v>
      </c>
      <c r="H2456" s="12" t="s">
        <v>3471</v>
      </c>
      <c r="I2456" s="41" t="s">
        <v>6758</v>
      </c>
      <c r="M2456" s="41" t="e">
        <f>VLOOKUP(I2456,错误mRNA总表!D:I,6,FALSE)</f>
        <v>#N/A</v>
      </c>
    </row>
    <row r="2457" spans="1:13" x14ac:dyDescent="0.2">
      <c r="A2457" s="12" t="s">
        <v>5189</v>
      </c>
      <c r="B2457" s="12" t="s">
        <v>3952</v>
      </c>
      <c r="C2457" s="12">
        <v>248805</v>
      </c>
      <c r="D2457" s="12">
        <v>279658</v>
      </c>
      <c r="E2457" s="12" t="s">
        <v>3940</v>
      </c>
      <c r="F2457" s="12">
        <v>4</v>
      </c>
      <c r="H2457" s="12" t="s">
        <v>3471</v>
      </c>
      <c r="I2457" s="41" t="s">
        <v>6758</v>
      </c>
      <c r="M2457" s="41" t="e">
        <f>VLOOKUP(I2457,错误mRNA总表!D:I,6,FALSE)</f>
        <v>#N/A</v>
      </c>
    </row>
    <row r="2458" spans="1:13" x14ac:dyDescent="0.2">
      <c r="A2458" s="12" t="s">
        <v>5189</v>
      </c>
      <c r="B2458" s="12" t="s">
        <v>3952</v>
      </c>
      <c r="C2458" s="12">
        <v>248805</v>
      </c>
      <c r="D2458" s="12">
        <v>248840</v>
      </c>
      <c r="E2458" s="12" t="s">
        <v>3940</v>
      </c>
      <c r="F2458" s="12">
        <v>2</v>
      </c>
      <c r="H2458" s="12" t="s">
        <v>3471</v>
      </c>
      <c r="I2458" s="41" t="s">
        <v>6758</v>
      </c>
      <c r="M2458" s="41" t="e">
        <f>VLOOKUP(I2458,错误mRNA总表!D:I,6,FALSE)</f>
        <v>#N/A</v>
      </c>
    </row>
    <row r="2459" spans="1:13" x14ac:dyDescent="0.2">
      <c r="A2459" s="12" t="s">
        <v>3988</v>
      </c>
      <c r="B2459" s="12" t="s">
        <v>3969</v>
      </c>
      <c r="C2459" s="12">
        <v>2429238</v>
      </c>
      <c r="D2459" s="12">
        <v>2430703</v>
      </c>
      <c r="E2459" s="12" t="s">
        <v>3943</v>
      </c>
      <c r="F2459" s="12">
        <v>6</v>
      </c>
      <c r="H2459" s="12" t="s">
        <v>5778</v>
      </c>
      <c r="I2459" s="41" t="s">
        <v>7746</v>
      </c>
      <c r="M2459" s="41" t="e">
        <f>VLOOKUP(I2459,错误mRNA总表!D:I,6,FALSE)</f>
        <v>#N/A</v>
      </c>
    </row>
    <row r="2460" spans="1:13" x14ac:dyDescent="0.2">
      <c r="A2460" s="12" t="s">
        <v>3988</v>
      </c>
      <c r="B2460" s="12" t="s">
        <v>3969</v>
      </c>
      <c r="C2460" s="12">
        <v>2429238</v>
      </c>
      <c r="D2460" s="12">
        <v>2430752</v>
      </c>
      <c r="E2460" s="12" t="s">
        <v>3943</v>
      </c>
      <c r="F2460" s="12">
        <v>2</v>
      </c>
      <c r="H2460" s="12" t="s">
        <v>5778</v>
      </c>
      <c r="I2460" s="41" t="s">
        <v>7746</v>
      </c>
      <c r="M2460" s="41" t="e">
        <f>VLOOKUP(I2460,错误mRNA总表!D:I,6,FALSE)</f>
        <v>#N/A</v>
      </c>
    </row>
    <row r="2461" spans="1:13" x14ac:dyDescent="0.2">
      <c r="A2461" s="12" t="s">
        <v>3988</v>
      </c>
      <c r="B2461" s="12" t="s">
        <v>3969</v>
      </c>
      <c r="C2461" s="12">
        <v>2429238</v>
      </c>
      <c r="D2461" s="12">
        <v>2431252</v>
      </c>
      <c r="E2461" s="12" t="s">
        <v>3943</v>
      </c>
      <c r="F2461" s="12">
        <v>3</v>
      </c>
      <c r="H2461" s="12" t="s">
        <v>5778</v>
      </c>
      <c r="I2461" s="41" t="s">
        <v>7746</v>
      </c>
      <c r="M2461" s="41" t="e">
        <f>VLOOKUP(I2461,错误mRNA总表!D:I,6,FALSE)</f>
        <v>#N/A</v>
      </c>
    </row>
    <row r="2462" spans="1:13" x14ac:dyDescent="0.2">
      <c r="A2462" s="12" t="s">
        <v>3988</v>
      </c>
      <c r="B2462" s="12" t="s">
        <v>3969</v>
      </c>
      <c r="C2462" s="12">
        <v>2429238</v>
      </c>
      <c r="D2462" s="12">
        <v>2431576</v>
      </c>
      <c r="E2462" s="12" t="s">
        <v>3940</v>
      </c>
      <c r="F2462" s="12">
        <v>1</v>
      </c>
      <c r="H2462" s="12" t="s">
        <v>5778</v>
      </c>
      <c r="I2462" s="41" t="s">
        <v>7746</v>
      </c>
      <c r="M2462" s="41" t="e">
        <f>VLOOKUP(I2462,错误mRNA总表!D:I,6,FALSE)</f>
        <v>#N/A</v>
      </c>
    </row>
    <row r="2463" spans="1:13" x14ac:dyDescent="0.2">
      <c r="A2463" s="12" t="s">
        <v>3988</v>
      </c>
      <c r="B2463" s="12" t="s">
        <v>3969</v>
      </c>
      <c r="C2463" s="12">
        <v>2429238</v>
      </c>
      <c r="D2463" s="12">
        <v>2431857</v>
      </c>
      <c r="E2463" s="12" t="s">
        <v>3943</v>
      </c>
      <c r="F2463" s="12">
        <v>3</v>
      </c>
      <c r="H2463" s="12" t="s">
        <v>5778</v>
      </c>
      <c r="I2463" s="41" t="s">
        <v>7746</v>
      </c>
      <c r="M2463" s="41" t="e">
        <f>VLOOKUP(I2463,错误mRNA总表!D:I,6,FALSE)</f>
        <v>#N/A</v>
      </c>
    </row>
    <row r="2464" spans="1:13" x14ac:dyDescent="0.2">
      <c r="A2464" s="12" t="s">
        <v>5190</v>
      </c>
      <c r="B2464" s="12" t="s">
        <v>3957</v>
      </c>
      <c r="C2464" s="12">
        <v>46638826</v>
      </c>
      <c r="D2464" s="12">
        <v>46694313</v>
      </c>
      <c r="E2464" s="12" t="s">
        <v>3943</v>
      </c>
      <c r="F2464" s="12">
        <v>2</v>
      </c>
      <c r="G2464" s="41" t="s">
        <v>36</v>
      </c>
      <c r="H2464" s="12" t="s">
        <v>6163</v>
      </c>
      <c r="I2464" s="41" t="s">
        <v>7747</v>
      </c>
      <c r="M2464" s="41" t="e">
        <f>VLOOKUP(I2464,错误mRNA总表!D:I,6,FALSE)</f>
        <v>#N/A</v>
      </c>
    </row>
    <row r="2465" spans="1:13" x14ac:dyDescent="0.2">
      <c r="A2465" s="12" t="s">
        <v>5191</v>
      </c>
      <c r="B2465" s="12" t="s">
        <v>4306</v>
      </c>
      <c r="C2465" s="12">
        <v>6428</v>
      </c>
      <c r="D2465" s="12">
        <v>6459</v>
      </c>
      <c r="E2465" s="12" t="s">
        <v>3940</v>
      </c>
      <c r="F2465" s="12">
        <v>74</v>
      </c>
      <c r="H2465" s="12" t="s">
        <v>6164</v>
      </c>
      <c r="I2465" s="41" t="s">
        <v>7748</v>
      </c>
      <c r="M2465" s="41" t="e">
        <f>VLOOKUP(I2465,错误mRNA总表!D:I,6,FALSE)</f>
        <v>#N/A</v>
      </c>
    </row>
    <row r="2466" spans="1:13" x14ac:dyDescent="0.2">
      <c r="A2466" s="12" t="s">
        <v>5191</v>
      </c>
      <c r="B2466" s="12" t="s">
        <v>4306</v>
      </c>
      <c r="C2466" s="12">
        <v>6428</v>
      </c>
      <c r="D2466" s="12">
        <v>6433</v>
      </c>
      <c r="E2466" s="12" t="s">
        <v>3940</v>
      </c>
      <c r="F2466" s="12">
        <v>1</v>
      </c>
      <c r="H2466" s="12" t="s">
        <v>6164</v>
      </c>
      <c r="I2466" s="41" t="s">
        <v>7748</v>
      </c>
      <c r="M2466" s="41" t="e">
        <f>VLOOKUP(I2466,错误mRNA总表!D:I,6,FALSE)</f>
        <v>#N/A</v>
      </c>
    </row>
    <row r="2467" spans="1:13" x14ac:dyDescent="0.2">
      <c r="A2467" s="12" t="s">
        <v>5192</v>
      </c>
      <c r="B2467" s="12" t="s">
        <v>3957</v>
      </c>
      <c r="C2467" s="12">
        <v>69924408</v>
      </c>
      <c r="D2467" s="12">
        <v>70035001</v>
      </c>
      <c r="E2467" s="12" t="s">
        <v>3940</v>
      </c>
      <c r="F2467" s="12">
        <v>1</v>
      </c>
      <c r="G2467" s="41" t="s">
        <v>36</v>
      </c>
      <c r="H2467" s="12" t="s">
        <v>6608</v>
      </c>
      <c r="I2467" s="41" t="s">
        <v>7749</v>
      </c>
      <c r="M2467" s="41" t="e">
        <f>VLOOKUP(I2467,错误mRNA总表!D:I,6,FALSE)</f>
        <v>#N/A</v>
      </c>
    </row>
    <row r="2468" spans="1:13" x14ac:dyDescent="0.2">
      <c r="A2468" s="12" t="s">
        <v>5193</v>
      </c>
      <c r="B2468" s="12" t="s">
        <v>3948</v>
      </c>
      <c r="C2468" s="12">
        <v>74973159</v>
      </c>
      <c r="D2468" s="12">
        <v>74981182</v>
      </c>
      <c r="E2468" s="12" t="s">
        <v>3940</v>
      </c>
      <c r="F2468" s="12">
        <v>2</v>
      </c>
      <c r="G2468" s="41" t="s">
        <v>40</v>
      </c>
      <c r="H2468" s="12" t="s">
        <v>6535</v>
      </c>
      <c r="I2468" s="41" t="s">
        <v>7750</v>
      </c>
      <c r="M2468" s="41" t="e">
        <f>VLOOKUP(I2468,错误mRNA总表!D:I,6,FALSE)</f>
        <v>#N/A</v>
      </c>
    </row>
    <row r="2469" spans="1:13" x14ac:dyDescent="0.2">
      <c r="A2469" s="12" t="s">
        <v>5194</v>
      </c>
      <c r="B2469" s="12" t="s">
        <v>4001</v>
      </c>
      <c r="C2469" s="12">
        <v>2168107</v>
      </c>
      <c r="D2469" s="12">
        <v>2168855</v>
      </c>
      <c r="E2469" s="12" t="s">
        <v>3940</v>
      </c>
      <c r="F2469" s="12">
        <v>1</v>
      </c>
      <c r="H2469" s="12" t="s">
        <v>3423</v>
      </c>
      <c r="I2469" s="41" t="s">
        <v>7751</v>
      </c>
      <c r="M2469" s="41" t="e">
        <f>VLOOKUP(I2469,错误mRNA总表!D:I,6,FALSE)</f>
        <v>#N/A</v>
      </c>
    </row>
    <row r="2470" spans="1:13" x14ac:dyDescent="0.2">
      <c r="A2470" s="12" t="s">
        <v>5194</v>
      </c>
      <c r="B2470" s="12" t="s">
        <v>4001</v>
      </c>
      <c r="C2470" s="12">
        <v>2168107</v>
      </c>
      <c r="D2470" s="12">
        <v>2168864</v>
      </c>
      <c r="E2470" s="12" t="s">
        <v>3943</v>
      </c>
      <c r="F2470" s="12">
        <v>2</v>
      </c>
      <c r="H2470" s="12" t="s">
        <v>3423</v>
      </c>
      <c r="I2470" s="41" t="s">
        <v>7751</v>
      </c>
      <c r="M2470" s="41" t="e">
        <f>VLOOKUP(I2470,错误mRNA总表!D:I,6,FALSE)</f>
        <v>#N/A</v>
      </c>
    </row>
    <row r="2471" spans="1:13" x14ac:dyDescent="0.2">
      <c r="A2471" s="12" t="s">
        <v>5195</v>
      </c>
      <c r="B2471" s="12" t="s">
        <v>3957</v>
      </c>
      <c r="C2471" s="12">
        <v>46638826</v>
      </c>
      <c r="D2471" s="12">
        <v>46694313</v>
      </c>
      <c r="E2471" s="12" t="s">
        <v>3943</v>
      </c>
      <c r="F2471" s="12">
        <v>2</v>
      </c>
      <c r="G2471" s="41" t="s">
        <v>36</v>
      </c>
      <c r="H2471" s="12" t="s">
        <v>6165</v>
      </c>
      <c r="I2471" s="41" t="s">
        <v>7752</v>
      </c>
      <c r="M2471" s="41" t="e">
        <f>VLOOKUP(I2471,错误mRNA总表!D:I,6,FALSE)</f>
        <v>#N/A</v>
      </c>
    </row>
    <row r="2472" spans="1:13" x14ac:dyDescent="0.2">
      <c r="A2472" s="12" t="s">
        <v>4027</v>
      </c>
      <c r="B2472" s="12" t="s">
        <v>4098</v>
      </c>
      <c r="C2472" s="12">
        <v>248816</v>
      </c>
      <c r="D2472" s="12">
        <v>248851</v>
      </c>
      <c r="E2472" s="12" t="s">
        <v>3940</v>
      </c>
      <c r="F2472" s="12">
        <v>2</v>
      </c>
      <c r="H2472" s="12" t="s">
        <v>3654</v>
      </c>
      <c r="I2472" s="41" t="s">
        <v>7753</v>
      </c>
      <c r="M2472" s="41" t="e">
        <f>VLOOKUP(I2472,错误mRNA总表!D:I,6,FALSE)</f>
        <v>#N/A</v>
      </c>
    </row>
    <row r="2473" spans="1:13" x14ac:dyDescent="0.2">
      <c r="A2473" s="12" t="s">
        <v>5196</v>
      </c>
      <c r="B2473" s="12" t="s">
        <v>3939</v>
      </c>
      <c r="C2473" s="12">
        <v>16606122</v>
      </c>
      <c r="D2473" s="12">
        <v>16606679</v>
      </c>
      <c r="E2473" s="12" t="s">
        <v>3943</v>
      </c>
      <c r="F2473" s="12">
        <v>1</v>
      </c>
      <c r="G2473" s="41" t="s">
        <v>73</v>
      </c>
      <c r="H2473" s="12" t="s">
        <v>6191</v>
      </c>
      <c r="I2473" s="41" t="s">
        <v>7754</v>
      </c>
      <c r="M2473" s="41" t="e">
        <f>VLOOKUP(I2473,错误mRNA总表!D:I,6,FALSE)</f>
        <v>#N/A</v>
      </c>
    </row>
    <row r="2474" spans="1:13" x14ac:dyDescent="0.2">
      <c r="A2474" s="12" t="s">
        <v>5197</v>
      </c>
      <c r="B2474" s="12" t="s">
        <v>3978</v>
      </c>
      <c r="C2474" s="12">
        <v>124624289</v>
      </c>
      <c r="D2474" s="12">
        <v>124646705</v>
      </c>
      <c r="E2474" s="12" t="s">
        <v>3940</v>
      </c>
      <c r="F2474" s="12">
        <v>3</v>
      </c>
      <c r="G2474" s="41" t="s">
        <v>86</v>
      </c>
      <c r="H2474" s="12" t="s">
        <v>547</v>
      </c>
      <c r="I2474" s="41" t="s">
        <v>2238</v>
      </c>
      <c r="J2474" s="41" t="s">
        <v>2238</v>
      </c>
      <c r="K2474" s="41" t="str">
        <f>VLOOKUP(J2474,错误mRNA总表!D:J,7,FALSE)</f>
        <v>纠后正确，加1个氨基酸chr3:124627032-124646509</v>
      </c>
      <c r="L2474" s="41" t="s">
        <v>8359</v>
      </c>
      <c r="M2474" s="41">
        <f>VLOOKUP(I2474,错误mRNA总表!D:I,6,FALSE)</f>
        <v>0</v>
      </c>
    </row>
    <row r="2475" spans="1:13" x14ac:dyDescent="0.2">
      <c r="A2475" s="12" t="s">
        <v>5198</v>
      </c>
      <c r="B2475" s="12" t="s">
        <v>3942</v>
      </c>
      <c r="C2475" s="12">
        <v>87960263</v>
      </c>
      <c r="D2475" s="12">
        <v>87963272</v>
      </c>
      <c r="E2475" s="12" t="s">
        <v>3940</v>
      </c>
      <c r="F2475" s="12">
        <v>1</v>
      </c>
      <c r="G2475" s="41" t="s">
        <v>186</v>
      </c>
      <c r="H2475" s="12" t="s">
        <v>6166</v>
      </c>
      <c r="I2475" s="41" t="s">
        <v>7755</v>
      </c>
      <c r="M2475" s="41" t="e">
        <f>VLOOKUP(I2475,错误mRNA总表!D:I,6,FALSE)</f>
        <v>#N/A</v>
      </c>
    </row>
    <row r="2476" spans="1:13" x14ac:dyDescent="0.2">
      <c r="A2476" s="12" t="s">
        <v>5199</v>
      </c>
      <c r="B2476" s="12" t="s">
        <v>4052</v>
      </c>
      <c r="C2476" s="12">
        <v>97889472</v>
      </c>
      <c r="D2476" s="12">
        <v>97920100</v>
      </c>
      <c r="E2476" s="12" t="s">
        <v>3940</v>
      </c>
      <c r="F2476" s="12">
        <v>1</v>
      </c>
      <c r="G2476" s="41" t="s">
        <v>93</v>
      </c>
      <c r="H2476" s="12" t="s">
        <v>3452</v>
      </c>
      <c r="I2476" s="41" t="s">
        <v>7756</v>
      </c>
      <c r="M2476" s="41" t="e">
        <f>VLOOKUP(I2476,错误mRNA总表!D:I,6,FALSE)</f>
        <v>#N/A</v>
      </c>
    </row>
    <row r="2477" spans="1:13" x14ac:dyDescent="0.2">
      <c r="A2477" s="12" t="s">
        <v>4243</v>
      </c>
      <c r="B2477" s="12" t="s">
        <v>3969</v>
      </c>
      <c r="C2477" s="12">
        <v>2532134</v>
      </c>
      <c r="D2477" s="12">
        <v>2532290</v>
      </c>
      <c r="E2477" s="12" t="s">
        <v>3940</v>
      </c>
      <c r="F2477" s="12">
        <v>1</v>
      </c>
      <c r="H2477" s="12" t="s">
        <v>3555</v>
      </c>
      <c r="I2477" s="41" t="s">
        <v>7757</v>
      </c>
      <c r="M2477" s="41" t="e">
        <f>VLOOKUP(I2477,错误mRNA总表!D:I,6,FALSE)</f>
        <v>#N/A</v>
      </c>
    </row>
    <row r="2478" spans="1:13" x14ac:dyDescent="0.2">
      <c r="A2478" s="12" t="s">
        <v>4243</v>
      </c>
      <c r="B2478" s="12" t="s">
        <v>3969</v>
      </c>
      <c r="C2478" s="12">
        <v>2532134</v>
      </c>
      <c r="D2478" s="12">
        <v>2532322</v>
      </c>
      <c r="E2478" s="12" t="s">
        <v>3940</v>
      </c>
      <c r="F2478" s="12">
        <v>1</v>
      </c>
      <c r="H2478" s="12" t="s">
        <v>3555</v>
      </c>
      <c r="I2478" s="41" t="s">
        <v>7757</v>
      </c>
      <c r="M2478" s="41" t="e">
        <f>VLOOKUP(I2478,错误mRNA总表!D:I,6,FALSE)</f>
        <v>#N/A</v>
      </c>
    </row>
    <row r="2479" spans="1:13" x14ac:dyDescent="0.2">
      <c r="A2479" s="12" t="s">
        <v>5200</v>
      </c>
      <c r="B2479" s="12" t="s">
        <v>3973</v>
      </c>
      <c r="C2479" s="12">
        <v>1570603</v>
      </c>
      <c r="D2479" s="12">
        <v>1580625</v>
      </c>
      <c r="E2479" s="12" t="s">
        <v>3940</v>
      </c>
      <c r="F2479" s="12">
        <v>260</v>
      </c>
      <c r="G2479" s="41" t="s">
        <v>139</v>
      </c>
      <c r="H2479" s="12" t="s">
        <v>6447</v>
      </c>
      <c r="I2479" s="41" t="s">
        <v>7758</v>
      </c>
      <c r="M2479" s="41" t="e">
        <f>VLOOKUP(I2479,错误mRNA总表!D:I,6,FALSE)</f>
        <v>#N/A</v>
      </c>
    </row>
    <row r="2480" spans="1:13" x14ac:dyDescent="0.2">
      <c r="A2480" s="12" t="s">
        <v>5200</v>
      </c>
      <c r="B2480" s="12" t="s">
        <v>3973</v>
      </c>
      <c r="C2480" s="12">
        <v>1570603</v>
      </c>
      <c r="D2480" s="12">
        <v>1570917</v>
      </c>
      <c r="E2480" s="12" t="s">
        <v>3940</v>
      </c>
      <c r="F2480" s="12">
        <v>13</v>
      </c>
      <c r="G2480" s="41" t="s">
        <v>139</v>
      </c>
      <c r="H2480" s="12" t="s">
        <v>6447</v>
      </c>
      <c r="I2480" s="41" t="s">
        <v>7758</v>
      </c>
      <c r="M2480" s="41" t="e">
        <f>VLOOKUP(I2480,错误mRNA总表!D:I,6,FALSE)</f>
        <v>#N/A</v>
      </c>
    </row>
    <row r="2481" spans="1:13" x14ac:dyDescent="0.2">
      <c r="A2481" s="12" t="s">
        <v>5200</v>
      </c>
      <c r="B2481" s="12" t="s">
        <v>3973</v>
      </c>
      <c r="C2481" s="12">
        <v>1570603</v>
      </c>
      <c r="D2481" s="12">
        <v>1570922</v>
      </c>
      <c r="E2481" s="12" t="s">
        <v>3940</v>
      </c>
      <c r="F2481" s="12">
        <v>1</v>
      </c>
      <c r="G2481" s="41" t="s">
        <v>139</v>
      </c>
      <c r="H2481" s="12" t="s">
        <v>6447</v>
      </c>
      <c r="I2481" s="41" t="s">
        <v>7758</v>
      </c>
      <c r="M2481" s="41" t="e">
        <f>VLOOKUP(I2481,错误mRNA总表!D:I,6,FALSE)</f>
        <v>#N/A</v>
      </c>
    </row>
    <row r="2482" spans="1:13" x14ac:dyDescent="0.2">
      <c r="A2482" s="12" t="s">
        <v>5201</v>
      </c>
      <c r="B2482" s="12" t="s">
        <v>3984</v>
      </c>
      <c r="C2482" s="12">
        <v>1981088</v>
      </c>
      <c r="D2482" s="12">
        <v>1985232</v>
      </c>
      <c r="E2482" s="12" t="s">
        <v>3943</v>
      </c>
      <c r="F2482" s="12">
        <v>1</v>
      </c>
      <c r="H2482" s="12" t="s">
        <v>3549</v>
      </c>
      <c r="I2482" s="41" t="s">
        <v>7759</v>
      </c>
      <c r="M2482" s="41" t="e">
        <f>VLOOKUP(I2482,错误mRNA总表!D:I,6,FALSE)</f>
        <v>#N/A</v>
      </c>
    </row>
    <row r="2483" spans="1:13" x14ac:dyDescent="0.2">
      <c r="A2483" s="12" t="s">
        <v>4009</v>
      </c>
      <c r="B2483" s="12" t="s">
        <v>3969</v>
      </c>
      <c r="C2483" s="12">
        <v>3502148</v>
      </c>
      <c r="D2483" s="12">
        <v>3502185</v>
      </c>
      <c r="E2483" s="12" t="s">
        <v>3940</v>
      </c>
      <c r="F2483" s="12">
        <v>6</v>
      </c>
      <c r="H2483" s="12" t="s">
        <v>5784</v>
      </c>
      <c r="I2483" s="41" t="s">
        <v>7760</v>
      </c>
      <c r="M2483" s="41" t="e">
        <f>VLOOKUP(I2483,错误mRNA总表!D:I,6,FALSE)</f>
        <v>#N/A</v>
      </c>
    </row>
    <row r="2484" spans="1:13" x14ac:dyDescent="0.2">
      <c r="A2484" s="12" t="s">
        <v>5202</v>
      </c>
      <c r="B2484" s="12" t="s">
        <v>4124</v>
      </c>
      <c r="C2484" s="12">
        <v>95831183</v>
      </c>
      <c r="D2484" s="12">
        <v>95847046</v>
      </c>
      <c r="E2484" s="12" t="s">
        <v>3943</v>
      </c>
      <c r="F2484" s="12">
        <v>3</v>
      </c>
      <c r="G2484" s="41" t="s">
        <v>1</v>
      </c>
      <c r="H2484" s="12" t="s">
        <v>431</v>
      </c>
      <c r="I2484" s="41" t="s">
        <v>2230</v>
      </c>
      <c r="J2484" s="41" t="s">
        <v>2230</v>
      </c>
      <c r="K2484" s="41" t="str">
        <f>VLOOKUP(J2484,错误mRNA总表!D:J,7,FALSE)</f>
        <v>纠后正确，氨基酸少1个，chr2：95847047-95847854</v>
      </c>
      <c r="L2484" s="41" t="s">
        <v>8360</v>
      </c>
      <c r="M2484" s="41">
        <f>VLOOKUP(I2484,错误mRNA总表!D:I,6,FALSE)</f>
        <v>0</v>
      </c>
    </row>
    <row r="2485" spans="1:13" x14ac:dyDescent="0.2">
      <c r="A2485" s="12" t="s">
        <v>5203</v>
      </c>
      <c r="B2485" s="12" t="s">
        <v>3973</v>
      </c>
      <c r="C2485" s="12">
        <v>12884618</v>
      </c>
      <c r="D2485" s="12">
        <v>12888601</v>
      </c>
      <c r="E2485" s="12" t="s">
        <v>3940</v>
      </c>
      <c r="F2485" s="12">
        <v>1</v>
      </c>
      <c r="G2485" s="41" t="s">
        <v>139</v>
      </c>
      <c r="H2485" s="12" t="s">
        <v>6448</v>
      </c>
      <c r="I2485" s="41" t="s">
        <v>7761</v>
      </c>
      <c r="M2485" s="41" t="e">
        <f>VLOOKUP(I2485,错误mRNA总表!D:I,6,FALSE)</f>
        <v>#N/A</v>
      </c>
    </row>
    <row r="2486" spans="1:13" x14ac:dyDescent="0.2">
      <c r="A2486" s="12" t="s">
        <v>4776</v>
      </c>
      <c r="B2486" s="12" t="s">
        <v>5169</v>
      </c>
      <c r="C2486" s="12">
        <v>29958</v>
      </c>
      <c r="D2486" s="12">
        <v>30444</v>
      </c>
      <c r="E2486" s="12" t="s">
        <v>3940</v>
      </c>
      <c r="F2486" s="12">
        <v>1</v>
      </c>
      <c r="H2486" s="12" t="s">
        <v>218</v>
      </c>
      <c r="I2486" s="41" t="s">
        <v>7762</v>
      </c>
      <c r="J2486" s="41" t="s">
        <v>2173</v>
      </c>
      <c r="K2486" s="41" t="str">
        <f>VLOOKUP(J2486,错误mRNA总表!D:J,7,FALSE)</f>
        <v>纠后正确</v>
      </c>
      <c r="M2486" s="41" t="e">
        <f>VLOOKUP(I2486,错误mRNA总表!D:I,6,FALSE)</f>
        <v>#N/A</v>
      </c>
    </row>
    <row r="2487" spans="1:13" x14ac:dyDescent="0.2">
      <c r="A2487" s="12" t="s">
        <v>5204</v>
      </c>
      <c r="B2487" s="12" t="s">
        <v>3954</v>
      </c>
      <c r="C2487" s="12">
        <v>185286714</v>
      </c>
      <c r="D2487" s="12">
        <v>185287091</v>
      </c>
      <c r="E2487" s="12" t="s">
        <v>3943</v>
      </c>
      <c r="F2487" s="12">
        <v>1</v>
      </c>
      <c r="G2487" s="41" t="s">
        <v>569</v>
      </c>
      <c r="H2487" s="12" t="s">
        <v>6167</v>
      </c>
      <c r="I2487" s="41" t="s">
        <v>7763</v>
      </c>
      <c r="M2487" s="41" t="e">
        <f>VLOOKUP(I2487,错误mRNA总表!D:I,6,FALSE)</f>
        <v>#N/A</v>
      </c>
    </row>
    <row r="2488" spans="1:13" x14ac:dyDescent="0.2">
      <c r="A2488" s="12" t="s">
        <v>4853</v>
      </c>
      <c r="B2488" s="12" t="s">
        <v>4149</v>
      </c>
      <c r="C2488" s="12">
        <v>1314655</v>
      </c>
      <c r="D2488" s="12">
        <v>1318236</v>
      </c>
      <c r="E2488" s="12" t="s">
        <v>3940</v>
      </c>
      <c r="F2488" s="12">
        <v>1</v>
      </c>
      <c r="H2488" s="12" t="s">
        <v>6050</v>
      </c>
      <c r="I2488" s="41" t="s">
        <v>7764</v>
      </c>
      <c r="M2488" s="41" t="e">
        <f>VLOOKUP(I2488,错误mRNA总表!D:I,6,FALSE)</f>
        <v>#N/A</v>
      </c>
    </row>
    <row r="2489" spans="1:13" x14ac:dyDescent="0.2">
      <c r="A2489" s="12" t="s">
        <v>4132</v>
      </c>
      <c r="B2489" s="12" t="s">
        <v>3960</v>
      </c>
      <c r="C2489" s="12">
        <v>165695</v>
      </c>
      <c r="D2489" s="12">
        <v>169309</v>
      </c>
      <c r="E2489" s="12" t="s">
        <v>3943</v>
      </c>
      <c r="F2489" s="12">
        <v>3</v>
      </c>
      <c r="H2489" s="12" t="s">
        <v>5810</v>
      </c>
      <c r="I2489" s="41" t="s">
        <v>6752</v>
      </c>
      <c r="M2489" s="41" t="e">
        <f>VLOOKUP(I2489,错误mRNA总表!D:I,6,FALSE)</f>
        <v>#N/A</v>
      </c>
    </row>
    <row r="2490" spans="1:13" x14ac:dyDescent="0.2">
      <c r="A2490" s="12" t="s">
        <v>4407</v>
      </c>
      <c r="B2490" s="12" t="s">
        <v>3948</v>
      </c>
      <c r="C2490" s="12">
        <v>142560514</v>
      </c>
      <c r="D2490" s="12">
        <v>142562076</v>
      </c>
      <c r="E2490" s="12" t="s">
        <v>3940</v>
      </c>
      <c r="F2490" s="12">
        <v>3</v>
      </c>
      <c r="G2490" s="41" t="s">
        <v>40</v>
      </c>
      <c r="H2490" s="12" t="s">
        <v>3598</v>
      </c>
      <c r="I2490" s="41" t="s">
        <v>7035</v>
      </c>
      <c r="M2490" s="41" t="e">
        <f>VLOOKUP(I2490,错误mRNA总表!D:I,6,FALSE)</f>
        <v>#N/A</v>
      </c>
    </row>
    <row r="2491" spans="1:13" x14ac:dyDescent="0.2">
      <c r="A2491" s="12" t="s">
        <v>5205</v>
      </c>
      <c r="B2491" s="12" t="s">
        <v>4185</v>
      </c>
      <c r="C2491" s="12">
        <v>411511</v>
      </c>
      <c r="D2491" s="12">
        <v>413267</v>
      </c>
      <c r="E2491" s="12" t="s">
        <v>3940</v>
      </c>
      <c r="F2491" s="12">
        <v>1</v>
      </c>
      <c r="H2491" s="12" t="s">
        <v>3672</v>
      </c>
      <c r="I2491" s="41" t="s">
        <v>7765</v>
      </c>
      <c r="M2491" s="41" t="e">
        <f>VLOOKUP(I2491,错误mRNA总表!D:I,6,FALSE)</f>
        <v>#N/A</v>
      </c>
    </row>
    <row r="2492" spans="1:13" x14ac:dyDescent="0.2">
      <c r="A2492" s="12" t="s">
        <v>5205</v>
      </c>
      <c r="B2492" s="12" t="s">
        <v>4185</v>
      </c>
      <c r="C2492" s="12">
        <v>411511</v>
      </c>
      <c r="D2492" s="12">
        <v>415294</v>
      </c>
      <c r="E2492" s="12" t="s">
        <v>3943</v>
      </c>
      <c r="F2492" s="12">
        <v>1</v>
      </c>
      <c r="H2492" s="12" t="s">
        <v>3672</v>
      </c>
      <c r="I2492" s="41" t="s">
        <v>7765</v>
      </c>
      <c r="M2492" s="41" t="e">
        <f>VLOOKUP(I2492,错误mRNA总表!D:I,6,FALSE)</f>
        <v>#N/A</v>
      </c>
    </row>
    <row r="2493" spans="1:13" x14ac:dyDescent="0.2">
      <c r="A2493" s="12" t="s">
        <v>5205</v>
      </c>
      <c r="B2493" s="12" t="s">
        <v>4185</v>
      </c>
      <c r="C2493" s="12">
        <v>411511</v>
      </c>
      <c r="D2493" s="12">
        <v>416812</v>
      </c>
      <c r="E2493" s="12" t="s">
        <v>3940</v>
      </c>
      <c r="F2493" s="12">
        <v>11</v>
      </c>
      <c r="H2493" s="12" t="s">
        <v>3672</v>
      </c>
      <c r="I2493" s="41" t="s">
        <v>7765</v>
      </c>
      <c r="M2493" s="41" t="e">
        <f>VLOOKUP(I2493,错误mRNA总表!D:I,6,FALSE)</f>
        <v>#N/A</v>
      </c>
    </row>
    <row r="2494" spans="1:13" x14ac:dyDescent="0.2">
      <c r="A2494" s="12" t="s">
        <v>5109</v>
      </c>
      <c r="B2494" s="12" t="s">
        <v>3969</v>
      </c>
      <c r="C2494" s="12">
        <v>4548797</v>
      </c>
      <c r="D2494" s="12">
        <v>4549763</v>
      </c>
      <c r="E2494" s="12" t="s">
        <v>3943</v>
      </c>
      <c r="F2494" s="12">
        <v>8</v>
      </c>
      <c r="H2494" s="12" t="s">
        <v>3589</v>
      </c>
      <c r="I2494" s="41" t="s">
        <v>7766</v>
      </c>
      <c r="M2494" s="41" t="e">
        <f>VLOOKUP(I2494,错误mRNA总表!D:I,6,FALSE)</f>
        <v>#N/A</v>
      </c>
    </row>
    <row r="2495" spans="1:13" x14ac:dyDescent="0.2">
      <c r="A2495" s="12" t="s">
        <v>5109</v>
      </c>
      <c r="B2495" s="12" t="s">
        <v>3969</v>
      </c>
      <c r="C2495" s="12">
        <v>4548797</v>
      </c>
      <c r="D2495" s="12">
        <v>4550076</v>
      </c>
      <c r="E2495" s="12" t="s">
        <v>3940</v>
      </c>
      <c r="F2495" s="12">
        <v>1</v>
      </c>
      <c r="H2495" s="12" t="s">
        <v>3589</v>
      </c>
      <c r="I2495" s="41" t="s">
        <v>7766</v>
      </c>
      <c r="M2495" s="41" t="e">
        <f>VLOOKUP(I2495,错误mRNA总表!D:I,6,FALSE)</f>
        <v>#N/A</v>
      </c>
    </row>
    <row r="2496" spans="1:13" x14ac:dyDescent="0.2">
      <c r="A2496" s="12" t="s">
        <v>5206</v>
      </c>
      <c r="B2496" s="12" t="s">
        <v>3957</v>
      </c>
      <c r="C2496" s="12">
        <v>13984184</v>
      </c>
      <c r="D2496" s="12">
        <v>14101494</v>
      </c>
      <c r="E2496" s="12" t="s">
        <v>3940</v>
      </c>
      <c r="F2496" s="12">
        <v>1</v>
      </c>
      <c r="G2496" s="41" t="s">
        <v>36</v>
      </c>
      <c r="H2496" s="12" t="s">
        <v>156</v>
      </c>
      <c r="I2496" s="41" t="s">
        <v>2141</v>
      </c>
      <c r="J2496" s="41" t="s">
        <v>2141</v>
      </c>
      <c r="K2496" s="41" t="str">
        <f>VLOOKUP(J2496,错误mRNA总表!D:J,7,FALSE)</f>
        <v>纠后正确</v>
      </c>
      <c r="L2496" s="41" t="s">
        <v>3763</v>
      </c>
      <c r="M2496" s="41">
        <f>VLOOKUP(I2496,错误mRNA总表!D:I,6,FALSE)</f>
        <v>0</v>
      </c>
    </row>
    <row r="2497" spans="1:13" x14ac:dyDescent="0.2">
      <c r="A2497" s="12" t="s">
        <v>5207</v>
      </c>
      <c r="B2497" s="12" t="s">
        <v>3996</v>
      </c>
      <c r="C2497" s="12">
        <v>3591246</v>
      </c>
      <c r="D2497" s="12">
        <v>3591343</v>
      </c>
      <c r="E2497" s="12" t="s">
        <v>3943</v>
      </c>
      <c r="F2497" s="12">
        <v>1</v>
      </c>
      <c r="H2497" s="12" t="s">
        <v>6168</v>
      </c>
      <c r="I2497" s="41" t="s">
        <v>7767</v>
      </c>
      <c r="M2497" s="41" t="e">
        <f>VLOOKUP(I2497,错误mRNA总表!D:I,6,FALSE)</f>
        <v>#N/A</v>
      </c>
    </row>
    <row r="2498" spans="1:13" x14ac:dyDescent="0.2">
      <c r="A2498" s="12" t="s">
        <v>5208</v>
      </c>
      <c r="B2498" s="12" t="s">
        <v>3978</v>
      </c>
      <c r="C2498" s="12">
        <v>50305040</v>
      </c>
      <c r="D2498" s="12">
        <v>50306757</v>
      </c>
      <c r="E2498" s="12" t="s">
        <v>3940</v>
      </c>
      <c r="F2498" s="12">
        <v>1</v>
      </c>
      <c r="G2498" s="41" t="s">
        <v>86</v>
      </c>
      <c r="H2498" s="12" t="s">
        <v>188</v>
      </c>
      <c r="I2498" s="41" t="s">
        <v>2193</v>
      </c>
      <c r="J2498" s="41" t="s">
        <v>2193</v>
      </c>
      <c r="K2498" s="41" t="str">
        <f>VLOOKUP(J2498,错误mRNA总表!D:J,7,FALSE)</f>
        <v>纠后正确</v>
      </c>
      <c r="L2498" s="41" t="s">
        <v>3763</v>
      </c>
      <c r="M2498" s="41">
        <f>VLOOKUP(I2498,错误mRNA总表!D:I,6,FALSE)</f>
        <v>0</v>
      </c>
    </row>
    <row r="2499" spans="1:13" x14ac:dyDescent="0.2">
      <c r="A2499" s="12" t="s">
        <v>4509</v>
      </c>
      <c r="B2499" s="12" t="s">
        <v>3996</v>
      </c>
      <c r="C2499" s="12">
        <v>3305094</v>
      </c>
      <c r="D2499" s="12">
        <v>3307356</v>
      </c>
      <c r="E2499" s="12" t="s">
        <v>3943</v>
      </c>
      <c r="F2499" s="12">
        <v>5</v>
      </c>
      <c r="H2499" s="12" t="s">
        <v>3573</v>
      </c>
      <c r="I2499" s="41" t="s">
        <v>7768</v>
      </c>
      <c r="M2499" s="41" t="e">
        <f>VLOOKUP(I2499,错误mRNA总表!D:I,6,FALSE)</f>
        <v>#N/A</v>
      </c>
    </row>
    <row r="2500" spans="1:13" x14ac:dyDescent="0.2">
      <c r="A2500" s="12" t="s">
        <v>4509</v>
      </c>
      <c r="B2500" s="12" t="s">
        <v>3996</v>
      </c>
      <c r="C2500" s="12">
        <v>3305094</v>
      </c>
      <c r="D2500" s="12">
        <v>3307532</v>
      </c>
      <c r="E2500" s="12" t="s">
        <v>3940</v>
      </c>
      <c r="F2500" s="12">
        <v>2</v>
      </c>
      <c r="H2500" s="12" t="s">
        <v>3573</v>
      </c>
      <c r="I2500" s="41" t="s">
        <v>7768</v>
      </c>
      <c r="M2500" s="41" t="e">
        <f>VLOOKUP(I2500,错误mRNA总表!D:I,6,FALSE)</f>
        <v>#N/A</v>
      </c>
    </row>
    <row r="2501" spans="1:13" x14ac:dyDescent="0.2">
      <c r="A2501" s="12" t="s">
        <v>4971</v>
      </c>
      <c r="B2501" s="12" t="s">
        <v>4087</v>
      </c>
      <c r="C2501" s="12">
        <v>33914</v>
      </c>
      <c r="D2501" s="12">
        <v>34584</v>
      </c>
      <c r="E2501" s="12" t="s">
        <v>3940</v>
      </c>
      <c r="F2501" s="12">
        <v>21</v>
      </c>
      <c r="H2501" s="12" t="s">
        <v>3519</v>
      </c>
      <c r="I2501" s="41" t="s">
        <v>7769</v>
      </c>
      <c r="M2501" s="41" t="e">
        <f>VLOOKUP(I2501,错误mRNA总表!D:I,6,FALSE)</f>
        <v>#N/A</v>
      </c>
    </row>
    <row r="2502" spans="1:13" x14ac:dyDescent="0.2">
      <c r="A2502" s="12" t="s">
        <v>5209</v>
      </c>
      <c r="B2502" s="12" t="s">
        <v>4004</v>
      </c>
      <c r="C2502" s="12">
        <v>104311059</v>
      </c>
      <c r="D2502" s="12">
        <v>104343941</v>
      </c>
      <c r="E2502" s="12" t="s">
        <v>3943</v>
      </c>
      <c r="F2502" s="12">
        <v>1</v>
      </c>
      <c r="G2502" s="41" t="s">
        <v>103</v>
      </c>
      <c r="H2502" s="12" t="s">
        <v>6169</v>
      </c>
      <c r="I2502" s="41" t="s">
        <v>7770</v>
      </c>
      <c r="M2502" s="41" t="e">
        <f>VLOOKUP(I2502,错误mRNA总表!D:I,6,FALSE)</f>
        <v>#N/A</v>
      </c>
    </row>
    <row r="2503" spans="1:13" x14ac:dyDescent="0.2">
      <c r="A2503" s="12" t="s">
        <v>4376</v>
      </c>
      <c r="B2503" s="12" t="s">
        <v>3989</v>
      </c>
      <c r="C2503" s="12">
        <v>3038543</v>
      </c>
      <c r="D2503" s="12">
        <v>3039908</v>
      </c>
      <c r="E2503" s="12" t="s">
        <v>3940</v>
      </c>
      <c r="F2503" s="12">
        <v>754</v>
      </c>
      <c r="H2503" s="12" t="s">
        <v>5887</v>
      </c>
      <c r="I2503" s="41" t="s">
        <v>7771</v>
      </c>
      <c r="M2503" s="41" t="e">
        <f>VLOOKUP(I2503,错误mRNA总表!D:I,6,FALSE)</f>
        <v>#N/A</v>
      </c>
    </row>
    <row r="2504" spans="1:13" x14ac:dyDescent="0.2">
      <c r="A2504" s="12" t="s">
        <v>4376</v>
      </c>
      <c r="B2504" s="12" t="s">
        <v>3989</v>
      </c>
      <c r="C2504" s="12">
        <v>3038543</v>
      </c>
      <c r="D2504" s="12">
        <v>3039896</v>
      </c>
      <c r="E2504" s="12" t="s">
        <v>3943</v>
      </c>
      <c r="F2504" s="12">
        <v>3</v>
      </c>
      <c r="H2504" s="12" t="s">
        <v>5887</v>
      </c>
      <c r="I2504" s="41" t="s">
        <v>7771</v>
      </c>
      <c r="M2504" s="41" t="e">
        <f>VLOOKUP(I2504,错误mRNA总表!D:I,6,FALSE)</f>
        <v>#N/A</v>
      </c>
    </row>
    <row r="2505" spans="1:13" x14ac:dyDescent="0.2">
      <c r="A2505" s="12" t="s">
        <v>4376</v>
      </c>
      <c r="B2505" s="12" t="s">
        <v>3989</v>
      </c>
      <c r="C2505" s="12">
        <v>3038543</v>
      </c>
      <c r="D2505" s="12">
        <v>3039904</v>
      </c>
      <c r="E2505" s="12" t="s">
        <v>3940</v>
      </c>
      <c r="F2505" s="12">
        <v>3</v>
      </c>
      <c r="H2505" s="12" t="s">
        <v>5887</v>
      </c>
      <c r="I2505" s="41" t="s">
        <v>7771</v>
      </c>
      <c r="M2505" s="41" t="e">
        <f>VLOOKUP(I2505,错误mRNA总表!D:I,6,FALSE)</f>
        <v>#N/A</v>
      </c>
    </row>
    <row r="2506" spans="1:13" x14ac:dyDescent="0.2">
      <c r="A2506" s="12" t="s">
        <v>5210</v>
      </c>
      <c r="B2506" s="12" t="s">
        <v>3986</v>
      </c>
      <c r="C2506" s="12">
        <v>45010211</v>
      </c>
      <c r="D2506" s="12">
        <v>45016990</v>
      </c>
      <c r="E2506" s="12" t="s">
        <v>3943</v>
      </c>
      <c r="F2506" s="12">
        <v>1</v>
      </c>
      <c r="G2506" s="41" t="s">
        <v>50</v>
      </c>
      <c r="H2506" s="12" t="s">
        <v>59</v>
      </c>
      <c r="I2506" s="41" t="s">
        <v>2086</v>
      </c>
      <c r="J2506" s="41" t="s">
        <v>2086</v>
      </c>
      <c r="K2506" s="41" t="str">
        <f>VLOOKUP(J2506,错误mRNA总表!D:J,7,FALSE)</f>
        <v>纠后正确</v>
      </c>
      <c r="L2506" s="41" t="s">
        <v>3763</v>
      </c>
      <c r="M2506" s="41">
        <f>VLOOKUP(I2506,错误mRNA总表!D:I,6,FALSE)</f>
        <v>0</v>
      </c>
    </row>
    <row r="2507" spans="1:13" x14ac:dyDescent="0.2">
      <c r="A2507" s="12" t="s">
        <v>5211</v>
      </c>
      <c r="B2507" s="12" t="s">
        <v>3948</v>
      </c>
      <c r="C2507" s="12">
        <v>65111924</v>
      </c>
      <c r="D2507" s="12">
        <v>65112524</v>
      </c>
      <c r="E2507" s="12" t="s">
        <v>3940</v>
      </c>
      <c r="F2507" s="12">
        <v>1</v>
      </c>
      <c r="G2507" s="41" t="s">
        <v>40</v>
      </c>
      <c r="H2507" s="12" t="s">
        <v>6118</v>
      </c>
      <c r="I2507" s="41" t="s">
        <v>6935</v>
      </c>
      <c r="M2507" s="41" t="e">
        <f>VLOOKUP(I2507,错误mRNA总表!D:I,6,FALSE)</f>
        <v>#N/A</v>
      </c>
    </row>
    <row r="2508" spans="1:13" x14ac:dyDescent="0.2">
      <c r="A2508" s="12" t="s">
        <v>5212</v>
      </c>
      <c r="B2508" s="12" t="s">
        <v>3946</v>
      </c>
      <c r="C2508" s="12">
        <v>35441927</v>
      </c>
      <c r="D2508" s="12">
        <v>35766563</v>
      </c>
      <c r="E2508" s="12" t="s">
        <v>3943</v>
      </c>
      <c r="F2508" s="12">
        <v>1</v>
      </c>
      <c r="G2508" s="41" t="s">
        <v>47</v>
      </c>
      <c r="H2508" s="12" t="s">
        <v>6449</v>
      </c>
      <c r="I2508" s="41" t="s">
        <v>7772</v>
      </c>
      <c r="M2508" s="41" t="e">
        <f>VLOOKUP(I2508,错误mRNA总表!D:I,6,FALSE)</f>
        <v>#N/A</v>
      </c>
    </row>
    <row r="2509" spans="1:13" x14ac:dyDescent="0.2">
      <c r="A2509" s="12" t="s">
        <v>5213</v>
      </c>
      <c r="B2509" s="12" t="s">
        <v>4052</v>
      </c>
      <c r="C2509" s="12">
        <v>118380465</v>
      </c>
      <c r="D2509" s="12">
        <v>118383464</v>
      </c>
      <c r="E2509" s="12" t="s">
        <v>3940</v>
      </c>
      <c r="F2509" s="12">
        <v>1</v>
      </c>
      <c r="G2509" s="41" t="s">
        <v>93</v>
      </c>
      <c r="H2509" s="12" t="s">
        <v>131</v>
      </c>
      <c r="I2509" s="41" t="s">
        <v>2125</v>
      </c>
      <c r="J2509" s="41" t="s">
        <v>2125</v>
      </c>
      <c r="K2509" s="41" t="str">
        <f>VLOOKUP(J2509,错误mRNA总表!D:J,7,FALSE)</f>
        <v>纠后正确</v>
      </c>
      <c r="L2509" s="41" t="s">
        <v>3763</v>
      </c>
      <c r="M2509" s="41">
        <f>VLOOKUP(I2509,错误mRNA总表!D:I,6,FALSE)</f>
        <v>0</v>
      </c>
    </row>
    <row r="2510" spans="1:13" x14ac:dyDescent="0.2">
      <c r="A2510" s="12" t="s">
        <v>4036</v>
      </c>
      <c r="B2510" s="12" t="s">
        <v>3964</v>
      </c>
      <c r="C2510" s="12">
        <v>2355676</v>
      </c>
      <c r="D2510" s="12">
        <v>2379535</v>
      </c>
      <c r="E2510" s="12" t="s">
        <v>3940</v>
      </c>
      <c r="F2510" s="12">
        <v>30</v>
      </c>
      <c r="H2510" s="12" t="s">
        <v>5789</v>
      </c>
      <c r="I2510" s="41" t="s">
        <v>7773</v>
      </c>
      <c r="M2510" s="41" t="e">
        <f>VLOOKUP(I2510,错误mRNA总表!D:I,6,FALSE)</f>
        <v>#N/A</v>
      </c>
    </row>
    <row r="2511" spans="1:13" x14ac:dyDescent="0.2">
      <c r="A2511" s="12" t="s">
        <v>5214</v>
      </c>
      <c r="B2511" s="12" t="s">
        <v>3957</v>
      </c>
      <c r="C2511" s="12">
        <v>46638826</v>
      </c>
      <c r="D2511" s="12">
        <v>46694313</v>
      </c>
      <c r="E2511" s="12" t="s">
        <v>3943</v>
      </c>
      <c r="F2511" s="12">
        <v>2</v>
      </c>
      <c r="G2511" s="41" t="s">
        <v>36</v>
      </c>
      <c r="H2511" s="12" t="s">
        <v>6170</v>
      </c>
      <c r="I2511" s="41" t="s">
        <v>7774</v>
      </c>
      <c r="M2511" s="41" t="e">
        <f>VLOOKUP(I2511,错误mRNA总表!D:I,6,FALSE)</f>
        <v>#N/A</v>
      </c>
    </row>
    <row r="2512" spans="1:13" x14ac:dyDescent="0.2">
      <c r="A2512" s="12" t="s">
        <v>4135</v>
      </c>
      <c r="B2512" s="12" t="s">
        <v>3994</v>
      </c>
      <c r="C2512" s="12">
        <v>3505441</v>
      </c>
      <c r="D2512" s="12">
        <v>3534506</v>
      </c>
      <c r="E2512" s="12" t="s">
        <v>3940</v>
      </c>
      <c r="F2512" s="12">
        <v>3</v>
      </c>
      <c r="H2512" s="12" t="s">
        <v>5812</v>
      </c>
      <c r="I2512" s="41" t="s">
        <v>7775</v>
      </c>
      <c r="M2512" s="41" t="e">
        <f>VLOOKUP(I2512,错误mRNA总表!D:I,6,FALSE)</f>
        <v>#N/A</v>
      </c>
    </row>
    <row r="2513" spans="1:13" x14ac:dyDescent="0.2">
      <c r="A2513" s="12" t="s">
        <v>5046</v>
      </c>
      <c r="B2513" s="12" t="s">
        <v>3964</v>
      </c>
      <c r="C2513" s="12">
        <v>3385938</v>
      </c>
      <c r="D2513" s="12">
        <v>3386072</v>
      </c>
      <c r="E2513" s="12" t="s">
        <v>3940</v>
      </c>
      <c r="F2513" s="12">
        <v>3</v>
      </c>
      <c r="H2513" s="12" t="s">
        <v>3576</v>
      </c>
      <c r="I2513" s="41" t="s">
        <v>7776</v>
      </c>
      <c r="M2513" s="41" t="e">
        <f>VLOOKUP(I2513,错误mRNA总表!D:I,6,FALSE)</f>
        <v>#N/A</v>
      </c>
    </row>
    <row r="2514" spans="1:13" x14ac:dyDescent="0.2">
      <c r="A2514" s="12" t="s">
        <v>4458</v>
      </c>
      <c r="B2514" s="12" t="s">
        <v>4001</v>
      </c>
      <c r="C2514" s="12">
        <v>1097261</v>
      </c>
      <c r="D2514" s="12">
        <v>1097467</v>
      </c>
      <c r="E2514" s="12" t="s">
        <v>3940</v>
      </c>
      <c r="F2514" s="12">
        <v>6</v>
      </c>
      <c r="H2514" s="12" t="s">
        <v>6398</v>
      </c>
      <c r="I2514" s="41" t="s">
        <v>7777</v>
      </c>
      <c r="M2514" s="41" t="e">
        <f>VLOOKUP(I2514,错误mRNA总表!D:I,6,FALSE)</f>
        <v>#N/A</v>
      </c>
    </row>
    <row r="2515" spans="1:13" x14ac:dyDescent="0.2">
      <c r="A2515" s="12" t="s">
        <v>4458</v>
      </c>
      <c r="B2515" s="12" t="s">
        <v>4001</v>
      </c>
      <c r="C2515" s="12">
        <v>1097261</v>
      </c>
      <c r="D2515" s="12">
        <v>1098984</v>
      </c>
      <c r="E2515" s="12" t="s">
        <v>3940</v>
      </c>
      <c r="F2515" s="12">
        <v>1</v>
      </c>
      <c r="H2515" s="12" t="s">
        <v>6398</v>
      </c>
      <c r="I2515" s="41" t="s">
        <v>7777</v>
      </c>
      <c r="M2515" s="41" t="e">
        <f>VLOOKUP(I2515,错误mRNA总表!D:I,6,FALSE)</f>
        <v>#N/A</v>
      </c>
    </row>
    <row r="2516" spans="1:13" x14ac:dyDescent="0.2">
      <c r="A2516" s="12" t="s">
        <v>4458</v>
      </c>
      <c r="B2516" s="12" t="s">
        <v>4001</v>
      </c>
      <c r="C2516" s="12">
        <v>1097261</v>
      </c>
      <c r="D2516" s="12">
        <v>1099107</v>
      </c>
      <c r="E2516" s="12" t="s">
        <v>3940</v>
      </c>
      <c r="F2516" s="12">
        <v>1</v>
      </c>
      <c r="H2516" s="12" t="s">
        <v>6398</v>
      </c>
      <c r="I2516" s="41" t="s">
        <v>7777</v>
      </c>
      <c r="M2516" s="41" t="e">
        <f>VLOOKUP(I2516,错误mRNA总表!D:I,6,FALSE)</f>
        <v>#N/A</v>
      </c>
    </row>
    <row r="2517" spans="1:13" x14ac:dyDescent="0.2">
      <c r="A2517" s="12" t="s">
        <v>4458</v>
      </c>
      <c r="B2517" s="12" t="s">
        <v>4001</v>
      </c>
      <c r="C2517" s="12">
        <v>1097261</v>
      </c>
      <c r="D2517" s="12">
        <v>1100383</v>
      </c>
      <c r="E2517" s="12" t="s">
        <v>3940</v>
      </c>
      <c r="F2517" s="12">
        <v>4</v>
      </c>
      <c r="H2517" s="12" t="s">
        <v>6398</v>
      </c>
      <c r="I2517" s="41" t="s">
        <v>7777</v>
      </c>
      <c r="M2517" s="41" t="e">
        <f>VLOOKUP(I2517,错误mRNA总表!D:I,6,FALSE)</f>
        <v>#N/A</v>
      </c>
    </row>
    <row r="2518" spans="1:13" x14ac:dyDescent="0.2">
      <c r="A2518" s="12" t="s">
        <v>5215</v>
      </c>
      <c r="B2518" s="12" t="s">
        <v>3973</v>
      </c>
      <c r="C2518" s="12">
        <v>110527387</v>
      </c>
      <c r="D2518" s="12">
        <v>110527452</v>
      </c>
      <c r="E2518" s="12" t="s">
        <v>3940</v>
      </c>
      <c r="F2518" s="12">
        <v>1</v>
      </c>
      <c r="G2518" s="41" t="s">
        <v>139</v>
      </c>
      <c r="H2518" s="12" t="s">
        <v>6171</v>
      </c>
      <c r="I2518" s="41" t="s">
        <v>7778</v>
      </c>
      <c r="M2518" s="41" t="e">
        <f>VLOOKUP(I2518,错误mRNA总表!D:I,6,FALSE)</f>
        <v>#N/A</v>
      </c>
    </row>
    <row r="2519" spans="1:13" x14ac:dyDescent="0.2">
      <c r="A2519" s="12" t="s">
        <v>5216</v>
      </c>
      <c r="B2519" s="12" t="s">
        <v>3954</v>
      </c>
      <c r="C2519" s="12">
        <v>124358</v>
      </c>
      <c r="D2519" s="12">
        <v>125178</v>
      </c>
      <c r="E2519" s="12" t="s">
        <v>3940</v>
      </c>
      <c r="F2519" s="12">
        <v>97</v>
      </c>
      <c r="G2519" s="41" t="s">
        <v>569</v>
      </c>
      <c r="H2519" s="12" t="s">
        <v>6172</v>
      </c>
      <c r="I2519" s="41" t="s">
        <v>7779</v>
      </c>
      <c r="M2519" s="41" t="e">
        <f>VLOOKUP(I2519,错误mRNA总表!D:I,6,FALSE)</f>
        <v>#N/A</v>
      </c>
    </row>
    <row r="2520" spans="1:13" x14ac:dyDescent="0.2">
      <c r="A2520" s="12" t="s">
        <v>5216</v>
      </c>
      <c r="B2520" s="12" t="s">
        <v>3954</v>
      </c>
      <c r="C2520" s="12">
        <v>124358</v>
      </c>
      <c r="D2520" s="12">
        <v>124905</v>
      </c>
      <c r="E2520" s="12" t="s">
        <v>3940</v>
      </c>
      <c r="F2520" s="12">
        <v>1</v>
      </c>
      <c r="G2520" s="41" t="s">
        <v>569</v>
      </c>
      <c r="H2520" s="12" t="s">
        <v>6172</v>
      </c>
      <c r="I2520" s="41" t="s">
        <v>7779</v>
      </c>
      <c r="M2520" s="41" t="e">
        <f>VLOOKUP(I2520,错误mRNA总表!D:I,6,FALSE)</f>
        <v>#N/A</v>
      </c>
    </row>
    <row r="2521" spans="1:13" x14ac:dyDescent="0.2">
      <c r="A2521" s="12" t="s">
        <v>5216</v>
      </c>
      <c r="B2521" s="12" t="s">
        <v>3954</v>
      </c>
      <c r="C2521" s="12">
        <v>124358</v>
      </c>
      <c r="D2521" s="12">
        <v>124933</v>
      </c>
      <c r="E2521" s="12" t="s">
        <v>3943</v>
      </c>
      <c r="F2521" s="12">
        <v>1</v>
      </c>
      <c r="G2521" s="41" t="s">
        <v>569</v>
      </c>
      <c r="H2521" s="12" t="s">
        <v>6172</v>
      </c>
      <c r="I2521" s="41" t="s">
        <v>7779</v>
      </c>
      <c r="M2521" s="41" t="e">
        <f>VLOOKUP(I2521,错误mRNA总表!D:I,6,FALSE)</f>
        <v>#N/A</v>
      </c>
    </row>
    <row r="2522" spans="1:13" x14ac:dyDescent="0.2">
      <c r="A2522" s="12" t="s">
        <v>5216</v>
      </c>
      <c r="B2522" s="12" t="s">
        <v>3954</v>
      </c>
      <c r="C2522" s="12">
        <v>124358</v>
      </c>
      <c r="D2522" s="12">
        <v>133634</v>
      </c>
      <c r="E2522" s="12" t="s">
        <v>3940</v>
      </c>
      <c r="F2522" s="12">
        <v>22</v>
      </c>
      <c r="G2522" s="41" t="s">
        <v>569</v>
      </c>
      <c r="H2522" s="12" t="s">
        <v>6172</v>
      </c>
      <c r="I2522" s="41" t="s">
        <v>7779</v>
      </c>
      <c r="M2522" s="41" t="e">
        <f>VLOOKUP(I2522,错误mRNA总表!D:I,6,FALSE)</f>
        <v>#N/A</v>
      </c>
    </row>
    <row r="2523" spans="1:13" x14ac:dyDescent="0.2">
      <c r="A2523" s="12" t="s">
        <v>5216</v>
      </c>
      <c r="B2523" s="12" t="s">
        <v>3954</v>
      </c>
      <c r="C2523" s="12">
        <v>124358</v>
      </c>
      <c r="D2523" s="12">
        <v>133624</v>
      </c>
      <c r="E2523" s="12" t="s">
        <v>3943</v>
      </c>
      <c r="F2523" s="12">
        <v>2</v>
      </c>
      <c r="G2523" s="41" t="s">
        <v>569</v>
      </c>
      <c r="H2523" s="12" t="s">
        <v>6172</v>
      </c>
      <c r="I2523" s="41" t="s">
        <v>7779</v>
      </c>
      <c r="M2523" s="41" t="e">
        <f>VLOOKUP(I2523,错误mRNA总表!D:I,6,FALSE)</f>
        <v>#N/A</v>
      </c>
    </row>
    <row r="2524" spans="1:13" x14ac:dyDescent="0.2">
      <c r="A2524" s="12" t="s">
        <v>5216</v>
      </c>
      <c r="B2524" s="12" t="s">
        <v>3954</v>
      </c>
      <c r="C2524" s="12">
        <v>124358</v>
      </c>
      <c r="D2524" s="12">
        <v>137023</v>
      </c>
      <c r="E2524" s="12" t="s">
        <v>3940</v>
      </c>
      <c r="F2524" s="12">
        <v>66</v>
      </c>
      <c r="G2524" s="41" t="s">
        <v>569</v>
      </c>
      <c r="H2524" s="12" t="s">
        <v>6172</v>
      </c>
      <c r="I2524" s="41" t="s">
        <v>7779</v>
      </c>
      <c r="M2524" s="41" t="e">
        <f>VLOOKUP(I2524,错误mRNA总表!D:I,6,FALSE)</f>
        <v>#N/A</v>
      </c>
    </row>
    <row r="2525" spans="1:13" x14ac:dyDescent="0.2">
      <c r="A2525" s="12" t="s">
        <v>5216</v>
      </c>
      <c r="B2525" s="12" t="s">
        <v>3954</v>
      </c>
      <c r="C2525" s="12">
        <v>124358</v>
      </c>
      <c r="D2525" s="12">
        <v>137020</v>
      </c>
      <c r="E2525" s="12" t="s">
        <v>3940</v>
      </c>
      <c r="F2525" s="12">
        <v>1</v>
      </c>
      <c r="G2525" s="41" t="s">
        <v>569</v>
      </c>
      <c r="H2525" s="12" t="s">
        <v>6172</v>
      </c>
      <c r="I2525" s="41" t="s">
        <v>7779</v>
      </c>
      <c r="M2525" s="41" t="e">
        <f>VLOOKUP(I2525,错误mRNA总表!D:I,6,FALSE)</f>
        <v>#N/A</v>
      </c>
    </row>
    <row r="2526" spans="1:13" x14ac:dyDescent="0.2">
      <c r="A2526" s="12" t="s">
        <v>4307</v>
      </c>
      <c r="B2526" s="12" t="s">
        <v>3969</v>
      </c>
      <c r="C2526" s="12">
        <v>4253308</v>
      </c>
      <c r="D2526" s="12">
        <v>4255334</v>
      </c>
      <c r="E2526" s="12" t="s">
        <v>3940</v>
      </c>
      <c r="F2526" s="12">
        <v>1</v>
      </c>
      <c r="H2526" s="12" t="s">
        <v>3585</v>
      </c>
      <c r="I2526" s="41" t="s">
        <v>7780</v>
      </c>
      <c r="M2526" s="41" t="e">
        <f>VLOOKUP(I2526,错误mRNA总表!D:I,6,FALSE)</f>
        <v>#N/A</v>
      </c>
    </row>
    <row r="2527" spans="1:13" x14ac:dyDescent="0.2">
      <c r="A2527" s="12" t="s">
        <v>5217</v>
      </c>
      <c r="B2527" s="12" t="s">
        <v>4199</v>
      </c>
      <c r="C2527" s="12">
        <v>61783</v>
      </c>
      <c r="D2527" s="12">
        <v>67233</v>
      </c>
      <c r="E2527" s="12" t="s">
        <v>3943</v>
      </c>
      <c r="F2527" s="12">
        <v>1</v>
      </c>
      <c r="H2527" s="12" t="s">
        <v>6173</v>
      </c>
      <c r="I2527" s="41" t="s">
        <v>7781</v>
      </c>
      <c r="M2527" s="41" t="e">
        <f>VLOOKUP(I2527,错误mRNA总表!D:I,6,FALSE)</f>
        <v>#N/A</v>
      </c>
    </row>
    <row r="2528" spans="1:13" x14ac:dyDescent="0.2">
      <c r="A2528" s="12" t="s">
        <v>5218</v>
      </c>
      <c r="B2528" s="12" t="s">
        <v>3957</v>
      </c>
      <c r="C2528" s="12">
        <v>46638826</v>
      </c>
      <c r="D2528" s="12">
        <v>46694313</v>
      </c>
      <c r="E2528" s="12" t="s">
        <v>3943</v>
      </c>
      <c r="F2528" s="12">
        <v>2</v>
      </c>
      <c r="G2528" s="41" t="s">
        <v>36</v>
      </c>
      <c r="H2528" s="12" t="s">
        <v>6174</v>
      </c>
      <c r="I2528" s="41" t="s">
        <v>7782</v>
      </c>
      <c r="M2528" s="41" t="e">
        <f>VLOOKUP(I2528,错误mRNA总表!D:I,6,FALSE)</f>
        <v>#N/A</v>
      </c>
    </row>
    <row r="2529" spans="1:13" x14ac:dyDescent="0.2">
      <c r="A2529" s="12" t="s">
        <v>5219</v>
      </c>
      <c r="B2529" s="12" t="s">
        <v>3939</v>
      </c>
      <c r="C2529" s="12">
        <v>140590843</v>
      </c>
      <c r="D2529" s="12">
        <v>140591081</v>
      </c>
      <c r="E2529" s="12" t="s">
        <v>3943</v>
      </c>
      <c r="F2529" s="12">
        <v>14</v>
      </c>
      <c r="G2529" s="41" t="s">
        <v>73</v>
      </c>
      <c r="H2529" s="12" t="s">
        <v>6105</v>
      </c>
      <c r="I2529" s="41" t="s">
        <v>7783</v>
      </c>
      <c r="M2529" s="41" t="e">
        <f>VLOOKUP(I2529,错误mRNA总表!D:I,6,FALSE)</f>
        <v>#N/A</v>
      </c>
    </row>
    <row r="2530" spans="1:13" x14ac:dyDescent="0.2">
      <c r="A2530" s="12" t="s">
        <v>5219</v>
      </c>
      <c r="B2530" s="12" t="s">
        <v>3939</v>
      </c>
      <c r="C2530" s="12">
        <v>140590843</v>
      </c>
      <c r="D2530" s="12">
        <v>140591104</v>
      </c>
      <c r="E2530" s="12" t="s">
        <v>3943</v>
      </c>
      <c r="F2530" s="12">
        <v>1</v>
      </c>
      <c r="G2530" s="41" t="s">
        <v>73</v>
      </c>
      <c r="H2530" s="12" t="s">
        <v>6105</v>
      </c>
      <c r="I2530" s="41" t="s">
        <v>7783</v>
      </c>
      <c r="M2530" s="41" t="e">
        <f>VLOOKUP(I2530,错误mRNA总表!D:I,6,FALSE)</f>
        <v>#N/A</v>
      </c>
    </row>
    <row r="2531" spans="1:13" x14ac:dyDescent="0.2">
      <c r="A2531" s="12" t="s">
        <v>5220</v>
      </c>
      <c r="B2531" s="12" t="s">
        <v>4124</v>
      </c>
      <c r="C2531" s="12">
        <v>779837</v>
      </c>
      <c r="D2531" s="12">
        <v>849864</v>
      </c>
      <c r="E2531" s="12" t="s">
        <v>3943</v>
      </c>
      <c r="F2531" s="12">
        <v>2</v>
      </c>
      <c r="G2531" s="41" t="s">
        <v>1</v>
      </c>
      <c r="H2531" s="12" t="s">
        <v>6536</v>
      </c>
      <c r="I2531" s="41" t="s">
        <v>7784</v>
      </c>
      <c r="M2531" s="41" t="e">
        <f>VLOOKUP(I2531,错误mRNA总表!D:I,6,FALSE)</f>
        <v>#N/A</v>
      </c>
    </row>
    <row r="2532" spans="1:13" x14ac:dyDescent="0.2">
      <c r="A2532" s="12" t="s">
        <v>5221</v>
      </c>
      <c r="B2532" s="12" t="s">
        <v>3994</v>
      </c>
      <c r="C2532" s="12">
        <v>3464620</v>
      </c>
      <c r="D2532" s="12">
        <v>3478778</v>
      </c>
      <c r="E2532" s="12" t="s">
        <v>3940</v>
      </c>
      <c r="F2532" s="12">
        <v>3</v>
      </c>
      <c r="H2532" s="12" t="s">
        <v>6175</v>
      </c>
      <c r="I2532" s="41" t="s">
        <v>7785</v>
      </c>
      <c r="M2532" s="41" t="e">
        <f>VLOOKUP(I2532,错误mRNA总表!D:I,6,FALSE)</f>
        <v>#N/A</v>
      </c>
    </row>
    <row r="2533" spans="1:13" x14ac:dyDescent="0.2">
      <c r="A2533" s="12" t="s">
        <v>5222</v>
      </c>
      <c r="B2533" s="12" t="s">
        <v>3948</v>
      </c>
      <c r="C2533" s="12">
        <v>74422144</v>
      </c>
      <c r="D2533" s="12">
        <v>74422149</v>
      </c>
      <c r="E2533" s="12" t="s">
        <v>3943</v>
      </c>
      <c r="F2533" s="12">
        <v>1</v>
      </c>
      <c r="G2533" s="41" t="s">
        <v>40</v>
      </c>
      <c r="H2533" s="12" t="s">
        <v>3438</v>
      </c>
      <c r="I2533" s="41" t="s">
        <v>7786</v>
      </c>
      <c r="M2533" s="41" t="e">
        <f>VLOOKUP(I2533,错误mRNA总表!D:I,6,FALSE)</f>
        <v>#N/A</v>
      </c>
    </row>
    <row r="2534" spans="1:13" x14ac:dyDescent="0.2">
      <c r="A2534" s="12" t="s">
        <v>5222</v>
      </c>
      <c r="B2534" s="12" t="s">
        <v>3948</v>
      </c>
      <c r="C2534" s="12">
        <v>74422144</v>
      </c>
      <c r="D2534" s="12">
        <v>74422155</v>
      </c>
      <c r="E2534" s="12" t="s">
        <v>3940</v>
      </c>
      <c r="F2534" s="12">
        <v>2</v>
      </c>
      <c r="G2534" s="41" t="s">
        <v>40</v>
      </c>
      <c r="H2534" s="12" t="s">
        <v>3438</v>
      </c>
      <c r="I2534" s="41" t="s">
        <v>7786</v>
      </c>
      <c r="M2534" s="41" t="e">
        <f>VLOOKUP(I2534,错误mRNA总表!D:I,6,FALSE)</f>
        <v>#N/A</v>
      </c>
    </row>
    <row r="2535" spans="1:13" x14ac:dyDescent="0.2">
      <c r="A2535" s="12" t="s">
        <v>5223</v>
      </c>
      <c r="B2535" s="12" t="s">
        <v>4061</v>
      </c>
      <c r="C2535" s="12">
        <v>436163</v>
      </c>
      <c r="D2535" s="12">
        <v>437175</v>
      </c>
      <c r="E2535" s="12" t="s">
        <v>3940</v>
      </c>
      <c r="F2535" s="12">
        <v>3</v>
      </c>
      <c r="H2535" s="12" t="s">
        <v>3661</v>
      </c>
      <c r="I2535" s="41" t="s">
        <v>7787</v>
      </c>
      <c r="M2535" s="41" t="e">
        <f>VLOOKUP(I2535,错误mRNA总表!D:I,6,FALSE)</f>
        <v>#N/A</v>
      </c>
    </row>
    <row r="2536" spans="1:13" x14ac:dyDescent="0.2">
      <c r="A2536" s="12" t="s">
        <v>4037</v>
      </c>
      <c r="B2536" s="12" t="s">
        <v>4004</v>
      </c>
      <c r="C2536" s="12">
        <v>144806103</v>
      </c>
      <c r="D2536" s="12">
        <v>144807177</v>
      </c>
      <c r="E2536" s="12" t="s">
        <v>3943</v>
      </c>
      <c r="F2536" s="12">
        <v>2</v>
      </c>
      <c r="G2536" s="41" t="s">
        <v>103</v>
      </c>
      <c r="H2536" s="12" t="s">
        <v>800</v>
      </c>
      <c r="I2536" s="41" t="s">
        <v>2714</v>
      </c>
      <c r="J2536" s="41" t="s">
        <v>2714</v>
      </c>
      <c r="K2536" s="41" t="str">
        <f>VLOOKUP(J2536,错误mRNA总表!D:J,7,FALSE)</f>
        <v/>
      </c>
      <c r="L2536" s="41" t="s">
        <v>3762</v>
      </c>
      <c r="M2536" s="41">
        <f>VLOOKUP(I2536,错误mRNA总表!D:I,6,FALSE)</f>
        <v>0</v>
      </c>
    </row>
    <row r="2537" spans="1:13" x14ac:dyDescent="0.2">
      <c r="A2537" s="12" t="s">
        <v>4037</v>
      </c>
      <c r="B2537" s="12" t="s">
        <v>4004</v>
      </c>
      <c r="C2537" s="12">
        <v>144806103</v>
      </c>
      <c r="D2537" s="12">
        <v>144807326</v>
      </c>
      <c r="E2537" s="12" t="s">
        <v>3943</v>
      </c>
      <c r="F2537" s="12">
        <v>8</v>
      </c>
      <c r="G2537" s="41" t="s">
        <v>103</v>
      </c>
      <c r="H2537" s="12" t="s">
        <v>800</v>
      </c>
      <c r="I2537" s="41" t="s">
        <v>2714</v>
      </c>
      <c r="J2537" s="41" t="s">
        <v>2714</v>
      </c>
      <c r="K2537" s="41" t="str">
        <f>VLOOKUP(J2537,错误mRNA总表!D:J,7,FALSE)</f>
        <v/>
      </c>
      <c r="L2537" s="41" t="s">
        <v>3762</v>
      </c>
      <c r="M2537" s="41">
        <f>VLOOKUP(I2537,错误mRNA总表!D:I,6,FALSE)</f>
        <v>0</v>
      </c>
    </row>
    <row r="2538" spans="1:13" x14ac:dyDescent="0.2">
      <c r="A2538" s="12" t="s">
        <v>4511</v>
      </c>
      <c r="B2538" s="12" t="s">
        <v>3989</v>
      </c>
      <c r="C2538" s="12">
        <v>1871448</v>
      </c>
      <c r="D2538" s="12">
        <v>1890754</v>
      </c>
      <c r="E2538" s="12" t="s">
        <v>3943</v>
      </c>
      <c r="F2538" s="12">
        <v>1</v>
      </c>
      <c r="H2538" s="12" t="s">
        <v>3544</v>
      </c>
      <c r="I2538" s="41" t="s">
        <v>7788</v>
      </c>
      <c r="M2538" s="41" t="e">
        <f>VLOOKUP(I2538,错误mRNA总表!D:I,6,FALSE)</f>
        <v>#N/A</v>
      </c>
    </row>
    <row r="2539" spans="1:13" x14ac:dyDescent="0.2">
      <c r="A2539" s="12" t="s">
        <v>5224</v>
      </c>
      <c r="B2539" s="12" t="s">
        <v>4018</v>
      </c>
      <c r="C2539" s="12">
        <v>47721044</v>
      </c>
      <c r="D2539" s="12">
        <v>47742894</v>
      </c>
      <c r="E2539" s="12" t="s">
        <v>3940</v>
      </c>
      <c r="F2539" s="12">
        <v>1</v>
      </c>
      <c r="G2539" s="41" t="s">
        <v>241</v>
      </c>
      <c r="H2539" s="12" t="s">
        <v>6495</v>
      </c>
      <c r="I2539" s="41" t="s">
        <v>7789</v>
      </c>
      <c r="M2539" s="41" t="e">
        <f>VLOOKUP(I2539,错误mRNA总表!D:I,6,FALSE)</f>
        <v>#N/A</v>
      </c>
    </row>
    <row r="2540" spans="1:13" x14ac:dyDescent="0.2">
      <c r="A2540" s="12" t="s">
        <v>5224</v>
      </c>
      <c r="B2540" s="12" t="s">
        <v>4018</v>
      </c>
      <c r="C2540" s="12">
        <v>47721044</v>
      </c>
      <c r="D2540" s="12">
        <v>47721068</v>
      </c>
      <c r="E2540" s="12" t="s">
        <v>3940</v>
      </c>
      <c r="F2540" s="12">
        <v>1</v>
      </c>
      <c r="G2540" s="41" t="s">
        <v>241</v>
      </c>
      <c r="H2540" s="12" t="s">
        <v>6495</v>
      </c>
      <c r="I2540" s="41" t="s">
        <v>7789</v>
      </c>
      <c r="M2540" s="41" t="e">
        <f>VLOOKUP(I2540,错误mRNA总表!D:I,6,FALSE)</f>
        <v>#N/A</v>
      </c>
    </row>
    <row r="2541" spans="1:13" x14ac:dyDescent="0.2">
      <c r="A2541" s="12" t="s">
        <v>5224</v>
      </c>
      <c r="B2541" s="12" t="s">
        <v>4018</v>
      </c>
      <c r="C2541" s="12">
        <v>47721044</v>
      </c>
      <c r="D2541" s="12">
        <v>47721391</v>
      </c>
      <c r="E2541" s="12" t="s">
        <v>3940</v>
      </c>
      <c r="F2541" s="12">
        <v>1</v>
      </c>
      <c r="G2541" s="41" t="s">
        <v>241</v>
      </c>
      <c r="H2541" s="12" t="s">
        <v>6495</v>
      </c>
      <c r="I2541" s="41" t="s">
        <v>7789</v>
      </c>
      <c r="M2541" s="41" t="e">
        <f>VLOOKUP(I2541,错误mRNA总表!D:I,6,FALSE)</f>
        <v>#N/A</v>
      </c>
    </row>
    <row r="2542" spans="1:13" x14ac:dyDescent="0.2">
      <c r="A2542" s="12" t="s">
        <v>4463</v>
      </c>
      <c r="B2542" s="12" t="s">
        <v>3950</v>
      </c>
      <c r="C2542" s="12">
        <v>44262</v>
      </c>
      <c r="D2542" s="12">
        <v>50700</v>
      </c>
      <c r="E2542" s="12" t="s">
        <v>3943</v>
      </c>
      <c r="F2542" s="12">
        <v>16</v>
      </c>
      <c r="H2542" s="12" t="s">
        <v>5909</v>
      </c>
      <c r="I2542" s="41" t="s">
        <v>7048</v>
      </c>
      <c r="M2542" s="41" t="e">
        <f>VLOOKUP(I2542,错误mRNA总表!D:I,6,FALSE)</f>
        <v>#N/A</v>
      </c>
    </row>
    <row r="2543" spans="1:13" x14ac:dyDescent="0.2">
      <c r="A2543" s="12" t="s">
        <v>5225</v>
      </c>
      <c r="B2543" s="12" t="s">
        <v>4018</v>
      </c>
      <c r="C2543" s="12">
        <v>17442808</v>
      </c>
      <c r="D2543" s="12">
        <v>17981988</v>
      </c>
      <c r="E2543" s="12" t="s">
        <v>3940</v>
      </c>
      <c r="F2543" s="12">
        <v>1</v>
      </c>
      <c r="G2543" s="41" t="s">
        <v>241</v>
      </c>
      <c r="H2543" s="12" t="s">
        <v>6176</v>
      </c>
      <c r="I2543" s="41" t="s">
        <v>7790</v>
      </c>
      <c r="M2543" s="41" t="e">
        <f>VLOOKUP(I2543,错误mRNA总表!D:I,6,FALSE)</f>
        <v>#N/A</v>
      </c>
    </row>
    <row r="2544" spans="1:13" x14ac:dyDescent="0.2">
      <c r="A2544" s="12" t="s">
        <v>5226</v>
      </c>
      <c r="B2544" s="12" t="s">
        <v>5227</v>
      </c>
      <c r="C2544" s="12">
        <v>224914</v>
      </c>
      <c r="D2544" s="12">
        <v>225046</v>
      </c>
      <c r="E2544" s="12" t="s">
        <v>3943</v>
      </c>
      <c r="F2544" s="12">
        <v>1</v>
      </c>
      <c r="H2544" s="12" t="s">
        <v>3512</v>
      </c>
      <c r="I2544" s="41" t="s">
        <v>7791</v>
      </c>
      <c r="M2544" s="41" t="e">
        <f>VLOOKUP(I2544,错误mRNA总表!D:I,6,FALSE)</f>
        <v>#N/A</v>
      </c>
    </row>
    <row r="2545" spans="1:13" x14ac:dyDescent="0.2">
      <c r="A2545" s="12" t="s">
        <v>5226</v>
      </c>
      <c r="B2545" s="12" t="s">
        <v>5227</v>
      </c>
      <c r="C2545" s="12">
        <v>224914</v>
      </c>
      <c r="D2545" s="12">
        <v>225251</v>
      </c>
      <c r="E2545" s="12" t="s">
        <v>3943</v>
      </c>
      <c r="F2545" s="12">
        <v>1</v>
      </c>
      <c r="H2545" s="12" t="s">
        <v>3512</v>
      </c>
      <c r="I2545" s="41" t="s">
        <v>7791</v>
      </c>
      <c r="M2545" s="41" t="e">
        <f>VLOOKUP(I2545,错误mRNA总表!D:I,6,FALSE)</f>
        <v>#N/A</v>
      </c>
    </row>
    <row r="2546" spans="1:13" x14ac:dyDescent="0.2">
      <c r="A2546" s="12" t="s">
        <v>5228</v>
      </c>
      <c r="B2546" s="12" t="s">
        <v>3957</v>
      </c>
      <c r="C2546" s="12">
        <v>27676440</v>
      </c>
      <c r="D2546" s="12">
        <v>27676545</v>
      </c>
      <c r="E2546" s="12" t="s">
        <v>3943</v>
      </c>
      <c r="F2546" s="12">
        <v>1</v>
      </c>
      <c r="G2546" s="41" t="s">
        <v>36</v>
      </c>
      <c r="H2546" s="12" t="s">
        <v>6177</v>
      </c>
      <c r="I2546" s="41" t="s">
        <v>7792</v>
      </c>
      <c r="M2546" s="41" t="e">
        <f>VLOOKUP(I2546,错误mRNA总表!D:I,6,FALSE)</f>
        <v>#N/A</v>
      </c>
    </row>
    <row r="2547" spans="1:13" x14ac:dyDescent="0.2">
      <c r="A2547" s="12" t="s">
        <v>5228</v>
      </c>
      <c r="B2547" s="12" t="s">
        <v>3957</v>
      </c>
      <c r="C2547" s="12">
        <v>27676440</v>
      </c>
      <c r="D2547" s="12">
        <v>27679010</v>
      </c>
      <c r="E2547" s="12" t="s">
        <v>3943</v>
      </c>
      <c r="F2547" s="12">
        <v>1</v>
      </c>
      <c r="G2547" s="41" t="s">
        <v>36</v>
      </c>
      <c r="H2547" s="12" t="s">
        <v>6177</v>
      </c>
      <c r="I2547" s="41" t="s">
        <v>7792</v>
      </c>
      <c r="M2547" s="41" t="e">
        <f>VLOOKUP(I2547,错误mRNA总表!D:I,6,FALSE)</f>
        <v>#N/A</v>
      </c>
    </row>
    <row r="2548" spans="1:13" x14ac:dyDescent="0.2">
      <c r="A2548" s="12" t="s">
        <v>5229</v>
      </c>
      <c r="B2548" s="12" t="s">
        <v>3973</v>
      </c>
      <c r="C2548" s="12">
        <v>35544964</v>
      </c>
      <c r="D2548" s="12">
        <v>35545023</v>
      </c>
      <c r="E2548" s="12" t="s">
        <v>3940</v>
      </c>
      <c r="F2548" s="12">
        <v>2</v>
      </c>
      <c r="G2548" s="41" t="s">
        <v>139</v>
      </c>
      <c r="H2548" s="12" t="s">
        <v>6178</v>
      </c>
      <c r="I2548" s="41" t="s">
        <v>7793</v>
      </c>
      <c r="M2548" s="41" t="e">
        <f>VLOOKUP(I2548,错误mRNA总表!D:I,6,FALSE)</f>
        <v>#N/A</v>
      </c>
    </row>
    <row r="2549" spans="1:13" x14ac:dyDescent="0.2">
      <c r="A2549" s="12" t="s">
        <v>5230</v>
      </c>
      <c r="B2549" s="12" t="s">
        <v>3946</v>
      </c>
      <c r="C2549" s="12">
        <v>35294772</v>
      </c>
      <c r="D2549" s="12">
        <v>35300505</v>
      </c>
      <c r="E2549" s="12" t="s">
        <v>3943</v>
      </c>
      <c r="F2549" s="12">
        <v>2</v>
      </c>
      <c r="G2549" s="41" t="s">
        <v>47</v>
      </c>
      <c r="H2549" s="12" t="s">
        <v>6584</v>
      </c>
      <c r="I2549" s="41" t="s">
        <v>7794</v>
      </c>
      <c r="M2549" s="41" t="e">
        <f>VLOOKUP(I2549,错误mRNA总表!D:I,6,FALSE)</f>
        <v>#N/A</v>
      </c>
    </row>
    <row r="2550" spans="1:13" x14ac:dyDescent="0.2">
      <c r="A2550" s="12" t="s">
        <v>5230</v>
      </c>
      <c r="B2550" s="12" t="s">
        <v>3946</v>
      </c>
      <c r="C2550" s="12">
        <v>35294772</v>
      </c>
      <c r="D2550" s="12">
        <v>35301246</v>
      </c>
      <c r="E2550" s="12" t="s">
        <v>3943</v>
      </c>
      <c r="F2550" s="12">
        <v>1</v>
      </c>
      <c r="G2550" s="41" t="s">
        <v>47</v>
      </c>
      <c r="H2550" s="12" t="s">
        <v>6584</v>
      </c>
      <c r="I2550" s="41" t="s">
        <v>7794</v>
      </c>
      <c r="M2550" s="41" t="e">
        <f>VLOOKUP(I2550,错误mRNA总表!D:I,6,FALSE)</f>
        <v>#N/A</v>
      </c>
    </row>
    <row r="2551" spans="1:13" x14ac:dyDescent="0.2">
      <c r="A2551" s="12" t="s">
        <v>5231</v>
      </c>
      <c r="B2551" s="12" t="s">
        <v>3957</v>
      </c>
      <c r="C2551" s="12">
        <v>27676440</v>
      </c>
      <c r="D2551" s="12">
        <v>27676545</v>
      </c>
      <c r="E2551" s="12" t="s">
        <v>3943</v>
      </c>
      <c r="F2551" s="12">
        <v>1</v>
      </c>
      <c r="G2551" s="41" t="s">
        <v>36</v>
      </c>
      <c r="H2551" s="12" t="s">
        <v>6179</v>
      </c>
      <c r="I2551" s="41" t="s">
        <v>7795</v>
      </c>
      <c r="M2551" s="41" t="e">
        <f>VLOOKUP(I2551,错误mRNA总表!D:I,6,FALSE)</f>
        <v>#N/A</v>
      </c>
    </row>
    <row r="2552" spans="1:13" x14ac:dyDescent="0.2">
      <c r="A2552" s="12" t="s">
        <v>5231</v>
      </c>
      <c r="B2552" s="12" t="s">
        <v>3957</v>
      </c>
      <c r="C2552" s="12">
        <v>27676440</v>
      </c>
      <c r="D2552" s="12">
        <v>27679010</v>
      </c>
      <c r="E2552" s="12" t="s">
        <v>3943</v>
      </c>
      <c r="F2552" s="12">
        <v>1</v>
      </c>
      <c r="G2552" s="41" t="s">
        <v>36</v>
      </c>
      <c r="H2552" s="12" t="s">
        <v>6179</v>
      </c>
      <c r="I2552" s="41" t="s">
        <v>7795</v>
      </c>
      <c r="M2552" s="41" t="e">
        <f>VLOOKUP(I2552,错误mRNA总表!D:I,6,FALSE)</f>
        <v>#N/A</v>
      </c>
    </row>
    <row r="2553" spans="1:13" x14ac:dyDescent="0.2">
      <c r="A2553" s="12" t="s">
        <v>5232</v>
      </c>
      <c r="B2553" s="12" t="s">
        <v>3957</v>
      </c>
      <c r="C2553" s="12">
        <v>27676440</v>
      </c>
      <c r="D2553" s="12">
        <v>27676545</v>
      </c>
      <c r="E2553" s="12" t="s">
        <v>3943</v>
      </c>
      <c r="F2553" s="12">
        <v>1</v>
      </c>
      <c r="G2553" s="41" t="s">
        <v>36</v>
      </c>
      <c r="H2553" s="12" t="s">
        <v>6180</v>
      </c>
      <c r="I2553" s="41" t="s">
        <v>7796</v>
      </c>
      <c r="M2553" s="41" t="e">
        <f>VLOOKUP(I2553,错误mRNA总表!D:I,6,FALSE)</f>
        <v>#N/A</v>
      </c>
    </row>
    <row r="2554" spans="1:13" x14ac:dyDescent="0.2">
      <c r="A2554" s="12" t="s">
        <v>5232</v>
      </c>
      <c r="B2554" s="12" t="s">
        <v>3957</v>
      </c>
      <c r="C2554" s="12">
        <v>27676440</v>
      </c>
      <c r="D2554" s="12">
        <v>27679010</v>
      </c>
      <c r="E2554" s="12" t="s">
        <v>3943</v>
      </c>
      <c r="F2554" s="12">
        <v>1</v>
      </c>
      <c r="G2554" s="41" t="s">
        <v>36</v>
      </c>
      <c r="H2554" s="12" t="s">
        <v>6180</v>
      </c>
      <c r="I2554" s="41" t="s">
        <v>7796</v>
      </c>
      <c r="M2554" s="41" t="e">
        <f>VLOOKUP(I2554,错误mRNA总表!D:I,6,FALSE)</f>
        <v>#N/A</v>
      </c>
    </row>
    <row r="2555" spans="1:13" x14ac:dyDescent="0.2">
      <c r="A2555" s="12" t="s">
        <v>4406</v>
      </c>
      <c r="B2555" s="12" t="s">
        <v>4001</v>
      </c>
      <c r="C2555" s="12">
        <v>3618628</v>
      </c>
      <c r="D2555" s="12">
        <v>3618655</v>
      </c>
      <c r="E2555" s="12" t="s">
        <v>3940</v>
      </c>
      <c r="F2555" s="12">
        <v>35</v>
      </c>
      <c r="H2555" s="12" t="s">
        <v>5891</v>
      </c>
      <c r="I2555" s="41" t="s">
        <v>7797</v>
      </c>
      <c r="M2555" s="41" t="e">
        <f>VLOOKUP(I2555,错误mRNA总表!D:I,6,FALSE)</f>
        <v>#N/A</v>
      </c>
    </row>
    <row r="2556" spans="1:13" x14ac:dyDescent="0.2">
      <c r="A2556" s="12" t="s">
        <v>4406</v>
      </c>
      <c r="B2556" s="12" t="s">
        <v>4001</v>
      </c>
      <c r="C2556" s="12">
        <v>3618628</v>
      </c>
      <c r="D2556" s="12">
        <v>3620678</v>
      </c>
      <c r="E2556" s="12" t="s">
        <v>3940</v>
      </c>
      <c r="F2556" s="12">
        <v>91</v>
      </c>
      <c r="H2556" s="12" t="s">
        <v>5891</v>
      </c>
      <c r="I2556" s="41" t="s">
        <v>7797</v>
      </c>
      <c r="M2556" s="41" t="e">
        <f>VLOOKUP(I2556,错误mRNA总表!D:I,6,FALSE)</f>
        <v>#N/A</v>
      </c>
    </row>
    <row r="2557" spans="1:13" x14ac:dyDescent="0.2">
      <c r="A2557" s="12" t="s">
        <v>4406</v>
      </c>
      <c r="B2557" s="12" t="s">
        <v>4001</v>
      </c>
      <c r="C2557" s="12">
        <v>3618628</v>
      </c>
      <c r="D2557" s="12">
        <v>3620665</v>
      </c>
      <c r="E2557" s="12" t="s">
        <v>3943</v>
      </c>
      <c r="F2557" s="12">
        <v>3</v>
      </c>
      <c r="H2557" s="12" t="s">
        <v>5891</v>
      </c>
      <c r="I2557" s="41" t="s">
        <v>7797</v>
      </c>
      <c r="M2557" s="41" t="e">
        <f>VLOOKUP(I2557,错误mRNA总表!D:I,6,FALSE)</f>
        <v>#N/A</v>
      </c>
    </row>
    <row r="2558" spans="1:13" x14ac:dyDescent="0.2">
      <c r="A2558" s="12" t="s">
        <v>4406</v>
      </c>
      <c r="B2558" s="12" t="s">
        <v>4001</v>
      </c>
      <c r="C2558" s="12">
        <v>3618628</v>
      </c>
      <c r="D2558" s="12">
        <v>3630875</v>
      </c>
      <c r="E2558" s="12" t="s">
        <v>3940</v>
      </c>
      <c r="F2558" s="12">
        <v>30</v>
      </c>
      <c r="H2558" s="12" t="s">
        <v>5891</v>
      </c>
      <c r="I2558" s="41" t="s">
        <v>7797</v>
      </c>
      <c r="M2558" s="41" t="e">
        <f>VLOOKUP(I2558,错误mRNA总表!D:I,6,FALSE)</f>
        <v>#N/A</v>
      </c>
    </row>
    <row r="2559" spans="1:13" x14ac:dyDescent="0.2">
      <c r="A2559" s="12" t="s">
        <v>4406</v>
      </c>
      <c r="B2559" s="12" t="s">
        <v>4001</v>
      </c>
      <c r="C2559" s="12">
        <v>3618628</v>
      </c>
      <c r="D2559" s="12">
        <v>3632267</v>
      </c>
      <c r="E2559" s="12" t="s">
        <v>3940</v>
      </c>
      <c r="F2559" s="12">
        <v>80</v>
      </c>
      <c r="H2559" s="12" t="s">
        <v>5891</v>
      </c>
      <c r="I2559" s="41" t="s">
        <v>7797</v>
      </c>
      <c r="M2559" s="41" t="e">
        <f>VLOOKUP(I2559,错误mRNA总表!D:I,6,FALSE)</f>
        <v>#N/A</v>
      </c>
    </row>
    <row r="2560" spans="1:13" x14ac:dyDescent="0.2">
      <c r="A2560" s="12" t="s">
        <v>4406</v>
      </c>
      <c r="B2560" s="12" t="s">
        <v>4001</v>
      </c>
      <c r="C2560" s="12">
        <v>3618628</v>
      </c>
      <c r="D2560" s="12">
        <v>3632244</v>
      </c>
      <c r="E2560" s="12" t="s">
        <v>3943</v>
      </c>
      <c r="F2560" s="12">
        <v>2</v>
      </c>
      <c r="H2560" s="12" t="s">
        <v>5891</v>
      </c>
      <c r="I2560" s="41" t="s">
        <v>7797</v>
      </c>
      <c r="M2560" s="41" t="e">
        <f>VLOOKUP(I2560,错误mRNA总表!D:I,6,FALSE)</f>
        <v>#N/A</v>
      </c>
    </row>
    <row r="2561" spans="1:13" x14ac:dyDescent="0.2">
      <c r="A2561" s="12" t="s">
        <v>4406</v>
      </c>
      <c r="B2561" s="12" t="s">
        <v>4001</v>
      </c>
      <c r="C2561" s="12">
        <v>3618628</v>
      </c>
      <c r="D2561" s="12">
        <v>3632251</v>
      </c>
      <c r="E2561" s="12" t="s">
        <v>3943</v>
      </c>
      <c r="F2561" s="12">
        <v>1</v>
      </c>
      <c r="H2561" s="12" t="s">
        <v>5891</v>
      </c>
      <c r="I2561" s="41" t="s">
        <v>7797</v>
      </c>
      <c r="M2561" s="41" t="e">
        <f>VLOOKUP(I2561,错误mRNA总表!D:I,6,FALSE)</f>
        <v>#N/A</v>
      </c>
    </row>
    <row r="2562" spans="1:13" x14ac:dyDescent="0.2">
      <c r="A2562" s="12" t="s">
        <v>4406</v>
      </c>
      <c r="B2562" s="12" t="s">
        <v>4001</v>
      </c>
      <c r="C2562" s="12">
        <v>3618628</v>
      </c>
      <c r="D2562" s="12">
        <v>3632262</v>
      </c>
      <c r="E2562" s="12" t="s">
        <v>3943</v>
      </c>
      <c r="F2562" s="12">
        <v>1</v>
      </c>
      <c r="H2562" s="12" t="s">
        <v>5891</v>
      </c>
      <c r="I2562" s="41" t="s">
        <v>7797</v>
      </c>
      <c r="M2562" s="41" t="e">
        <f>VLOOKUP(I2562,错误mRNA总表!D:I,6,FALSE)</f>
        <v>#N/A</v>
      </c>
    </row>
    <row r="2563" spans="1:13" x14ac:dyDescent="0.2">
      <c r="A2563" s="12" t="s">
        <v>5233</v>
      </c>
      <c r="B2563" s="12" t="s">
        <v>3978</v>
      </c>
      <c r="C2563" s="12">
        <v>14530619</v>
      </c>
      <c r="D2563" s="12">
        <v>14561627</v>
      </c>
      <c r="E2563" s="12" t="s">
        <v>3940</v>
      </c>
      <c r="F2563" s="12">
        <v>1</v>
      </c>
      <c r="G2563" s="41" t="s">
        <v>86</v>
      </c>
      <c r="H2563" s="12" t="s">
        <v>85</v>
      </c>
      <c r="I2563" s="41" t="s">
        <v>2099</v>
      </c>
      <c r="J2563" s="41" t="s">
        <v>2099</v>
      </c>
      <c r="K2563" s="41" t="str">
        <f>VLOOKUP(J2563,错误mRNA总表!D:J,7,FALSE)</f>
        <v>纠后正确</v>
      </c>
      <c r="L2563" s="41" t="s">
        <v>3763</v>
      </c>
      <c r="M2563" s="41">
        <f>VLOOKUP(I2563,错误mRNA总表!D:I,6,FALSE)</f>
        <v>0</v>
      </c>
    </row>
    <row r="2564" spans="1:13" x14ac:dyDescent="0.2">
      <c r="A2564" s="12" t="s">
        <v>4007</v>
      </c>
      <c r="B2564" s="12" t="s">
        <v>3996</v>
      </c>
      <c r="C2564" s="12">
        <v>2975498</v>
      </c>
      <c r="D2564" s="12">
        <v>2975502</v>
      </c>
      <c r="E2564" s="12" t="s">
        <v>3940</v>
      </c>
      <c r="F2564" s="12">
        <v>2</v>
      </c>
      <c r="H2564" s="12" t="s">
        <v>3426</v>
      </c>
      <c r="I2564" s="41" t="s">
        <v>7798</v>
      </c>
      <c r="M2564" s="41" t="e">
        <f>VLOOKUP(I2564,错误mRNA总表!D:I,6,FALSE)</f>
        <v>#N/A</v>
      </c>
    </row>
    <row r="2565" spans="1:13" x14ac:dyDescent="0.2">
      <c r="A2565" s="12" t="s">
        <v>4007</v>
      </c>
      <c r="B2565" s="12" t="s">
        <v>3996</v>
      </c>
      <c r="C2565" s="12">
        <v>2975498</v>
      </c>
      <c r="D2565" s="12">
        <v>2987441</v>
      </c>
      <c r="E2565" s="12" t="s">
        <v>3940</v>
      </c>
      <c r="F2565" s="12">
        <v>2</v>
      </c>
      <c r="H2565" s="12" t="s">
        <v>3426</v>
      </c>
      <c r="I2565" s="41" t="s">
        <v>7798</v>
      </c>
      <c r="M2565" s="41" t="e">
        <f>VLOOKUP(I2565,错误mRNA总表!D:I,6,FALSE)</f>
        <v>#N/A</v>
      </c>
    </row>
    <row r="2566" spans="1:13" x14ac:dyDescent="0.2">
      <c r="A2566" s="12" t="s">
        <v>5012</v>
      </c>
      <c r="B2566" s="12" t="s">
        <v>3994</v>
      </c>
      <c r="C2566" s="12">
        <v>4618677</v>
      </c>
      <c r="D2566" s="12">
        <v>4618975</v>
      </c>
      <c r="E2566" s="12" t="s">
        <v>3943</v>
      </c>
      <c r="F2566" s="12">
        <v>1</v>
      </c>
      <c r="H2566" s="12" t="s">
        <v>3587</v>
      </c>
      <c r="I2566" s="41" t="s">
        <v>7799</v>
      </c>
      <c r="M2566" s="41" t="e">
        <f>VLOOKUP(I2566,错误mRNA总表!D:I,6,FALSE)</f>
        <v>#N/A</v>
      </c>
    </row>
    <row r="2567" spans="1:13" x14ac:dyDescent="0.2">
      <c r="A2567" s="12" t="s">
        <v>5234</v>
      </c>
      <c r="B2567" s="12" t="s">
        <v>4773</v>
      </c>
      <c r="C2567" s="12">
        <v>313364</v>
      </c>
      <c r="D2567" s="12">
        <v>313844</v>
      </c>
      <c r="E2567" s="12" t="s">
        <v>3943</v>
      </c>
      <c r="F2567" s="12">
        <v>1</v>
      </c>
      <c r="H2567" s="12" t="s">
        <v>6537</v>
      </c>
      <c r="I2567" s="41" t="s">
        <v>7340</v>
      </c>
      <c r="M2567" s="41" t="e">
        <f>VLOOKUP(I2567,错误mRNA总表!D:I,6,FALSE)</f>
        <v>#N/A</v>
      </c>
    </row>
    <row r="2568" spans="1:13" x14ac:dyDescent="0.2">
      <c r="A2568" s="12" t="s">
        <v>5235</v>
      </c>
      <c r="B2568" s="12" t="s">
        <v>3978</v>
      </c>
      <c r="C2568" s="12">
        <v>194304997</v>
      </c>
      <c r="D2568" s="12">
        <v>194310322</v>
      </c>
      <c r="E2568" s="12" t="s">
        <v>3943</v>
      </c>
      <c r="F2568" s="12">
        <v>1</v>
      </c>
      <c r="G2568" s="41" t="s">
        <v>86</v>
      </c>
      <c r="H2568" s="12" t="s">
        <v>6181</v>
      </c>
      <c r="I2568" s="41" t="s">
        <v>7800</v>
      </c>
      <c r="M2568" s="41" t="e">
        <f>VLOOKUP(I2568,错误mRNA总表!D:I,6,FALSE)</f>
        <v>#N/A</v>
      </c>
    </row>
    <row r="2569" spans="1:13" x14ac:dyDescent="0.2">
      <c r="A2569" s="12" t="s">
        <v>4062</v>
      </c>
      <c r="B2569" s="12" t="s">
        <v>3996</v>
      </c>
      <c r="C2569" s="12">
        <v>2975524</v>
      </c>
      <c r="D2569" s="12">
        <v>2987441</v>
      </c>
      <c r="E2569" s="12" t="s">
        <v>3940</v>
      </c>
      <c r="F2569" s="12">
        <v>2</v>
      </c>
      <c r="H2569" s="12" t="s">
        <v>3426</v>
      </c>
      <c r="I2569" s="41" t="s">
        <v>7801</v>
      </c>
      <c r="M2569" s="41" t="e">
        <f>VLOOKUP(I2569,错误mRNA总表!D:I,6,FALSE)</f>
        <v>#N/A</v>
      </c>
    </row>
    <row r="2570" spans="1:13" x14ac:dyDescent="0.2">
      <c r="A2570" s="12" t="s">
        <v>5236</v>
      </c>
      <c r="B2570" s="12" t="s">
        <v>3946</v>
      </c>
      <c r="C2570" s="12">
        <v>40086876</v>
      </c>
      <c r="D2570" s="12">
        <v>40101479</v>
      </c>
      <c r="E2570" s="12" t="s">
        <v>3940</v>
      </c>
      <c r="F2570" s="12">
        <v>194</v>
      </c>
      <c r="G2570" s="41" t="s">
        <v>47</v>
      </c>
      <c r="H2570" s="12" t="s">
        <v>6182</v>
      </c>
      <c r="I2570" s="41" t="s">
        <v>7802</v>
      </c>
      <c r="M2570" s="41" t="e">
        <f>VLOOKUP(I2570,错误mRNA总表!D:I,6,FALSE)</f>
        <v>#N/A</v>
      </c>
    </row>
    <row r="2571" spans="1:13" x14ac:dyDescent="0.2">
      <c r="A2571" s="12" t="s">
        <v>5237</v>
      </c>
      <c r="B2571" s="12" t="s">
        <v>3939</v>
      </c>
      <c r="C2571" s="12">
        <v>142967173</v>
      </c>
      <c r="D2571" s="12">
        <v>142968015</v>
      </c>
      <c r="E2571" s="12" t="s">
        <v>3943</v>
      </c>
      <c r="F2571" s="12">
        <v>5</v>
      </c>
      <c r="G2571" s="41" t="s">
        <v>73</v>
      </c>
      <c r="H2571" s="12" t="s">
        <v>6183</v>
      </c>
      <c r="I2571" s="41" t="s">
        <v>7803</v>
      </c>
      <c r="M2571" s="41" t="e">
        <f>VLOOKUP(I2571,错误mRNA总表!D:I,6,FALSE)</f>
        <v>#N/A</v>
      </c>
    </row>
    <row r="2572" spans="1:13" x14ac:dyDescent="0.2">
      <c r="A2572" s="12" t="s">
        <v>5238</v>
      </c>
      <c r="B2572" s="12" t="s">
        <v>3994</v>
      </c>
      <c r="C2572" s="12">
        <v>2307538</v>
      </c>
      <c r="D2572" s="12">
        <v>2307663</v>
      </c>
      <c r="E2572" s="12" t="s">
        <v>3943</v>
      </c>
      <c r="F2572" s="12">
        <v>1</v>
      </c>
      <c r="H2572" s="12" t="s">
        <v>6184</v>
      </c>
      <c r="I2572" s="41" t="s">
        <v>7804</v>
      </c>
      <c r="M2572" s="41" t="e">
        <f>VLOOKUP(I2572,错误mRNA总表!D:I,6,FALSE)</f>
        <v>#N/A</v>
      </c>
    </row>
    <row r="2573" spans="1:13" x14ac:dyDescent="0.2">
      <c r="A2573" s="12" t="s">
        <v>4028</v>
      </c>
      <c r="B2573" s="12" t="s">
        <v>4942</v>
      </c>
      <c r="C2573" s="12">
        <v>134946</v>
      </c>
      <c r="D2573" s="12">
        <v>147927</v>
      </c>
      <c r="E2573" s="12" t="s">
        <v>3940</v>
      </c>
      <c r="F2573" s="12">
        <v>1</v>
      </c>
      <c r="H2573" s="12" t="s">
        <v>3649</v>
      </c>
      <c r="I2573" s="41" t="s">
        <v>6633</v>
      </c>
      <c r="M2573" s="41" t="e">
        <f>VLOOKUP(I2573,错误mRNA总表!D:I,6,FALSE)</f>
        <v>#N/A</v>
      </c>
    </row>
    <row r="2574" spans="1:13" x14ac:dyDescent="0.2">
      <c r="A2574" s="12" t="s">
        <v>4028</v>
      </c>
      <c r="B2574" s="12" t="s">
        <v>4942</v>
      </c>
      <c r="C2574" s="12">
        <v>134946</v>
      </c>
      <c r="D2574" s="12">
        <v>135009</v>
      </c>
      <c r="E2574" s="12" t="s">
        <v>3940</v>
      </c>
      <c r="F2574" s="12">
        <v>1</v>
      </c>
      <c r="H2574" s="12" t="s">
        <v>3649</v>
      </c>
      <c r="I2574" s="41" t="s">
        <v>6633</v>
      </c>
      <c r="M2574" s="41" t="e">
        <f>VLOOKUP(I2574,错误mRNA总表!D:I,6,FALSE)</f>
        <v>#N/A</v>
      </c>
    </row>
    <row r="2575" spans="1:13" x14ac:dyDescent="0.2">
      <c r="A2575" s="12" t="s">
        <v>5239</v>
      </c>
      <c r="B2575" s="12" t="s">
        <v>3994</v>
      </c>
      <c r="C2575" s="12">
        <v>2717778</v>
      </c>
      <c r="D2575" s="12">
        <v>2726589</v>
      </c>
      <c r="E2575" s="12" t="s">
        <v>3943</v>
      </c>
      <c r="F2575" s="12">
        <v>2</v>
      </c>
      <c r="H2575" s="12" t="s">
        <v>3557</v>
      </c>
      <c r="I2575" s="41" t="s">
        <v>7805</v>
      </c>
      <c r="M2575" s="41" t="e">
        <f>VLOOKUP(I2575,错误mRNA总表!D:I,6,FALSE)</f>
        <v>#N/A</v>
      </c>
    </row>
    <row r="2576" spans="1:13" x14ac:dyDescent="0.2">
      <c r="A2576" s="12" t="s">
        <v>4202</v>
      </c>
      <c r="B2576" s="12" t="s">
        <v>4273</v>
      </c>
      <c r="C2576" s="12">
        <v>165232</v>
      </c>
      <c r="D2576" s="12">
        <v>169309</v>
      </c>
      <c r="E2576" s="12" t="s">
        <v>3943</v>
      </c>
      <c r="F2576" s="12">
        <v>3</v>
      </c>
      <c r="H2576" s="12" t="s">
        <v>5827</v>
      </c>
      <c r="I2576" s="41" t="s">
        <v>6807</v>
      </c>
      <c r="M2576" s="41" t="e">
        <f>VLOOKUP(I2576,错误mRNA总表!D:I,6,FALSE)</f>
        <v>#N/A</v>
      </c>
    </row>
    <row r="2577" spans="1:13" x14ac:dyDescent="0.2">
      <c r="A2577" s="12" t="s">
        <v>5240</v>
      </c>
      <c r="B2577" s="12" t="s">
        <v>3957</v>
      </c>
      <c r="C2577" s="12">
        <v>67777775</v>
      </c>
      <c r="D2577" s="12">
        <v>67789294</v>
      </c>
      <c r="E2577" s="12" t="s">
        <v>3940</v>
      </c>
      <c r="F2577" s="12">
        <v>1</v>
      </c>
      <c r="G2577" s="41" t="s">
        <v>36</v>
      </c>
      <c r="H2577" s="12" t="s">
        <v>191</v>
      </c>
      <c r="I2577" s="41" t="s">
        <v>7806</v>
      </c>
      <c r="J2577" s="41" t="s">
        <v>2157</v>
      </c>
      <c r="K2577" s="41" t="str">
        <f>VLOOKUP(J2577,错误mRNA总表!D:J,7,FALSE)</f>
        <v>纠后正确</v>
      </c>
      <c r="M2577" s="41" t="e">
        <f>VLOOKUP(I2577,错误mRNA总表!D:I,6,FALSE)</f>
        <v>#N/A</v>
      </c>
    </row>
    <row r="2578" spans="1:13" x14ac:dyDescent="0.2">
      <c r="A2578" s="12" t="s">
        <v>5240</v>
      </c>
      <c r="B2578" s="12" t="s">
        <v>3957</v>
      </c>
      <c r="C2578" s="12">
        <v>67777775</v>
      </c>
      <c r="D2578" s="12">
        <v>67795380</v>
      </c>
      <c r="E2578" s="12" t="s">
        <v>3940</v>
      </c>
      <c r="F2578" s="12">
        <v>1</v>
      </c>
      <c r="G2578" s="41" t="s">
        <v>36</v>
      </c>
      <c r="H2578" s="12" t="s">
        <v>191</v>
      </c>
      <c r="I2578" s="41" t="s">
        <v>7806</v>
      </c>
      <c r="J2578" s="41" t="s">
        <v>2157</v>
      </c>
      <c r="K2578" s="41" t="str">
        <f>VLOOKUP(J2578,错误mRNA总表!D:J,7,FALSE)</f>
        <v>纠后正确</v>
      </c>
      <c r="M2578" s="41" t="e">
        <f>VLOOKUP(I2578,错误mRNA总表!D:I,6,FALSE)</f>
        <v>#N/A</v>
      </c>
    </row>
    <row r="2579" spans="1:13" x14ac:dyDescent="0.2">
      <c r="A2579" s="12" t="s">
        <v>5185</v>
      </c>
      <c r="B2579" s="12" t="s">
        <v>3996</v>
      </c>
      <c r="C2579" s="12">
        <v>3591246</v>
      </c>
      <c r="D2579" s="12">
        <v>3591343</v>
      </c>
      <c r="E2579" s="12" t="s">
        <v>3943</v>
      </c>
      <c r="F2579" s="12">
        <v>1</v>
      </c>
      <c r="H2579" s="12" t="s">
        <v>6162</v>
      </c>
      <c r="I2579" s="41" t="s">
        <v>7807</v>
      </c>
      <c r="M2579" s="41" t="e">
        <f>VLOOKUP(I2579,错误mRNA总表!D:I,6,FALSE)</f>
        <v>#N/A</v>
      </c>
    </row>
    <row r="2580" spans="1:13" x14ac:dyDescent="0.2">
      <c r="A2580" s="12" t="s">
        <v>5241</v>
      </c>
      <c r="B2580" s="12" t="s">
        <v>4012</v>
      </c>
      <c r="C2580" s="12">
        <v>32163433</v>
      </c>
      <c r="D2580" s="12">
        <v>32187495</v>
      </c>
      <c r="E2580" s="12" t="s">
        <v>3943</v>
      </c>
      <c r="F2580" s="12">
        <v>1</v>
      </c>
      <c r="G2580" s="41" t="s">
        <v>121</v>
      </c>
      <c r="H2580" s="12" t="s">
        <v>6185</v>
      </c>
      <c r="I2580" s="41" t="s">
        <v>7808</v>
      </c>
      <c r="M2580" s="41" t="e">
        <f>VLOOKUP(I2580,错误mRNA总表!D:I,6,FALSE)</f>
        <v>#N/A</v>
      </c>
    </row>
    <row r="2581" spans="1:13" x14ac:dyDescent="0.2">
      <c r="A2581" s="12" t="s">
        <v>5242</v>
      </c>
      <c r="B2581" s="12" t="s">
        <v>3948</v>
      </c>
      <c r="C2581" s="12">
        <v>75046060</v>
      </c>
      <c r="D2581" s="12">
        <v>75046339</v>
      </c>
      <c r="E2581" s="12" t="s">
        <v>3943</v>
      </c>
      <c r="F2581" s="12">
        <v>4</v>
      </c>
      <c r="G2581" s="41" t="s">
        <v>40</v>
      </c>
      <c r="H2581" s="12" t="s">
        <v>3601</v>
      </c>
      <c r="I2581" s="41" t="s">
        <v>7809</v>
      </c>
      <c r="M2581" s="41" t="e">
        <f>VLOOKUP(I2581,错误mRNA总表!D:I,6,FALSE)</f>
        <v>#N/A</v>
      </c>
    </row>
    <row r="2582" spans="1:13" x14ac:dyDescent="0.2">
      <c r="A2582" s="12" t="s">
        <v>4735</v>
      </c>
      <c r="B2582" s="12" t="s">
        <v>3964</v>
      </c>
      <c r="C2582" s="12">
        <v>2238422</v>
      </c>
      <c r="D2582" s="12">
        <v>2252155</v>
      </c>
      <c r="E2582" s="12" t="s">
        <v>3943</v>
      </c>
      <c r="F2582" s="12">
        <v>1</v>
      </c>
      <c r="H2582" s="12" t="s">
        <v>3424</v>
      </c>
      <c r="I2582" s="41" t="s">
        <v>7810</v>
      </c>
      <c r="M2582" s="41" t="e">
        <f>VLOOKUP(I2582,错误mRNA总表!D:I,6,FALSE)</f>
        <v>#N/A</v>
      </c>
    </row>
    <row r="2583" spans="1:13" x14ac:dyDescent="0.2">
      <c r="A2583" s="12" t="s">
        <v>4735</v>
      </c>
      <c r="B2583" s="12" t="s">
        <v>3964</v>
      </c>
      <c r="C2583" s="12">
        <v>2238422</v>
      </c>
      <c r="D2583" s="12">
        <v>2252167</v>
      </c>
      <c r="E2583" s="12" t="s">
        <v>3940</v>
      </c>
      <c r="F2583" s="12">
        <v>1</v>
      </c>
      <c r="H2583" s="12" t="s">
        <v>3424</v>
      </c>
      <c r="I2583" s="41" t="s">
        <v>7810</v>
      </c>
      <c r="M2583" s="41" t="e">
        <f>VLOOKUP(I2583,错误mRNA总表!D:I,6,FALSE)</f>
        <v>#N/A</v>
      </c>
    </row>
    <row r="2584" spans="1:13" x14ac:dyDescent="0.2">
      <c r="A2584" s="12" t="s">
        <v>4735</v>
      </c>
      <c r="B2584" s="12" t="s">
        <v>3964</v>
      </c>
      <c r="C2584" s="12">
        <v>2238422</v>
      </c>
      <c r="D2584" s="12">
        <v>2252171</v>
      </c>
      <c r="E2584" s="12" t="s">
        <v>3943</v>
      </c>
      <c r="F2584" s="12">
        <v>1</v>
      </c>
      <c r="H2584" s="12" t="s">
        <v>3424</v>
      </c>
      <c r="I2584" s="41" t="s">
        <v>7810</v>
      </c>
      <c r="M2584" s="41" t="e">
        <f>VLOOKUP(I2584,错误mRNA总表!D:I,6,FALSE)</f>
        <v>#N/A</v>
      </c>
    </row>
    <row r="2585" spans="1:13" x14ac:dyDescent="0.2">
      <c r="A2585" s="12" t="s">
        <v>4735</v>
      </c>
      <c r="B2585" s="12" t="s">
        <v>3964</v>
      </c>
      <c r="C2585" s="12">
        <v>2238422</v>
      </c>
      <c r="D2585" s="12">
        <v>2254632</v>
      </c>
      <c r="E2585" s="12" t="s">
        <v>3943</v>
      </c>
      <c r="F2585" s="12">
        <v>1</v>
      </c>
      <c r="H2585" s="12" t="s">
        <v>3424</v>
      </c>
      <c r="I2585" s="41" t="s">
        <v>7810</v>
      </c>
      <c r="M2585" s="41" t="e">
        <f>VLOOKUP(I2585,错误mRNA总表!D:I,6,FALSE)</f>
        <v>#N/A</v>
      </c>
    </row>
    <row r="2586" spans="1:13" x14ac:dyDescent="0.2">
      <c r="A2586" s="12" t="s">
        <v>4735</v>
      </c>
      <c r="B2586" s="12" t="s">
        <v>3964</v>
      </c>
      <c r="C2586" s="12">
        <v>2238422</v>
      </c>
      <c r="D2586" s="12">
        <v>2254639</v>
      </c>
      <c r="E2586" s="12" t="s">
        <v>3943</v>
      </c>
      <c r="F2586" s="12">
        <v>1</v>
      </c>
      <c r="H2586" s="12" t="s">
        <v>3424</v>
      </c>
      <c r="I2586" s="41" t="s">
        <v>7810</v>
      </c>
      <c r="M2586" s="41" t="e">
        <f>VLOOKUP(I2586,错误mRNA总表!D:I,6,FALSE)</f>
        <v>#N/A</v>
      </c>
    </row>
    <row r="2587" spans="1:13" x14ac:dyDescent="0.2">
      <c r="A2587" s="12" t="s">
        <v>4735</v>
      </c>
      <c r="B2587" s="12" t="s">
        <v>3964</v>
      </c>
      <c r="C2587" s="12">
        <v>2238422</v>
      </c>
      <c r="D2587" s="12">
        <v>2254645</v>
      </c>
      <c r="E2587" s="12" t="s">
        <v>3943</v>
      </c>
      <c r="F2587" s="12">
        <v>1</v>
      </c>
      <c r="H2587" s="12" t="s">
        <v>3424</v>
      </c>
      <c r="I2587" s="41" t="s">
        <v>7810</v>
      </c>
      <c r="M2587" s="41" t="e">
        <f>VLOOKUP(I2587,错误mRNA总表!D:I,6,FALSE)</f>
        <v>#N/A</v>
      </c>
    </row>
    <row r="2588" spans="1:13" x14ac:dyDescent="0.2">
      <c r="A2588" s="12" t="s">
        <v>5243</v>
      </c>
      <c r="B2588" s="12" t="s">
        <v>4001</v>
      </c>
      <c r="C2588" s="12">
        <v>873547</v>
      </c>
      <c r="D2588" s="12">
        <v>904213</v>
      </c>
      <c r="E2588" s="12" t="s">
        <v>3940</v>
      </c>
      <c r="F2588" s="12">
        <v>1</v>
      </c>
      <c r="H2588" s="12" t="s">
        <v>3520</v>
      </c>
      <c r="I2588" s="41" t="s">
        <v>7162</v>
      </c>
      <c r="M2588" s="41" t="e">
        <f>VLOOKUP(I2588,错误mRNA总表!D:I,6,FALSE)</f>
        <v>#N/A</v>
      </c>
    </row>
    <row r="2589" spans="1:13" x14ac:dyDescent="0.2">
      <c r="A2589" s="12" t="s">
        <v>5244</v>
      </c>
      <c r="B2589" s="12" t="s">
        <v>3948</v>
      </c>
      <c r="C2589" s="12">
        <v>100450341</v>
      </c>
      <c r="D2589" s="12">
        <v>100450408</v>
      </c>
      <c r="E2589" s="12" t="s">
        <v>3940</v>
      </c>
      <c r="F2589" s="12">
        <v>1</v>
      </c>
      <c r="G2589" s="41" t="s">
        <v>40</v>
      </c>
      <c r="H2589" s="12" t="s">
        <v>6186</v>
      </c>
      <c r="I2589" s="41" t="s">
        <v>7811</v>
      </c>
      <c r="M2589" s="41" t="e">
        <f>VLOOKUP(I2589,错误mRNA总表!D:I,6,FALSE)</f>
        <v>#N/A</v>
      </c>
    </row>
    <row r="2590" spans="1:13" x14ac:dyDescent="0.2">
      <c r="A2590" s="12" t="s">
        <v>4447</v>
      </c>
      <c r="B2590" s="12" t="s">
        <v>3984</v>
      </c>
      <c r="C2590" s="12">
        <v>2922643</v>
      </c>
      <c r="D2590" s="12">
        <v>2922659</v>
      </c>
      <c r="E2590" s="12" t="s">
        <v>3943</v>
      </c>
      <c r="F2590" s="12">
        <v>5</v>
      </c>
      <c r="H2590" s="12" t="s">
        <v>3567</v>
      </c>
      <c r="I2590" s="41" t="s">
        <v>7812</v>
      </c>
      <c r="M2590" s="41" t="e">
        <f>VLOOKUP(I2590,错误mRNA总表!D:I,6,FALSE)</f>
        <v>#N/A</v>
      </c>
    </row>
    <row r="2591" spans="1:13" x14ac:dyDescent="0.2">
      <c r="A2591" s="12" t="s">
        <v>4447</v>
      </c>
      <c r="B2591" s="12" t="s">
        <v>3984</v>
      </c>
      <c r="C2591" s="12">
        <v>2922643</v>
      </c>
      <c r="D2591" s="12">
        <v>2923119</v>
      </c>
      <c r="E2591" s="12" t="s">
        <v>3943</v>
      </c>
      <c r="F2591" s="12">
        <v>1</v>
      </c>
      <c r="H2591" s="12" t="s">
        <v>3567</v>
      </c>
      <c r="I2591" s="41" t="s">
        <v>7812</v>
      </c>
      <c r="M2591" s="41" t="e">
        <f>VLOOKUP(I2591,错误mRNA总表!D:I,6,FALSE)</f>
        <v>#N/A</v>
      </c>
    </row>
    <row r="2592" spans="1:13" x14ac:dyDescent="0.2">
      <c r="A2592" s="12" t="s">
        <v>4447</v>
      </c>
      <c r="B2592" s="12" t="s">
        <v>3984</v>
      </c>
      <c r="C2592" s="12">
        <v>2922643</v>
      </c>
      <c r="D2592" s="12">
        <v>2923239</v>
      </c>
      <c r="E2592" s="12" t="s">
        <v>3940</v>
      </c>
      <c r="F2592" s="12">
        <v>1</v>
      </c>
      <c r="H2592" s="12" t="s">
        <v>3567</v>
      </c>
      <c r="I2592" s="41" t="s">
        <v>7812</v>
      </c>
      <c r="M2592" s="41" t="e">
        <f>VLOOKUP(I2592,错误mRNA总表!D:I,6,FALSE)</f>
        <v>#N/A</v>
      </c>
    </row>
    <row r="2593" spans="1:13" x14ac:dyDescent="0.2">
      <c r="A2593" s="12" t="s">
        <v>5245</v>
      </c>
      <c r="B2593" s="12" t="s">
        <v>4107</v>
      </c>
      <c r="C2593" s="12">
        <v>1580621</v>
      </c>
      <c r="D2593" s="12">
        <v>1581756</v>
      </c>
      <c r="E2593" s="12" t="s">
        <v>3943</v>
      </c>
      <c r="F2593" s="12">
        <v>3</v>
      </c>
      <c r="H2593" s="12" t="s">
        <v>6187</v>
      </c>
      <c r="I2593" s="41" t="s">
        <v>7813</v>
      </c>
      <c r="M2593" s="41" t="e">
        <f>VLOOKUP(I2593,错误mRNA总表!D:I,6,FALSE)</f>
        <v>#N/A</v>
      </c>
    </row>
    <row r="2594" spans="1:13" x14ac:dyDescent="0.2">
      <c r="A2594" s="12" t="s">
        <v>5246</v>
      </c>
      <c r="B2594" s="12" t="s">
        <v>3969</v>
      </c>
      <c r="C2594" s="12">
        <v>4226965</v>
      </c>
      <c r="D2594" s="12">
        <v>4227045</v>
      </c>
      <c r="E2594" s="12" t="s">
        <v>3940</v>
      </c>
      <c r="F2594" s="12">
        <v>3</v>
      </c>
      <c r="H2594" s="12" t="s">
        <v>6188</v>
      </c>
      <c r="I2594" s="41" t="s">
        <v>7814</v>
      </c>
      <c r="M2594" s="41" t="e">
        <f>VLOOKUP(I2594,错误mRNA总表!D:I,6,FALSE)</f>
        <v>#N/A</v>
      </c>
    </row>
    <row r="2595" spans="1:13" x14ac:dyDescent="0.2">
      <c r="A2595" s="12" t="s">
        <v>5246</v>
      </c>
      <c r="B2595" s="12" t="s">
        <v>3969</v>
      </c>
      <c r="C2595" s="12">
        <v>4226965</v>
      </c>
      <c r="D2595" s="12">
        <v>4229948</v>
      </c>
      <c r="E2595" s="12" t="s">
        <v>3943</v>
      </c>
      <c r="F2595" s="12">
        <v>1</v>
      </c>
      <c r="H2595" s="12" t="s">
        <v>6188</v>
      </c>
      <c r="I2595" s="41" t="s">
        <v>7814</v>
      </c>
      <c r="M2595" s="41" t="e">
        <f>VLOOKUP(I2595,错误mRNA总表!D:I,6,FALSE)</f>
        <v>#N/A</v>
      </c>
    </row>
    <row r="2596" spans="1:13" x14ac:dyDescent="0.2">
      <c r="A2596" s="12" t="s">
        <v>5247</v>
      </c>
      <c r="B2596" s="12" t="s">
        <v>3948</v>
      </c>
      <c r="C2596" s="12">
        <v>100331249</v>
      </c>
      <c r="D2596" s="12">
        <v>100371476</v>
      </c>
      <c r="E2596" s="12" t="s">
        <v>3940</v>
      </c>
      <c r="F2596" s="12">
        <v>1</v>
      </c>
      <c r="G2596" s="41" t="s">
        <v>40</v>
      </c>
      <c r="H2596" s="12" t="s">
        <v>6189</v>
      </c>
      <c r="I2596" s="41" t="s">
        <v>7815</v>
      </c>
      <c r="M2596" s="41" t="e">
        <f>VLOOKUP(I2596,错误mRNA总表!D:I,6,FALSE)</f>
        <v>#N/A</v>
      </c>
    </row>
    <row r="2597" spans="1:13" x14ac:dyDescent="0.2">
      <c r="A2597" s="12" t="s">
        <v>5248</v>
      </c>
      <c r="B2597" s="12" t="s">
        <v>3948</v>
      </c>
      <c r="C2597" s="12">
        <v>50344378</v>
      </c>
      <c r="D2597" s="12">
        <v>50344382</v>
      </c>
      <c r="E2597" s="12" t="s">
        <v>3940</v>
      </c>
      <c r="F2597" s="12">
        <v>1</v>
      </c>
      <c r="G2597" s="41" t="s">
        <v>40</v>
      </c>
      <c r="H2597" s="12" t="s">
        <v>261</v>
      </c>
      <c r="I2597" s="41" t="s">
        <v>3326</v>
      </c>
      <c r="J2597" s="41" t="s">
        <v>3326</v>
      </c>
      <c r="K2597" s="41" t="str">
        <f>VLOOKUP(J2597,错误mRNA总表!D:J,7,FALSE)</f>
        <v>无变化</v>
      </c>
      <c r="L2597" s="41" t="s">
        <v>3762</v>
      </c>
      <c r="M2597" s="41">
        <f>VLOOKUP(I2597,错误mRNA总表!D:I,6,FALSE)</f>
        <v>0</v>
      </c>
    </row>
    <row r="2598" spans="1:13" x14ac:dyDescent="0.2">
      <c r="A2598" s="12" t="s">
        <v>5248</v>
      </c>
      <c r="B2598" s="12" t="s">
        <v>3948</v>
      </c>
      <c r="C2598" s="12">
        <v>50344378</v>
      </c>
      <c r="D2598" s="12">
        <v>50367353</v>
      </c>
      <c r="E2598" s="12" t="s">
        <v>3940</v>
      </c>
      <c r="F2598" s="12">
        <v>3</v>
      </c>
      <c r="G2598" s="41" t="s">
        <v>40</v>
      </c>
      <c r="H2598" s="12" t="s">
        <v>261</v>
      </c>
      <c r="I2598" s="41" t="s">
        <v>3326</v>
      </c>
      <c r="J2598" s="41" t="s">
        <v>3326</v>
      </c>
      <c r="K2598" s="41" t="str">
        <f>VLOOKUP(J2598,错误mRNA总表!D:J,7,FALSE)</f>
        <v>无变化</v>
      </c>
      <c r="L2598" s="41" t="s">
        <v>3762</v>
      </c>
      <c r="M2598" s="41">
        <f>VLOOKUP(I2598,错误mRNA总表!D:I,6,FALSE)</f>
        <v>0</v>
      </c>
    </row>
    <row r="2599" spans="1:13" x14ac:dyDescent="0.2">
      <c r="A2599" s="12" t="s">
        <v>4002</v>
      </c>
      <c r="B2599" s="12" t="s">
        <v>3984</v>
      </c>
      <c r="C2599" s="12">
        <v>1019444</v>
      </c>
      <c r="D2599" s="12">
        <v>1019611</v>
      </c>
      <c r="E2599" s="12" t="s">
        <v>3943</v>
      </c>
      <c r="F2599" s="12">
        <v>1</v>
      </c>
      <c r="H2599" s="12" t="s">
        <v>5781</v>
      </c>
      <c r="I2599" s="41" t="s">
        <v>7816</v>
      </c>
      <c r="M2599" s="41" t="e">
        <f>VLOOKUP(I2599,错误mRNA总表!D:I,6,FALSE)</f>
        <v>#N/A</v>
      </c>
    </row>
    <row r="2600" spans="1:13" x14ac:dyDescent="0.2">
      <c r="A2600" s="12" t="s">
        <v>5249</v>
      </c>
      <c r="B2600" s="12" t="s">
        <v>4026</v>
      </c>
      <c r="C2600" s="12">
        <v>247063</v>
      </c>
      <c r="D2600" s="12">
        <v>305355</v>
      </c>
      <c r="E2600" s="12" t="s">
        <v>3940</v>
      </c>
      <c r="F2600" s="12">
        <v>5</v>
      </c>
      <c r="H2600" s="12" t="s">
        <v>6190</v>
      </c>
      <c r="I2600" s="41" t="s">
        <v>7817</v>
      </c>
      <c r="M2600" s="41" t="e">
        <f>VLOOKUP(I2600,错误mRNA总表!D:I,6,FALSE)</f>
        <v>#N/A</v>
      </c>
    </row>
    <row r="2601" spans="1:13" x14ac:dyDescent="0.2">
      <c r="A2601" s="12" t="s">
        <v>5250</v>
      </c>
      <c r="B2601" s="12" t="s">
        <v>3986</v>
      </c>
      <c r="C2601" s="12">
        <v>45147098</v>
      </c>
      <c r="D2601" s="12">
        <v>45168927</v>
      </c>
      <c r="E2601" s="12" t="s">
        <v>3943</v>
      </c>
      <c r="F2601" s="12">
        <v>1</v>
      </c>
      <c r="G2601" s="41" t="s">
        <v>50</v>
      </c>
      <c r="H2601" s="12" t="s">
        <v>6450</v>
      </c>
      <c r="I2601" s="41" t="s">
        <v>7818</v>
      </c>
      <c r="M2601" s="41" t="e">
        <f>VLOOKUP(I2601,错误mRNA总表!D:I,6,FALSE)</f>
        <v>#N/A</v>
      </c>
    </row>
    <row r="2602" spans="1:13" x14ac:dyDescent="0.2">
      <c r="A2602" s="12" t="s">
        <v>4062</v>
      </c>
      <c r="B2602" s="12" t="s">
        <v>3984</v>
      </c>
      <c r="C2602" s="12">
        <v>2759574</v>
      </c>
      <c r="D2602" s="12">
        <v>2771475</v>
      </c>
      <c r="E2602" s="12" t="s">
        <v>3940</v>
      </c>
      <c r="F2602" s="12">
        <v>2</v>
      </c>
      <c r="H2602" s="12" t="s">
        <v>3426</v>
      </c>
      <c r="I2602" s="41" t="s">
        <v>7819</v>
      </c>
      <c r="M2602" s="41" t="e">
        <f>VLOOKUP(I2602,错误mRNA总表!D:I,6,FALSE)</f>
        <v>#N/A</v>
      </c>
    </row>
    <row r="2603" spans="1:13" x14ac:dyDescent="0.2">
      <c r="A2603" s="12" t="s">
        <v>4062</v>
      </c>
      <c r="B2603" s="12" t="s">
        <v>3984</v>
      </c>
      <c r="C2603" s="12">
        <v>2759574</v>
      </c>
      <c r="D2603" s="12">
        <v>2772038</v>
      </c>
      <c r="E2603" s="12" t="s">
        <v>3940</v>
      </c>
      <c r="F2603" s="12">
        <v>6</v>
      </c>
      <c r="H2603" s="12" t="s">
        <v>3426</v>
      </c>
      <c r="I2603" s="41" t="s">
        <v>7819</v>
      </c>
      <c r="M2603" s="41" t="e">
        <f>VLOOKUP(I2603,错误mRNA总表!D:I,6,FALSE)</f>
        <v>#N/A</v>
      </c>
    </row>
    <row r="2604" spans="1:13" x14ac:dyDescent="0.2">
      <c r="A2604" s="12" t="s">
        <v>5251</v>
      </c>
      <c r="B2604" s="12" t="s">
        <v>3957</v>
      </c>
      <c r="C2604" s="12">
        <v>67776048</v>
      </c>
      <c r="D2604" s="12">
        <v>67786065</v>
      </c>
      <c r="E2604" s="12" t="s">
        <v>3940</v>
      </c>
      <c r="F2604" s="12">
        <v>1</v>
      </c>
      <c r="G2604" s="41" t="s">
        <v>36</v>
      </c>
      <c r="H2604" s="12" t="s">
        <v>958</v>
      </c>
      <c r="I2604" s="41" t="s">
        <v>2267</v>
      </c>
      <c r="J2604" s="41" t="s">
        <v>2267</v>
      </c>
      <c r="K2604" s="41" t="str">
        <f>VLOOKUP(J2604,错误mRNA总表!D:J,7,FALSE)</f>
        <v>纠后正确</v>
      </c>
      <c r="L2604" s="41" t="s">
        <v>3763</v>
      </c>
      <c r="M2604" s="41">
        <f>VLOOKUP(I2604,错误mRNA总表!D:I,6,FALSE)</f>
        <v>0</v>
      </c>
    </row>
    <row r="2605" spans="1:13" x14ac:dyDescent="0.2">
      <c r="A2605" s="12" t="s">
        <v>5251</v>
      </c>
      <c r="B2605" s="12" t="s">
        <v>3957</v>
      </c>
      <c r="C2605" s="12">
        <v>67776048</v>
      </c>
      <c r="D2605" s="12">
        <v>67789294</v>
      </c>
      <c r="E2605" s="12" t="s">
        <v>3940</v>
      </c>
      <c r="F2605" s="12">
        <v>1</v>
      </c>
      <c r="G2605" s="41" t="s">
        <v>36</v>
      </c>
      <c r="H2605" s="12" t="s">
        <v>958</v>
      </c>
      <c r="I2605" s="41" t="s">
        <v>2267</v>
      </c>
      <c r="J2605" s="41" t="s">
        <v>2267</v>
      </c>
      <c r="K2605" s="41" t="str">
        <f>VLOOKUP(J2605,错误mRNA总表!D:J,7,FALSE)</f>
        <v>纠后正确</v>
      </c>
      <c r="L2605" s="41" t="s">
        <v>3763</v>
      </c>
      <c r="M2605" s="41">
        <f>VLOOKUP(I2605,错误mRNA总表!D:I,6,FALSE)</f>
        <v>0</v>
      </c>
    </row>
    <row r="2606" spans="1:13" x14ac:dyDescent="0.2">
      <c r="A2606" s="12" t="s">
        <v>5251</v>
      </c>
      <c r="B2606" s="12" t="s">
        <v>3957</v>
      </c>
      <c r="C2606" s="12">
        <v>67776048</v>
      </c>
      <c r="D2606" s="12">
        <v>67795380</v>
      </c>
      <c r="E2606" s="12" t="s">
        <v>3940</v>
      </c>
      <c r="F2606" s="12">
        <v>1</v>
      </c>
      <c r="G2606" s="41" t="s">
        <v>36</v>
      </c>
      <c r="H2606" s="12" t="s">
        <v>958</v>
      </c>
      <c r="I2606" s="41" t="s">
        <v>2267</v>
      </c>
      <c r="J2606" s="41" t="s">
        <v>2267</v>
      </c>
      <c r="K2606" s="41" t="str">
        <f>VLOOKUP(J2606,错误mRNA总表!D:J,7,FALSE)</f>
        <v>纠后正确</v>
      </c>
      <c r="L2606" s="41" t="s">
        <v>3763</v>
      </c>
      <c r="M2606" s="41">
        <f>VLOOKUP(I2606,错误mRNA总表!D:I,6,FALSE)</f>
        <v>0</v>
      </c>
    </row>
    <row r="2607" spans="1:13" x14ac:dyDescent="0.2">
      <c r="A2607" s="12" t="s">
        <v>5252</v>
      </c>
      <c r="B2607" s="12" t="s">
        <v>4107</v>
      </c>
      <c r="C2607" s="12">
        <v>1298395</v>
      </c>
      <c r="D2607" s="12">
        <v>1308746</v>
      </c>
      <c r="E2607" s="12" t="s">
        <v>3940</v>
      </c>
      <c r="F2607" s="12">
        <v>116</v>
      </c>
      <c r="H2607" s="12" t="s">
        <v>3686</v>
      </c>
      <c r="I2607" s="41" t="s">
        <v>7820</v>
      </c>
      <c r="M2607" s="41" t="e">
        <f>VLOOKUP(I2607,错误mRNA总表!D:I,6,FALSE)</f>
        <v>#N/A</v>
      </c>
    </row>
    <row r="2608" spans="1:13" x14ac:dyDescent="0.2">
      <c r="A2608" s="12" t="s">
        <v>5253</v>
      </c>
      <c r="B2608" s="12" t="s">
        <v>3989</v>
      </c>
      <c r="C2608" s="12">
        <v>3038543</v>
      </c>
      <c r="D2608" s="12">
        <v>3039908</v>
      </c>
      <c r="E2608" s="12" t="s">
        <v>3940</v>
      </c>
      <c r="F2608" s="12">
        <v>754</v>
      </c>
      <c r="H2608" s="12" t="s">
        <v>3430</v>
      </c>
      <c r="I2608" s="41" t="s">
        <v>7821</v>
      </c>
      <c r="M2608" s="41" t="e">
        <f>VLOOKUP(I2608,错误mRNA总表!D:I,6,FALSE)</f>
        <v>#N/A</v>
      </c>
    </row>
    <row r="2609" spans="1:13" x14ac:dyDescent="0.2">
      <c r="A2609" s="12" t="s">
        <v>5253</v>
      </c>
      <c r="B2609" s="12" t="s">
        <v>3989</v>
      </c>
      <c r="C2609" s="12">
        <v>3038543</v>
      </c>
      <c r="D2609" s="12">
        <v>3039896</v>
      </c>
      <c r="E2609" s="12" t="s">
        <v>3943</v>
      </c>
      <c r="F2609" s="12">
        <v>3</v>
      </c>
      <c r="H2609" s="12" t="s">
        <v>3430</v>
      </c>
      <c r="I2609" s="41" t="s">
        <v>7821</v>
      </c>
      <c r="M2609" s="41" t="e">
        <f>VLOOKUP(I2609,错误mRNA总表!D:I,6,FALSE)</f>
        <v>#N/A</v>
      </c>
    </row>
    <row r="2610" spans="1:13" x14ac:dyDescent="0.2">
      <c r="A2610" s="12" t="s">
        <v>5253</v>
      </c>
      <c r="B2610" s="12" t="s">
        <v>3989</v>
      </c>
      <c r="C2610" s="12">
        <v>3038543</v>
      </c>
      <c r="D2610" s="12">
        <v>3039904</v>
      </c>
      <c r="E2610" s="12" t="s">
        <v>3940</v>
      </c>
      <c r="F2610" s="12">
        <v>3</v>
      </c>
      <c r="H2610" s="12" t="s">
        <v>3430</v>
      </c>
      <c r="I2610" s="41" t="s">
        <v>7821</v>
      </c>
      <c r="M2610" s="41" t="e">
        <f>VLOOKUP(I2610,错误mRNA总表!D:I,6,FALSE)</f>
        <v>#N/A</v>
      </c>
    </row>
    <row r="2611" spans="1:13" x14ac:dyDescent="0.2">
      <c r="A2611" s="12" t="s">
        <v>4532</v>
      </c>
      <c r="B2611" s="12" t="s">
        <v>3969</v>
      </c>
      <c r="C2611" s="12">
        <v>4567658</v>
      </c>
      <c r="D2611" s="12">
        <v>4567711</v>
      </c>
      <c r="E2611" s="12" t="s">
        <v>3943</v>
      </c>
      <c r="F2611" s="12">
        <v>2</v>
      </c>
      <c r="H2611" s="12" t="s">
        <v>3593</v>
      </c>
      <c r="I2611" s="41" t="s">
        <v>7822</v>
      </c>
      <c r="M2611" s="41" t="e">
        <f>VLOOKUP(I2611,错误mRNA总表!D:I,6,FALSE)</f>
        <v>#N/A</v>
      </c>
    </row>
    <row r="2612" spans="1:13" x14ac:dyDescent="0.2">
      <c r="A2612" s="12" t="s">
        <v>4606</v>
      </c>
      <c r="B2612" s="12" t="s">
        <v>3957</v>
      </c>
      <c r="C2612" s="12">
        <v>118618472</v>
      </c>
      <c r="D2612" s="12">
        <v>118620716</v>
      </c>
      <c r="E2612" s="12" t="s">
        <v>3943</v>
      </c>
      <c r="F2612" s="12">
        <v>1</v>
      </c>
      <c r="G2612" s="41" t="s">
        <v>36</v>
      </c>
      <c r="H2612" s="12" t="s">
        <v>3619</v>
      </c>
      <c r="I2612" s="41" t="s">
        <v>7823</v>
      </c>
      <c r="M2612" s="41" t="e">
        <f>VLOOKUP(I2612,错误mRNA总表!D:I,6,FALSE)</f>
        <v>#N/A</v>
      </c>
    </row>
    <row r="2613" spans="1:13" x14ac:dyDescent="0.2">
      <c r="A2613" s="12" t="s">
        <v>4606</v>
      </c>
      <c r="B2613" s="12" t="s">
        <v>3957</v>
      </c>
      <c r="C2613" s="12">
        <v>118618472</v>
      </c>
      <c r="D2613" s="12">
        <v>118621889</v>
      </c>
      <c r="E2613" s="12" t="s">
        <v>3940</v>
      </c>
      <c r="F2613" s="12">
        <v>1</v>
      </c>
      <c r="G2613" s="41" t="s">
        <v>36</v>
      </c>
      <c r="H2613" s="12" t="s">
        <v>3619</v>
      </c>
      <c r="I2613" s="41" t="s">
        <v>7823</v>
      </c>
      <c r="M2613" s="41" t="e">
        <f>VLOOKUP(I2613,错误mRNA总表!D:I,6,FALSE)</f>
        <v>#N/A</v>
      </c>
    </row>
    <row r="2614" spans="1:13" x14ac:dyDescent="0.2">
      <c r="A2614" s="12" t="s">
        <v>5254</v>
      </c>
      <c r="B2614" s="12" t="s">
        <v>4004</v>
      </c>
      <c r="C2614" s="12">
        <v>17396286</v>
      </c>
      <c r="D2614" s="12">
        <v>17425539</v>
      </c>
      <c r="E2614" s="12" t="s">
        <v>3940</v>
      </c>
      <c r="F2614" s="12">
        <v>1</v>
      </c>
      <c r="G2614" s="41" t="s">
        <v>103</v>
      </c>
      <c r="H2614" s="12" t="s">
        <v>6609</v>
      </c>
      <c r="I2614" s="41" t="s">
        <v>7824</v>
      </c>
      <c r="M2614" s="41" t="e">
        <f>VLOOKUP(I2614,错误mRNA总表!D:I,6,FALSE)</f>
        <v>#N/A</v>
      </c>
    </row>
    <row r="2615" spans="1:13" x14ac:dyDescent="0.2">
      <c r="A2615" s="12" t="s">
        <v>5255</v>
      </c>
      <c r="B2615" s="12" t="s">
        <v>3948</v>
      </c>
      <c r="C2615" s="12">
        <v>75831216</v>
      </c>
      <c r="D2615" s="12">
        <v>75914936</v>
      </c>
      <c r="E2615" s="12" t="s">
        <v>3940</v>
      </c>
      <c r="F2615" s="12">
        <v>1</v>
      </c>
      <c r="G2615" s="41" t="s">
        <v>40</v>
      </c>
      <c r="H2615" s="12" t="s">
        <v>195</v>
      </c>
      <c r="I2615" s="41" t="s">
        <v>2198</v>
      </c>
      <c r="J2615" s="41" t="s">
        <v>2198</v>
      </c>
      <c r="K2615" s="41" t="str">
        <f>VLOOKUP(J2615,错误mRNA总表!D:J,7,FALSE)</f>
        <v>纠后正确</v>
      </c>
      <c r="L2615" s="41" t="s">
        <v>3763</v>
      </c>
      <c r="M2615" s="41">
        <f>VLOOKUP(I2615,错误mRNA总表!D:I,6,FALSE)</f>
        <v>0</v>
      </c>
    </row>
    <row r="2616" spans="1:13" x14ac:dyDescent="0.2">
      <c r="A2616" s="12" t="s">
        <v>5255</v>
      </c>
      <c r="B2616" s="12" t="s">
        <v>4356</v>
      </c>
      <c r="C2616" s="12">
        <v>3731134</v>
      </c>
      <c r="D2616" s="12">
        <v>3814854</v>
      </c>
      <c r="E2616" s="12" t="s">
        <v>3940</v>
      </c>
      <c r="F2616" s="12">
        <v>1</v>
      </c>
      <c r="H2616" s="12" t="s">
        <v>195</v>
      </c>
      <c r="I2616" s="41" t="s">
        <v>7825</v>
      </c>
      <c r="J2616" s="41" t="s">
        <v>2198</v>
      </c>
      <c r="K2616" s="41" t="str">
        <f>VLOOKUP(J2616,错误mRNA总表!D:J,7,FALSE)</f>
        <v>纠后正确</v>
      </c>
      <c r="M2616" s="41" t="e">
        <f>VLOOKUP(I2616,错误mRNA总表!D:I,6,FALSE)</f>
        <v>#N/A</v>
      </c>
    </row>
    <row r="2617" spans="1:13" x14ac:dyDescent="0.2">
      <c r="A2617" s="12" t="s">
        <v>5256</v>
      </c>
      <c r="B2617" s="12" t="s">
        <v>3939</v>
      </c>
      <c r="C2617" s="12">
        <v>16606122</v>
      </c>
      <c r="D2617" s="12">
        <v>16606679</v>
      </c>
      <c r="E2617" s="12" t="s">
        <v>3943</v>
      </c>
      <c r="F2617" s="12">
        <v>1</v>
      </c>
      <c r="G2617" s="41" t="s">
        <v>73</v>
      </c>
      <c r="H2617" s="12" t="s">
        <v>6191</v>
      </c>
      <c r="I2617" s="41" t="s">
        <v>7754</v>
      </c>
      <c r="M2617" s="41" t="e">
        <f>VLOOKUP(I2617,错误mRNA总表!D:I,6,FALSE)</f>
        <v>#N/A</v>
      </c>
    </row>
    <row r="2618" spans="1:13" x14ac:dyDescent="0.2">
      <c r="A2618" s="12" t="s">
        <v>5257</v>
      </c>
      <c r="B2618" s="12" t="s">
        <v>3969</v>
      </c>
      <c r="C2618" s="12">
        <v>2919236</v>
      </c>
      <c r="D2618" s="12">
        <v>2919414</v>
      </c>
      <c r="E2618" s="12" t="s">
        <v>3943</v>
      </c>
      <c r="F2618" s="12">
        <v>1</v>
      </c>
      <c r="H2618" s="12" t="s">
        <v>3570</v>
      </c>
      <c r="I2618" s="41" t="s">
        <v>7262</v>
      </c>
      <c r="M2618" s="41" t="e">
        <f>VLOOKUP(I2618,错误mRNA总表!D:I,6,FALSE)</f>
        <v>#N/A</v>
      </c>
    </row>
    <row r="2619" spans="1:13" x14ac:dyDescent="0.2">
      <c r="A2619" s="12" t="s">
        <v>5258</v>
      </c>
      <c r="B2619" s="12" t="s">
        <v>4012</v>
      </c>
      <c r="C2619" s="12">
        <v>76311115</v>
      </c>
      <c r="D2619" s="12">
        <v>76311603</v>
      </c>
      <c r="E2619" s="12" t="s">
        <v>3940</v>
      </c>
      <c r="F2619" s="12">
        <v>1</v>
      </c>
      <c r="G2619" s="41" t="s">
        <v>121</v>
      </c>
      <c r="H2619" s="12" t="s">
        <v>6192</v>
      </c>
      <c r="I2619" s="41" t="s">
        <v>7826</v>
      </c>
      <c r="M2619" s="41" t="e">
        <f>VLOOKUP(I2619,错误mRNA总表!D:I,6,FALSE)</f>
        <v>#N/A</v>
      </c>
    </row>
    <row r="2620" spans="1:13" x14ac:dyDescent="0.2">
      <c r="A2620" s="12" t="s">
        <v>5259</v>
      </c>
      <c r="B2620" s="12" t="s">
        <v>4841</v>
      </c>
      <c r="C2620" s="12">
        <v>161994</v>
      </c>
      <c r="D2620" s="12">
        <v>309075</v>
      </c>
      <c r="E2620" s="12" t="s">
        <v>3943</v>
      </c>
      <c r="F2620" s="12">
        <v>1</v>
      </c>
      <c r="H2620" s="12" t="s">
        <v>3669</v>
      </c>
      <c r="I2620" s="41" t="s">
        <v>7827</v>
      </c>
      <c r="M2620" s="41" t="e">
        <f>VLOOKUP(I2620,错误mRNA总表!D:I,6,FALSE)</f>
        <v>#N/A</v>
      </c>
    </row>
    <row r="2621" spans="1:13" x14ac:dyDescent="0.2">
      <c r="A2621" s="12" t="s">
        <v>5259</v>
      </c>
      <c r="B2621" s="12" t="s">
        <v>4841</v>
      </c>
      <c r="C2621" s="12">
        <v>161994</v>
      </c>
      <c r="D2621" s="12">
        <v>309110</v>
      </c>
      <c r="E2621" s="12" t="s">
        <v>3943</v>
      </c>
      <c r="F2621" s="12">
        <v>1</v>
      </c>
      <c r="H2621" s="12" t="s">
        <v>3669</v>
      </c>
      <c r="I2621" s="41" t="s">
        <v>7827</v>
      </c>
      <c r="M2621" s="41" t="e">
        <f>VLOOKUP(I2621,错误mRNA总表!D:I,6,FALSE)</f>
        <v>#N/A</v>
      </c>
    </row>
    <row r="2622" spans="1:13" x14ac:dyDescent="0.2">
      <c r="A2622" s="12" t="s">
        <v>5259</v>
      </c>
      <c r="B2622" s="12" t="s">
        <v>4841</v>
      </c>
      <c r="C2622" s="12">
        <v>161994</v>
      </c>
      <c r="D2622" s="12">
        <v>309118</v>
      </c>
      <c r="E2622" s="12" t="s">
        <v>3943</v>
      </c>
      <c r="F2622" s="12">
        <v>1</v>
      </c>
      <c r="H2622" s="12" t="s">
        <v>3669</v>
      </c>
      <c r="I2622" s="41" t="s">
        <v>7827</v>
      </c>
      <c r="M2622" s="41" t="e">
        <f>VLOOKUP(I2622,错误mRNA总表!D:I,6,FALSE)</f>
        <v>#N/A</v>
      </c>
    </row>
    <row r="2623" spans="1:13" x14ac:dyDescent="0.2">
      <c r="A2623" s="12" t="s">
        <v>5259</v>
      </c>
      <c r="B2623" s="12" t="s">
        <v>4841</v>
      </c>
      <c r="C2623" s="12">
        <v>161994</v>
      </c>
      <c r="D2623" s="12">
        <v>309138</v>
      </c>
      <c r="E2623" s="12" t="s">
        <v>3943</v>
      </c>
      <c r="F2623" s="12">
        <v>1</v>
      </c>
      <c r="H2623" s="12" t="s">
        <v>3669</v>
      </c>
      <c r="I2623" s="41" t="s">
        <v>7827</v>
      </c>
      <c r="M2623" s="41" t="e">
        <f>VLOOKUP(I2623,错误mRNA总表!D:I,6,FALSE)</f>
        <v>#N/A</v>
      </c>
    </row>
    <row r="2624" spans="1:13" x14ac:dyDescent="0.2">
      <c r="A2624" s="12" t="s">
        <v>5259</v>
      </c>
      <c r="B2624" s="12" t="s">
        <v>4841</v>
      </c>
      <c r="C2624" s="12">
        <v>161994</v>
      </c>
      <c r="D2624" s="12">
        <v>309819</v>
      </c>
      <c r="E2624" s="12" t="s">
        <v>3940</v>
      </c>
      <c r="F2624" s="12">
        <v>1</v>
      </c>
      <c r="H2624" s="12" t="s">
        <v>3669</v>
      </c>
      <c r="I2624" s="41" t="s">
        <v>7827</v>
      </c>
      <c r="M2624" s="41" t="e">
        <f>VLOOKUP(I2624,错误mRNA总表!D:I,6,FALSE)</f>
        <v>#N/A</v>
      </c>
    </row>
    <row r="2625" spans="1:13" x14ac:dyDescent="0.2">
      <c r="A2625" s="12" t="s">
        <v>5260</v>
      </c>
      <c r="B2625" s="12" t="s">
        <v>3942</v>
      </c>
      <c r="C2625" s="12">
        <v>180682147</v>
      </c>
      <c r="D2625" s="12">
        <v>180682608</v>
      </c>
      <c r="E2625" s="12" t="s">
        <v>3943</v>
      </c>
      <c r="F2625" s="12">
        <v>1</v>
      </c>
      <c r="G2625" s="41" t="s">
        <v>186</v>
      </c>
      <c r="H2625" s="12" t="s">
        <v>6193</v>
      </c>
      <c r="I2625" s="41" t="s">
        <v>7828</v>
      </c>
      <c r="M2625" s="41" t="e">
        <f>VLOOKUP(I2625,错误mRNA总表!D:I,6,FALSE)</f>
        <v>#N/A</v>
      </c>
    </row>
    <row r="2626" spans="1:13" x14ac:dyDescent="0.2">
      <c r="A2626" s="12" t="s">
        <v>5261</v>
      </c>
      <c r="B2626" s="12" t="s">
        <v>3978</v>
      </c>
      <c r="C2626" s="12">
        <v>88198893</v>
      </c>
      <c r="D2626" s="12">
        <v>88199192</v>
      </c>
      <c r="E2626" s="12" t="s">
        <v>3940</v>
      </c>
      <c r="F2626" s="12">
        <v>1</v>
      </c>
      <c r="G2626" s="41" t="s">
        <v>86</v>
      </c>
      <c r="H2626" s="12" t="s">
        <v>6538</v>
      </c>
      <c r="I2626" s="41" t="s">
        <v>7829</v>
      </c>
      <c r="M2626" s="41" t="e">
        <f>VLOOKUP(I2626,错误mRNA总表!D:I,6,FALSE)</f>
        <v>#N/A</v>
      </c>
    </row>
    <row r="2627" spans="1:13" x14ac:dyDescent="0.2">
      <c r="A2627" s="12" t="s">
        <v>5262</v>
      </c>
      <c r="B2627" s="12" t="s">
        <v>4042</v>
      </c>
      <c r="C2627" s="12">
        <v>78396948</v>
      </c>
      <c r="D2627" s="12">
        <v>78397349</v>
      </c>
      <c r="E2627" s="12" t="s">
        <v>3943</v>
      </c>
      <c r="F2627" s="12">
        <v>1</v>
      </c>
      <c r="G2627" s="41" t="s">
        <v>113</v>
      </c>
      <c r="H2627" s="12" t="s">
        <v>6194</v>
      </c>
      <c r="I2627" s="41" t="s">
        <v>7830</v>
      </c>
      <c r="M2627" s="41" t="e">
        <f>VLOOKUP(I2627,错误mRNA总表!D:I,6,FALSE)</f>
        <v>#N/A</v>
      </c>
    </row>
    <row r="2628" spans="1:13" x14ac:dyDescent="0.2">
      <c r="A2628" s="12" t="s">
        <v>3983</v>
      </c>
      <c r="B2628" s="12" t="s">
        <v>3996</v>
      </c>
      <c r="C2628" s="12">
        <v>3591246</v>
      </c>
      <c r="D2628" s="12">
        <v>3591343</v>
      </c>
      <c r="E2628" s="12" t="s">
        <v>3943</v>
      </c>
      <c r="F2628" s="12">
        <v>1</v>
      </c>
      <c r="H2628" s="12" t="s">
        <v>5777</v>
      </c>
      <c r="I2628" s="41" t="s">
        <v>7831</v>
      </c>
      <c r="M2628" s="41" t="e">
        <f>VLOOKUP(I2628,错误mRNA总表!D:I,6,FALSE)</f>
        <v>#N/A</v>
      </c>
    </row>
    <row r="2629" spans="1:13" x14ac:dyDescent="0.2">
      <c r="A2629" s="12" t="s">
        <v>5263</v>
      </c>
      <c r="B2629" s="12" t="s">
        <v>3973</v>
      </c>
      <c r="C2629" s="12">
        <v>1571100</v>
      </c>
      <c r="D2629" s="12">
        <v>1590440</v>
      </c>
      <c r="E2629" s="12" t="s">
        <v>3943</v>
      </c>
      <c r="F2629" s="12">
        <v>1</v>
      </c>
      <c r="G2629" s="41" t="s">
        <v>139</v>
      </c>
      <c r="H2629" s="12" t="s">
        <v>317</v>
      </c>
      <c r="I2629" s="41" t="s">
        <v>2223</v>
      </c>
      <c r="J2629" s="41" t="s">
        <v>2223</v>
      </c>
      <c r="K2629" s="41" t="str">
        <f>VLOOKUP(J2629,错误mRNA总表!D:J,7,FALSE)</f>
        <v>rs号无此变体，区间略有变化，加77个氨基酸chr1:1571126-1586818</v>
      </c>
      <c r="L2629" s="41" t="s">
        <v>3866</v>
      </c>
      <c r="M2629" s="41" t="str">
        <f>VLOOKUP(I2629,错误mRNA总表!D:I,6,FALSE)</f>
        <v>rs号无此变体，区间略有变化，加77个氨基酸chr1:1571126-1586818</v>
      </c>
    </row>
    <row r="2630" spans="1:13" x14ac:dyDescent="0.2">
      <c r="A2630" s="12" t="s">
        <v>5263</v>
      </c>
      <c r="B2630" s="12" t="s">
        <v>3973</v>
      </c>
      <c r="C2630" s="12">
        <v>1571100</v>
      </c>
      <c r="D2630" s="12">
        <v>1580623</v>
      </c>
      <c r="E2630" s="12" t="s">
        <v>3940</v>
      </c>
      <c r="F2630" s="12">
        <v>229</v>
      </c>
      <c r="G2630" s="41" t="s">
        <v>139</v>
      </c>
      <c r="H2630" s="12" t="s">
        <v>317</v>
      </c>
      <c r="I2630" s="41" t="s">
        <v>2223</v>
      </c>
      <c r="J2630" s="41" t="s">
        <v>2223</v>
      </c>
      <c r="K2630" s="41" t="str">
        <f>VLOOKUP(J2630,错误mRNA总表!D:J,7,FALSE)</f>
        <v>rs号无此变体，区间略有变化，加77个氨基酸chr1:1571126-1586818</v>
      </c>
      <c r="L2630" s="41" t="s">
        <v>3866</v>
      </c>
      <c r="M2630" s="41" t="str">
        <f>VLOOKUP(I2630,错误mRNA总表!D:I,6,FALSE)</f>
        <v>rs号无此变体，区间略有变化，加77个氨基酸chr1:1571126-1586818</v>
      </c>
    </row>
    <row r="2631" spans="1:13" x14ac:dyDescent="0.2">
      <c r="A2631" s="12" t="s">
        <v>5264</v>
      </c>
      <c r="B2631" s="12" t="s">
        <v>3986</v>
      </c>
      <c r="C2631" s="12">
        <v>58694356</v>
      </c>
      <c r="D2631" s="12">
        <v>58718361</v>
      </c>
      <c r="E2631" s="12" t="s">
        <v>3940</v>
      </c>
      <c r="F2631" s="12">
        <v>1</v>
      </c>
      <c r="G2631" s="41" t="s">
        <v>50</v>
      </c>
      <c r="H2631" s="12" t="s">
        <v>3479</v>
      </c>
      <c r="I2631" s="41" t="s">
        <v>7832</v>
      </c>
      <c r="M2631" s="41" t="e">
        <f>VLOOKUP(I2631,错误mRNA总表!D:I,6,FALSE)</f>
        <v>#N/A</v>
      </c>
    </row>
    <row r="2632" spans="1:13" x14ac:dyDescent="0.2">
      <c r="A2632" s="12" t="s">
        <v>5265</v>
      </c>
      <c r="B2632" s="12" t="s">
        <v>3978</v>
      </c>
      <c r="C2632" s="12">
        <v>53317443</v>
      </c>
      <c r="D2632" s="12">
        <v>53324819</v>
      </c>
      <c r="E2632" s="12" t="s">
        <v>3943</v>
      </c>
      <c r="F2632" s="12">
        <v>6</v>
      </c>
      <c r="G2632" s="41" t="s">
        <v>86</v>
      </c>
      <c r="H2632" s="12" t="s">
        <v>531</v>
      </c>
      <c r="I2632" s="41" t="s">
        <v>2236</v>
      </c>
      <c r="J2632" s="41" t="s">
        <v>2236</v>
      </c>
      <c r="K2632" s="41" t="str">
        <f>VLOOKUP(J2632,错误mRNA总表!D:J,7,FALSE)</f>
        <v>纠后正确，少2个氨基酸chr3:53321601-53324874</v>
      </c>
      <c r="L2632" s="41" t="s">
        <v>8361</v>
      </c>
      <c r="M2632" s="41">
        <f>VLOOKUP(I2632,错误mRNA总表!D:I,6,FALSE)</f>
        <v>0</v>
      </c>
    </row>
    <row r="2633" spans="1:13" x14ac:dyDescent="0.2">
      <c r="A2633" s="12" t="s">
        <v>5266</v>
      </c>
      <c r="B2633" s="12" t="s">
        <v>4199</v>
      </c>
      <c r="C2633" s="12">
        <v>66095</v>
      </c>
      <c r="D2633" s="12">
        <v>67233</v>
      </c>
      <c r="E2633" s="12" t="s">
        <v>3943</v>
      </c>
      <c r="F2633" s="12">
        <v>1</v>
      </c>
      <c r="H2633" s="12" t="s">
        <v>6195</v>
      </c>
      <c r="I2633" s="41" t="s">
        <v>7319</v>
      </c>
      <c r="M2633" s="41" t="e">
        <f>VLOOKUP(I2633,错误mRNA总表!D:I,6,FALSE)</f>
        <v>#N/A</v>
      </c>
    </row>
    <row r="2634" spans="1:13" x14ac:dyDescent="0.2">
      <c r="A2634" s="12" t="s">
        <v>5267</v>
      </c>
      <c r="B2634" s="12" t="s">
        <v>4055</v>
      </c>
      <c r="C2634" s="12">
        <v>9980077</v>
      </c>
      <c r="D2634" s="12">
        <v>9994449</v>
      </c>
      <c r="E2634" s="12" t="s">
        <v>3943</v>
      </c>
      <c r="F2634" s="12">
        <v>3</v>
      </c>
      <c r="G2634" s="41" t="s">
        <v>212</v>
      </c>
      <c r="H2634" s="12" t="s">
        <v>1008</v>
      </c>
      <c r="I2634" s="41" t="s">
        <v>2270</v>
      </c>
      <c r="J2634" s="41" t="s">
        <v>2270</v>
      </c>
      <c r="K2634" s="41" t="str">
        <f>VLOOKUP(J2634,错误mRNA总表!D:J,7,FALSE)</f>
        <v>纠后正确，少1个氨基酸chr12:9994450-9997125</v>
      </c>
      <c r="L2634" s="41" t="s">
        <v>8348</v>
      </c>
      <c r="M2634" s="41">
        <f>VLOOKUP(I2634,错误mRNA总表!D:I,6,FALSE)</f>
        <v>0</v>
      </c>
    </row>
    <row r="2635" spans="1:13" x14ac:dyDescent="0.2">
      <c r="A2635" s="12" t="s">
        <v>5268</v>
      </c>
      <c r="B2635" s="12" t="s">
        <v>3946</v>
      </c>
      <c r="C2635" s="12">
        <v>79373540</v>
      </c>
      <c r="D2635" s="12">
        <v>79373717</v>
      </c>
      <c r="E2635" s="12" t="s">
        <v>3940</v>
      </c>
      <c r="F2635" s="12">
        <v>92</v>
      </c>
      <c r="G2635" s="41" t="s">
        <v>47</v>
      </c>
      <c r="H2635" s="12" t="s">
        <v>1206</v>
      </c>
      <c r="I2635" s="41" t="s">
        <v>2280</v>
      </c>
      <c r="J2635" s="41" t="s">
        <v>2280</v>
      </c>
      <c r="K2635" s="41" t="str">
        <f>VLOOKUP(J2635,错误mRNA总表!D:J,7,FALSE)</f>
        <v>纠后正确,区间略有变化，加57个氨基酸chr8:79394663-79433358</v>
      </c>
      <c r="M2635" s="41" t="str">
        <f>VLOOKUP(I2635,错误mRNA总表!D:I,6,FALSE)</f>
        <v>纠后正确,区间略有变化，加57个氨基酸chr8:79394663-79433358</v>
      </c>
    </row>
    <row r="2636" spans="1:13" x14ac:dyDescent="0.2">
      <c r="A2636" s="12" t="s">
        <v>5268</v>
      </c>
      <c r="B2636" s="12" t="s">
        <v>3946</v>
      </c>
      <c r="C2636" s="12">
        <v>79373540</v>
      </c>
      <c r="D2636" s="12">
        <v>79394672</v>
      </c>
      <c r="E2636" s="12" t="s">
        <v>3940</v>
      </c>
      <c r="F2636" s="12">
        <v>75</v>
      </c>
      <c r="G2636" s="41" t="s">
        <v>47</v>
      </c>
      <c r="H2636" s="12" t="s">
        <v>1206</v>
      </c>
      <c r="I2636" s="41" t="s">
        <v>2280</v>
      </c>
      <c r="J2636" s="41" t="s">
        <v>2280</v>
      </c>
      <c r="K2636" s="41" t="str">
        <f>VLOOKUP(J2636,错误mRNA总表!D:J,7,FALSE)</f>
        <v>纠后正确,区间略有变化，加57个氨基酸chr8:79394663-79433358</v>
      </c>
      <c r="M2636" s="41" t="str">
        <f>VLOOKUP(I2636,错误mRNA总表!D:I,6,FALSE)</f>
        <v>纠后正确,区间略有变化，加57个氨基酸chr8:79394663-79433358</v>
      </c>
    </row>
    <row r="2637" spans="1:13" x14ac:dyDescent="0.2">
      <c r="A2637" s="12" t="s">
        <v>5269</v>
      </c>
      <c r="B2637" s="12" t="s">
        <v>3966</v>
      </c>
      <c r="C2637" s="12">
        <v>45809572</v>
      </c>
      <c r="D2637" s="12">
        <v>45810279</v>
      </c>
      <c r="E2637" s="12" t="s">
        <v>3940</v>
      </c>
      <c r="F2637" s="12">
        <v>1</v>
      </c>
      <c r="G2637" s="41" t="s">
        <v>43</v>
      </c>
      <c r="H2637" s="12" t="s">
        <v>221</v>
      </c>
      <c r="I2637" s="41" t="s">
        <v>7833</v>
      </c>
      <c r="J2637" s="41" t="s">
        <v>2191</v>
      </c>
      <c r="K2637" s="41" t="str">
        <f>VLOOKUP(J2637,错误mRNA总表!D:J,7,FALSE)</f>
        <v>纠后正确，utr略有变化，版本不一致</v>
      </c>
      <c r="M2637" s="41" t="e">
        <f>VLOOKUP(I2637,错误mRNA总表!D:I,6,FALSE)</f>
        <v>#N/A</v>
      </c>
    </row>
    <row r="2638" spans="1:13" x14ac:dyDescent="0.2">
      <c r="A2638" s="12" t="s">
        <v>5270</v>
      </c>
      <c r="B2638" s="12" t="s">
        <v>3966</v>
      </c>
      <c r="C2638" s="12">
        <v>30792930</v>
      </c>
      <c r="D2638" s="12">
        <v>30819616</v>
      </c>
      <c r="E2638" s="12" t="s">
        <v>3940</v>
      </c>
      <c r="F2638" s="12">
        <v>1</v>
      </c>
      <c r="G2638" s="41" t="s">
        <v>43</v>
      </c>
      <c r="H2638" s="12" t="s">
        <v>6585</v>
      </c>
      <c r="I2638" s="41" t="s">
        <v>7834</v>
      </c>
      <c r="M2638" s="41" t="e">
        <f>VLOOKUP(I2638,错误mRNA总表!D:I,6,FALSE)</f>
        <v>#N/A</v>
      </c>
    </row>
    <row r="2639" spans="1:13" x14ac:dyDescent="0.2">
      <c r="A2639" s="12" t="s">
        <v>5271</v>
      </c>
      <c r="B2639" s="12" t="s">
        <v>3946</v>
      </c>
      <c r="C2639" s="12">
        <v>29815019</v>
      </c>
      <c r="D2639" s="12">
        <v>29863658</v>
      </c>
      <c r="E2639" s="12" t="s">
        <v>3943</v>
      </c>
      <c r="F2639" s="12">
        <v>1</v>
      </c>
      <c r="G2639" s="41" t="s">
        <v>47</v>
      </c>
      <c r="H2639" s="12" t="s">
        <v>6196</v>
      </c>
      <c r="I2639" s="41" t="s">
        <v>7835</v>
      </c>
      <c r="M2639" s="41" t="e">
        <f>VLOOKUP(I2639,错误mRNA总表!D:I,6,FALSE)</f>
        <v>#N/A</v>
      </c>
    </row>
    <row r="2640" spans="1:13" x14ac:dyDescent="0.2">
      <c r="A2640" s="12" t="s">
        <v>4450</v>
      </c>
      <c r="B2640" s="12" t="s">
        <v>3984</v>
      </c>
      <c r="C2640" s="12">
        <v>2756365</v>
      </c>
      <c r="D2640" s="12">
        <v>2756448</v>
      </c>
      <c r="E2640" s="12" t="s">
        <v>3940</v>
      </c>
      <c r="F2640" s="12">
        <v>4</v>
      </c>
      <c r="H2640" s="12" t="s">
        <v>5904</v>
      </c>
      <c r="I2640" s="41" t="s">
        <v>7836</v>
      </c>
      <c r="M2640" s="41" t="e">
        <f>VLOOKUP(I2640,错误mRNA总表!D:I,6,FALSE)</f>
        <v>#N/A</v>
      </c>
    </row>
    <row r="2641" spans="1:13" x14ac:dyDescent="0.2">
      <c r="A2641" s="12" t="s">
        <v>4450</v>
      </c>
      <c r="B2641" s="12" t="s">
        <v>3984</v>
      </c>
      <c r="C2641" s="12">
        <v>2756365</v>
      </c>
      <c r="D2641" s="12">
        <v>2756453</v>
      </c>
      <c r="E2641" s="12" t="s">
        <v>3943</v>
      </c>
      <c r="F2641" s="12">
        <v>4</v>
      </c>
      <c r="H2641" s="12" t="s">
        <v>5904</v>
      </c>
      <c r="I2641" s="41" t="s">
        <v>7836</v>
      </c>
      <c r="M2641" s="41" t="e">
        <f>VLOOKUP(I2641,错误mRNA总表!D:I,6,FALSE)</f>
        <v>#N/A</v>
      </c>
    </row>
    <row r="2642" spans="1:13" x14ac:dyDescent="0.2">
      <c r="A2642" s="12" t="s">
        <v>4450</v>
      </c>
      <c r="B2642" s="12" t="s">
        <v>3984</v>
      </c>
      <c r="C2642" s="12">
        <v>2756365</v>
      </c>
      <c r="D2642" s="12">
        <v>2756459</v>
      </c>
      <c r="E2642" s="12" t="s">
        <v>3943</v>
      </c>
      <c r="F2642" s="12">
        <v>5</v>
      </c>
      <c r="H2642" s="12" t="s">
        <v>5904</v>
      </c>
      <c r="I2642" s="41" t="s">
        <v>7836</v>
      </c>
      <c r="M2642" s="41" t="e">
        <f>VLOOKUP(I2642,错误mRNA总表!D:I,6,FALSE)</f>
        <v>#N/A</v>
      </c>
    </row>
    <row r="2643" spans="1:13" x14ac:dyDescent="0.2">
      <c r="A2643" s="12" t="s">
        <v>4450</v>
      </c>
      <c r="B2643" s="12" t="s">
        <v>3984</v>
      </c>
      <c r="C2643" s="12">
        <v>2756365</v>
      </c>
      <c r="D2643" s="12">
        <v>2771475</v>
      </c>
      <c r="E2643" s="12" t="s">
        <v>3940</v>
      </c>
      <c r="F2643" s="12">
        <v>2</v>
      </c>
      <c r="H2643" s="12" t="s">
        <v>5904</v>
      </c>
      <c r="I2643" s="41" t="s">
        <v>7836</v>
      </c>
      <c r="M2643" s="41" t="e">
        <f>VLOOKUP(I2643,错误mRNA总表!D:I,6,FALSE)</f>
        <v>#N/A</v>
      </c>
    </row>
    <row r="2644" spans="1:13" x14ac:dyDescent="0.2">
      <c r="A2644" s="12" t="s">
        <v>4450</v>
      </c>
      <c r="B2644" s="12" t="s">
        <v>3984</v>
      </c>
      <c r="C2644" s="12">
        <v>2756365</v>
      </c>
      <c r="D2644" s="12">
        <v>2772038</v>
      </c>
      <c r="E2644" s="12" t="s">
        <v>3940</v>
      </c>
      <c r="F2644" s="12">
        <v>6</v>
      </c>
      <c r="H2644" s="12" t="s">
        <v>5904</v>
      </c>
      <c r="I2644" s="41" t="s">
        <v>7836</v>
      </c>
      <c r="M2644" s="41" t="e">
        <f>VLOOKUP(I2644,错误mRNA总表!D:I,6,FALSE)</f>
        <v>#N/A</v>
      </c>
    </row>
    <row r="2645" spans="1:13" x14ac:dyDescent="0.2">
      <c r="A2645" s="12" t="s">
        <v>5272</v>
      </c>
      <c r="B2645" s="12" t="s">
        <v>3966</v>
      </c>
      <c r="C2645" s="12">
        <v>18660804</v>
      </c>
      <c r="D2645" s="12">
        <v>18668116</v>
      </c>
      <c r="E2645" s="12" t="s">
        <v>3940</v>
      </c>
      <c r="F2645" s="12">
        <v>3</v>
      </c>
      <c r="G2645" s="41" t="s">
        <v>43</v>
      </c>
      <c r="H2645" s="12" t="s">
        <v>6197</v>
      </c>
      <c r="I2645" s="41" t="s">
        <v>7837</v>
      </c>
      <c r="M2645" s="41" t="e">
        <f>VLOOKUP(I2645,错误mRNA总表!D:I,6,FALSE)</f>
        <v>#N/A</v>
      </c>
    </row>
    <row r="2646" spans="1:13" x14ac:dyDescent="0.2">
      <c r="A2646" s="12" t="s">
        <v>5273</v>
      </c>
      <c r="B2646" s="12" t="s">
        <v>4018</v>
      </c>
      <c r="C2646" s="12">
        <v>17566699</v>
      </c>
      <c r="D2646" s="12">
        <v>17981988</v>
      </c>
      <c r="E2646" s="12" t="s">
        <v>3940</v>
      </c>
      <c r="F2646" s="12">
        <v>1</v>
      </c>
      <c r="G2646" s="41" t="s">
        <v>241</v>
      </c>
      <c r="H2646" s="12" t="s">
        <v>6392</v>
      </c>
      <c r="I2646" s="41" t="s">
        <v>6906</v>
      </c>
      <c r="M2646" s="41" t="e">
        <f>VLOOKUP(I2646,错误mRNA总表!D:I,6,FALSE)</f>
        <v>#N/A</v>
      </c>
    </row>
    <row r="2647" spans="1:13" x14ac:dyDescent="0.2">
      <c r="A2647" s="12" t="s">
        <v>4453</v>
      </c>
      <c r="B2647" s="12" t="s">
        <v>3964</v>
      </c>
      <c r="C2647" s="12">
        <v>2508260</v>
      </c>
      <c r="D2647" s="12">
        <v>2513533</v>
      </c>
      <c r="E2647" s="12" t="s">
        <v>3943</v>
      </c>
      <c r="F2647" s="12">
        <v>1</v>
      </c>
      <c r="H2647" s="12" t="s">
        <v>3554</v>
      </c>
      <c r="I2647" s="41" t="s">
        <v>7838</v>
      </c>
      <c r="M2647" s="41" t="e">
        <f>VLOOKUP(I2647,错误mRNA总表!D:I,6,FALSE)</f>
        <v>#N/A</v>
      </c>
    </row>
    <row r="2648" spans="1:13" x14ac:dyDescent="0.2">
      <c r="A2648" s="12" t="s">
        <v>5274</v>
      </c>
      <c r="B2648" s="12" t="s">
        <v>3994</v>
      </c>
      <c r="C2648" s="12">
        <v>2043580</v>
      </c>
      <c r="D2648" s="12">
        <v>2046974</v>
      </c>
      <c r="E2648" s="12" t="s">
        <v>3940</v>
      </c>
      <c r="F2648" s="12">
        <v>92</v>
      </c>
      <c r="H2648" s="12" t="s">
        <v>6198</v>
      </c>
      <c r="I2648" s="41" t="s">
        <v>7839</v>
      </c>
      <c r="M2648" s="41" t="e">
        <f>VLOOKUP(I2648,错误mRNA总表!D:I,6,FALSE)</f>
        <v>#N/A</v>
      </c>
    </row>
    <row r="2649" spans="1:13" x14ac:dyDescent="0.2">
      <c r="A2649" s="12" t="s">
        <v>5275</v>
      </c>
      <c r="B2649" s="12" t="s">
        <v>3939</v>
      </c>
      <c r="C2649" s="12">
        <v>85224099</v>
      </c>
      <c r="D2649" s="12">
        <v>85224121</v>
      </c>
      <c r="E2649" s="12" t="s">
        <v>3940</v>
      </c>
      <c r="F2649" s="12">
        <v>1</v>
      </c>
      <c r="G2649" s="41" t="s">
        <v>73</v>
      </c>
      <c r="H2649" s="12" t="s">
        <v>6451</v>
      </c>
      <c r="I2649" s="41" t="s">
        <v>6954</v>
      </c>
      <c r="M2649" s="41" t="e">
        <f>VLOOKUP(I2649,错误mRNA总表!D:I,6,FALSE)</f>
        <v>#N/A</v>
      </c>
    </row>
    <row r="2650" spans="1:13" x14ac:dyDescent="0.2">
      <c r="A2650" s="12" t="s">
        <v>5276</v>
      </c>
      <c r="B2650" s="12" t="s">
        <v>3994</v>
      </c>
      <c r="C2650" s="12">
        <v>3244191</v>
      </c>
      <c r="D2650" s="12">
        <v>3244195</v>
      </c>
      <c r="E2650" s="12" t="s">
        <v>3940</v>
      </c>
      <c r="F2650" s="12">
        <v>5</v>
      </c>
      <c r="H2650" s="12" t="s">
        <v>3431</v>
      </c>
      <c r="I2650" s="41" t="s">
        <v>7150</v>
      </c>
      <c r="M2650" s="41" t="e">
        <f>VLOOKUP(I2650,错误mRNA总表!D:I,6,FALSE)</f>
        <v>#N/A</v>
      </c>
    </row>
    <row r="2651" spans="1:13" x14ac:dyDescent="0.2">
      <c r="A2651" s="12" t="s">
        <v>5277</v>
      </c>
      <c r="B2651" s="12" t="s">
        <v>5278</v>
      </c>
      <c r="C2651" s="12">
        <v>3989</v>
      </c>
      <c r="D2651" s="12">
        <v>4074</v>
      </c>
      <c r="E2651" s="12" t="s">
        <v>3940</v>
      </c>
      <c r="F2651" s="12">
        <v>1</v>
      </c>
      <c r="H2651" s="12" t="s">
        <v>6199</v>
      </c>
      <c r="I2651" s="41" t="s">
        <v>7840</v>
      </c>
      <c r="M2651" s="41" t="e">
        <f>VLOOKUP(I2651,错误mRNA总表!D:I,6,FALSE)</f>
        <v>#N/A</v>
      </c>
    </row>
    <row r="2652" spans="1:13" x14ac:dyDescent="0.2">
      <c r="A2652" s="12" t="s">
        <v>5277</v>
      </c>
      <c r="B2652" s="12" t="s">
        <v>5278</v>
      </c>
      <c r="C2652" s="12">
        <v>3989</v>
      </c>
      <c r="D2652" s="12">
        <v>5458</v>
      </c>
      <c r="E2652" s="12" t="s">
        <v>3940</v>
      </c>
      <c r="F2652" s="12">
        <v>178</v>
      </c>
      <c r="H2652" s="12" t="s">
        <v>6199</v>
      </c>
      <c r="I2652" s="41" t="s">
        <v>7840</v>
      </c>
      <c r="M2652" s="41" t="e">
        <f>VLOOKUP(I2652,错误mRNA总表!D:I,6,FALSE)</f>
        <v>#N/A</v>
      </c>
    </row>
    <row r="2653" spans="1:13" x14ac:dyDescent="0.2">
      <c r="A2653" s="12" t="s">
        <v>5277</v>
      </c>
      <c r="B2653" s="12" t="s">
        <v>5278</v>
      </c>
      <c r="C2653" s="12">
        <v>3989</v>
      </c>
      <c r="D2653" s="12">
        <v>5349</v>
      </c>
      <c r="E2653" s="12" t="s">
        <v>3940</v>
      </c>
      <c r="F2653" s="12">
        <v>1</v>
      </c>
      <c r="H2653" s="12" t="s">
        <v>6199</v>
      </c>
      <c r="I2653" s="41" t="s">
        <v>7840</v>
      </c>
      <c r="M2653" s="41" t="e">
        <f>VLOOKUP(I2653,错误mRNA总表!D:I,6,FALSE)</f>
        <v>#N/A</v>
      </c>
    </row>
    <row r="2654" spans="1:13" x14ac:dyDescent="0.2">
      <c r="A2654" s="12" t="s">
        <v>5277</v>
      </c>
      <c r="B2654" s="12" t="s">
        <v>5278</v>
      </c>
      <c r="C2654" s="12">
        <v>3989</v>
      </c>
      <c r="D2654" s="12">
        <v>5401</v>
      </c>
      <c r="E2654" s="12" t="s">
        <v>3943</v>
      </c>
      <c r="F2654" s="12">
        <v>2</v>
      </c>
      <c r="H2654" s="12" t="s">
        <v>6199</v>
      </c>
      <c r="I2654" s="41" t="s">
        <v>7840</v>
      </c>
      <c r="M2654" s="41" t="e">
        <f>VLOOKUP(I2654,错误mRNA总表!D:I,6,FALSE)</f>
        <v>#N/A</v>
      </c>
    </row>
    <row r="2655" spans="1:13" x14ac:dyDescent="0.2">
      <c r="A2655" s="12" t="s">
        <v>5277</v>
      </c>
      <c r="B2655" s="12" t="s">
        <v>5278</v>
      </c>
      <c r="C2655" s="12">
        <v>3989</v>
      </c>
      <c r="D2655" s="12">
        <v>7964</v>
      </c>
      <c r="E2655" s="12" t="s">
        <v>3940</v>
      </c>
      <c r="F2655" s="12">
        <v>34</v>
      </c>
      <c r="H2655" s="12" t="s">
        <v>6199</v>
      </c>
      <c r="I2655" s="41" t="s">
        <v>7840</v>
      </c>
      <c r="M2655" s="41" t="e">
        <f>VLOOKUP(I2655,错误mRNA总表!D:I,6,FALSE)</f>
        <v>#N/A</v>
      </c>
    </row>
    <row r="2656" spans="1:13" x14ac:dyDescent="0.2">
      <c r="A2656" s="12" t="s">
        <v>5277</v>
      </c>
      <c r="B2656" s="12" t="s">
        <v>5278</v>
      </c>
      <c r="C2656" s="12">
        <v>3989</v>
      </c>
      <c r="D2656" s="12">
        <v>13198</v>
      </c>
      <c r="E2656" s="12" t="s">
        <v>3940</v>
      </c>
      <c r="F2656" s="12">
        <v>24</v>
      </c>
      <c r="H2656" s="12" t="s">
        <v>6199</v>
      </c>
      <c r="I2656" s="41" t="s">
        <v>7840</v>
      </c>
      <c r="M2656" s="41" t="e">
        <f>VLOOKUP(I2656,错误mRNA总表!D:I,6,FALSE)</f>
        <v>#N/A</v>
      </c>
    </row>
    <row r="2657" spans="1:13" x14ac:dyDescent="0.2">
      <c r="A2657" s="12" t="s">
        <v>5277</v>
      </c>
      <c r="B2657" s="12" t="s">
        <v>5278</v>
      </c>
      <c r="C2657" s="12">
        <v>3989</v>
      </c>
      <c r="D2657" s="12">
        <v>13169</v>
      </c>
      <c r="E2657" s="12" t="s">
        <v>3943</v>
      </c>
      <c r="F2657" s="12">
        <v>1</v>
      </c>
      <c r="H2657" s="12" t="s">
        <v>6199</v>
      </c>
      <c r="I2657" s="41" t="s">
        <v>7840</v>
      </c>
      <c r="M2657" s="41" t="e">
        <f>VLOOKUP(I2657,错误mRNA总表!D:I,6,FALSE)</f>
        <v>#N/A</v>
      </c>
    </row>
    <row r="2658" spans="1:13" x14ac:dyDescent="0.2">
      <c r="A2658" s="12" t="s">
        <v>5277</v>
      </c>
      <c r="B2658" s="12" t="s">
        <v>5278</v>
      </c>
      <c r="C2658" s="12">
        <v>3989</v>
      </c>
      <c r="D2658" s="12">
        <v>13175</v>
      </c>
      <c r="E2658" s="12" t="s">
        <v>3940</v>
      </c>
      <c r="F2658" s="12">
        <v>1</v>
      </c>
      <c r="H2658" s="12" t="s">
        <v>6199</v>
      </c>
      <c r="I2658" s="41" t="s">
        <v>7840</v>
      </c>
      <c r="M2658" s="41" t="e">
        <f>VLOOKUP(I2658,错误mRNA总表!D:I,6,FALSE)</f>
        <v>#N/A</v>
      </c>
    </row>
    <row r="2659" spans="1:13" x14ac:dyDescent="0.2">
      <c r="A2659" s="12" t="s">
        <v>5277</v>
      </c>
      <c r="B2659" s="12" t="s">
        <v>5278</v>
      </c>
      <c r="C2659" s="12">
        <v>3989</v>
      </c>
      <c r="D2659" s="12">
        <v>13185</v>
      </c>
      <c r="E2659" s="12" t="s">
        <v>3943</v>
      </c>
      <c r="F2659" s="12">
        <v>2</v>
      </c>
      <c r="H2659" s="12" t="s">
        <v>6199</v>
      </c>
      <c r="I2659" s="41" t="s">
        <v>7840</v>
      </c>
      <c r="M2659" s="41" t="e">
        <f>VLOOKUP(I2659,错误mRNA总表!D:I,6,FALSE)</f>
        <v>#N/A</v>
      </c>
    </row>
    <row r="2660" spans="1:13" x14ac:dyDescent="0.2">
      <c r="A2660" s="12" t="s">
        <v>5279</v>
      </c>
      <c r="B2660" s="12" t="s">
        <v>3978</v>
      </c>
      <c r="C2660" s="12">
        <v>51433298</v>
      </c>
      <c r="D2660" s="12">
        <v>51467664</v>
      </c>
      <c r="E2660" s="12" t="s">
        <v>3940</v>
      </c>
      <c r="F2660" s="12">
        <v>159</v>
      </c>
      <c r="G2660" s="41" t="s">
        <v>86</v>
      </c>
      <c r="H2660" s="12" t="s">
        <v>526</v>
      </c>
      <c r="I2660" s="41" t="s">
        <v>2234</v>
      </c>
      <c r="J2660" s="41" t="s">
        <v>2234</v>
      </c>
      <c r="K2660" s="41" t="str">
        <f>VLOOKUP(J2660,错误mRNA总表!D:J,7,FALSE)</f>
        <v>纠后正确，rs无基因信息，加53个氨基酸，chr3:51436200-51467663</v>
      </c>
      <c r="L2660" s="41" t="s">
        <v>8362</v>
      </c>
      <c r="M2660" s="41">
        <f>VLOOKUP(I2660,错误mRNA总表!D:I,6,FALSE)</f>
        <v>0</v>
      </c>
    </row>
    <row r="2661" spans="1:13" x14ac:dyDescent="0.2">
      <c r="A2661" s="12" t="s">
        <v>5280</v>
      </c>
      <c r="B2661" s="12" t="s">
        <v>5281</v>
      </c>
      <c r="C2661" s="12">
        <v>1502</v>
      </c>
      <c r="D2661" s="12">
        <v>1592</v>
      </c>
      <c r="E2661" s="12" t="s">
        <v>3940</v>
      </c>
      <c r="F2661" s="12">
        <v>256</v>
      </c>
      <c r="H2661" s="12" t="s">
        <v>3603</v>
      </c>
      <c r="I2661" s="41" t="s">
        <v>7841</v>
      </c>
      <c r="M2661" s="41" t="e">
        <f>VLOOKUP(I2661,错误mRNA总表!D:I,6,FALSE)</f>
        <v>#N/A</v>
      </c>
    </row>
    <row r="2662" spans="1:13" x14ac:dyDescent="0.2">
      <c r="A2662" s="12" t="s">
        <v>5282</v>
      </c>
      <c r="B2662" s="12" t="s">
        <v>3948</v>
      </c>
      <c r="C2662" s="12">
        <v>100450341</v>
      </c>
      <c r="D2662" s="12">
        <v>100450408</v>
      </c>
      <c r="E2662" s="12" t="s">
        <v>3940</v>
      </c>
      <c r="F2662" s="12">
        <v>1</v>
      </c>
      <c r="G2662" s="41" t="s">
        <v>40</v>
      </c>
      <c r="H2662" s="12" t="s">
        <v>6539</v>
      </c>
      <c r="I2662" s="41" t="s">
        <v>7842</v>
      </c>
      <c r="M2662" s="41" t="e">
        <f>VLOOKUP(I2662,错误mRNA总表!D:I,6,FALSE)</f>
        <v>#N/A</v>
      </c>
    </row>
    <row r="2663" spans="1:13" x14ac:dyDescent="0.2">
      <c r="A2663" s="12" t="s">
        <v>5283</v>
      </c>
      <c r="B2663" s="12" t="s">
        <v>4055</v>
      </c>
      <c r="C2663" s="12">
        <v>8234807</v>
      </c>
      <c r="D2663" s="12">
        <v>8249389</v>
      </c>
      <c r="E2663" s="12" t="s">
        <v>3943</v>
      </c>
      <c r="F2663" s="12">
        <v>1</v>
      </c>
      <c r="G2663" s="41" t="s">
        <v>212</v>
      </c>
      <c r="H2663" s="12" t="s">
        <v>6540</v>
      </c>
      <c r="I2663" s="41" t="s">
        <v>7843</v>
      </c>
      <c r="M2663" s="41" t="e">
        <f>VLOOKUP(I2663,错误mRNA总表!D:I,6,FALSE)</f>
        <v>#N/A</v>
      </c>
    </row>
    <row r="2664" spans="1:13" x14ac:dyDescent="0.2">
      <c r="A2664" s="12" t="s">
        <v>4431</v>
      </c>
      <c r="B2664" s="12" t="s">
        <v>3994</v>
      </c>
      <c r="C2664" s="12">
        <v>1241473</v>
      </c>
      <c r="D2664" s="12">
        <v>1241837</v>
      </c>
      <c r="E2664" s="12" t="s">
        <v>3940</v>
      </c>
      <c r="F2664" s="12">
        <v>5</v>
      </c>
      <c r="H2664" s="12" t="s">
        <v>5898</v>
      </c>
      <c r="I2664" s="41" t="s">
        <v>7844</v>
      </c>
      <c r="M2664" s="41" t="e">
        <f>VLOOKUP(I2664,错误mRNA总表!D:I,6,FALSE)</f>
        <v>#N/A</v>
      </c>
    </row>
    <row r="2665" spans="1:13" x14ac:dyDescent="0.2">
      <c r="A2665" s="12" t="s">
        <v>5284</v>
      </c>
      <c r="B2665" s="12" t="s">
        <v>3973</v>
      </c>
      <c r="C2665" s="12">
        <v>35544972</v>
      </c>
      <c r="D2665" s="12">
        <v>35545023</v>
      </c>
      <c r="E2665" s="12" t="s">
        <v>3940</v>
      </c>
      <c r="F2665" s="12">
        <v>2</v>
      </c>
      <c r="G2665" s="41" t="s">
        <v>139</v>
      </c>
      <c r="H2665" s="12" t="s">
        <v>6541</v>
      </c>
      <c r="I2665" s="41" t="s">
        <v>7845</v>
      </c>
      <c r="M2665" s="41" t="e">
        <f>VLOOKUP(I2665,错误mRNA总表!D:I,6,FALSE)</f>
        <v>#N/A</v>
      </c>
    </row>
    <row r="2666" spans="1:13" x14ac:dyDescent="0.2">
      <c r="A2666" s="12" t="s">
        <v>5285</v>
      </c>
      <c r="B2666" s="12" t="s">
        <v>3966</v>
      </c>
      <c r="C2666" s="12">
        <v>51041562</v>
      </c>
      <c r="D2666" s="12">
        <v>51042513</v>
      </c>
      <c r="E2666" s="12" t="s">
        <v>3940</v>
      </c>
      <c r="F2666" s="12">
        <v>1</v>
      </c>
      <c r="G2666" s="41" t="s">
        <v>43</v>
      </c>
      <c r="H2666" s="12" t="s">
        <v>1359</v>
      </c>
      <c r="I2666" s="41" t="s">
        <v>3392</v>
      </c>
      <c r="J2666" s="41" t="s">
        <v>3392</v>
      </c>
      <c r="K2666" s="41" t="str">
        <f>VLOOKUP(J2666,错误mRNA总表!D:J,7,FALSE)</f>
        <v>纠后正确</v>
      </c>
      <c r="L2666" s="41" t="s">
        <v>3763</v>
      </c>
      <c r="M2666" s="41">
        <f>VLOOKUP(I2666,错误mRNA总表!D:I,6,FALSE)</f>
        <v>0</v>
      </c>
    </row>
    <row r="2667" spans="1:13" x14ac:dyDescent="0.2">
      <c r="A2667" s="12" t="s">
        <v>5286</v>
      </c>
      <c r="B2667" s="12" t="s">
        <v>3978</v>
      </c>
      <c r="C2667" s="12">
        <v>14444076</v>
      </c>
      <c r="D2667" s="12">
        <v>14444243</v>
      </c>
      <c r="E2667" s="12" t="s">
        <v>3943</v>
      </c>
      <c r="F2667" s="12">
        <v>1</v>
      </c>
      <c r="G2667" s="41" t="s">
        <v>86</v>
      </c>
      <c r="H2667" s="12" t="s">
        <v>6452</v>
      </c>
      <c r="I2667" s="41" t="s">
        <v>7634</v>
      </c>
      <c r="M2667" s="41" t="e">
        <f>VLOOKUP(I2667,错误mRNA总表!D:I,6,FALSE)</f>
        <v>#N/A</v>
      </c>
    </row>
    <row r="2668" spans="1:13" x14ac:dyDescent="0.2">
      <c r="A2668" s="12" t="s">
        <v>5286</v>
      </c>
      <c r="B2668" s="12" t="s">
        <v>3978</v>
      </c>
      <c r="C2668" s="12">
        <v>14444076</v>
      </c>
      <c r="D2668" s="12">
        <v>14444277</v>
      </c>
      <c r="E2668" s="12" t="s">
        <v>3943</v>
      </c>
      <c r="F2668" s="12">
        <v>1</v>
      </c>
      <c r="G2668" s="41" t="s">
        <v>86</v>
      </c>
      <c r="H2668" s="12" t="s">
        <v>6452</v>
      </c>
      <c r="I2668" s="41" t="s">
        <v>7634</v>
      </c>
      <c r="M2668" s="41" t="e">
        <f>VLOOKUP(I2668,错误mRNA总表!D:I,6,FALSE)</f>
        <v>#N/A</v>
      </c>
    </row>
    <row r="2669" spans="1:13" x14ac:dyDescent="0.2">
      <c r="A2669" s="12" t="s">
        <v>5286</v>
      </c>
      <c r="B2669" s="12" t="s">
        <v>3978</v>
      </c>
      <c r="C2669" s="12">
        <v>14444076</v>
      </c>
      <c r="D2669" s="12">
        <v>14444286</v>
      </c>
      <c r="E2669" s="12" t="s">
        <v>3943</v>
      </c>
      <c r="F2669" s="12">
        <v>1</v>
      </c>
      <c r="G2669" s="41" t="s">
        <v>86</v>
      </c>
      <c r="H2669" s="12" t="s">
        <v>6452</v>
      </c>
      <c r="I2669" s="41" t="s">
        <v>7634</v>
      </c>
      <c r="M2669" s="41" t="e">
        <f>VLOOKUP(I2669,错误mRNA总表!D:I,6,FALSE)</f>
        <v>#N/A</v>
      </c>
    </row>
    <row r="2670" spans="1:13" x14ac:dyDescent="0.2">
      <c r="A2670" s="12" t="s">
        <v>5286</v>
      </c>
      <c r="B2670" s="12" t="s">
        <v>3978</v>
      </c>
      <c r="C2670" s="12">
        <v>14444076</v>
      </c>
      <c r="D2670" s="12">
        <v>14444308</v>
      </c>
      <c r="E2670" s="12" t="s">
        <v>3943</v>
      </c>
      <c r="F2670" s="12">
        <v>1</v>
      </c>
      <c r="G2670" s="41" t="s">
        <v>86</v>
      </c>
      <c r="H2670" s="12" t="s">
        <v>6452</v>
      </c>
      <c r="I2670" s="41" t="s">
        <v>7634</v>
      </c>
      <c r="M2670" s="41" t="e">
        <f>VLOOKUP(I2670,错误mRNA总表!D:I,6,FALSE)</f>
        <v>#N/A</v>
      </c>
    </row>
    <row r="2671" spans="1:13" x14ac:dyDescent="0.2">
      <c r="A2671" s="12" t="s">
        <v>5286</v>
      </c>
      <c r="B2671" s="12" t="s">
        <v>3978</v>
      </c>
      <c r="C2671" s="12">
        <v>14444076</v>
      </c>
      <c r="D2671" s="12">
        <v>14444318</v>
      </c>
      <c r="E2671" s="12" t="s">
        <v>3943</v>
      </c>
      <c r="F2671" s="12">
        <v>1</v>
      </c>
      <c r="G2671" s="41" t="s">
        <v>86</v>
      </c>
      <c r="H2671" s="12" t="s">
        <v>6452</v>
      </c>
      <c r="I2671" s="41" t="s">
        <v>7634</v>
      </c>
      <c r="M2671" s="41" t="e">
        <f>VLOOKUP(I2671,错误mRNA总表!D:I,6,FALSE)</f>
        <v>#N/A</v>
      </c>
    </row>
    <row r="2672" spans="1:13" x14ac:dyDescent="0.2">
      <c r="A2672" s="12" t="s">
        <v>5286</v>
      </c>
      <c r="B2672" s="12" t="s">
        <v>3978</v>
      </c>
      <c r="C2672" s="12">
        <v>14444076</v>
      </c>
      <c r="D2672" s="12">
        <v>14444326</v>
      </c>
      <c r="E2672" s="12" t="s">
        <v>3943</v>
      </c>
      <c r="F2672" s="12">
        <v>1</v>
      </c>
      <c r="G2672" s="41" t="s">
        <v>86</v>
      </c>
      <c r="H2672" s="12" t="s">
        <v>6452</v>
      </c>
      <c r="I2672" s="41" t="s">
        <v>7634</v>
      </c>
      <c r="M2672" s="41" t="e">
        <f>VLOOKUP(I2672,错误mRNA总表!D:I,6,FALSE)</f>
        <v>#N/A</v>
      </c>
    </row>
    <row r="2673" spans="1:13" x14ac:dyDescent="0.2">
      <c r="A2673" s="12" t="s">
        <v>5286</v>
      </c>
      <c r="B2673" s="12" t="s">
        <v>3978</v>
      </c>
      <c r="C2673" s="12">
        <v>14444076</v>
      </c>
      <c r="D2673" s="12">
        <v>14444329</v>
      </c>
      <c r="E2673" s="12" t="s">
        <v>3943</v>
      </c>
      <c r="F2673" s="12">
        <v>1</v>
      </c>
      <c r="G2673" s="41" t="s">
        <v>86</v>
      </c>
      <c r="H2673" s="12" t="s">
        <v>6452</v>
      </c>
      <c r="I2673" s="41" t="s">
        <v>7634</v>
      </c>
      <c r="M2673" s="41" t="e">
        <f>VLOOKUP(I2673,错误mRNA总表!D:I,6,FALSE)</f>
        <v>#N/A</v>
      </c>
    </row>
    <row r="2674" spans="1:13" x14ac:dyDescent="0.2">
      <c r="A2674" s="12" t="s">
        <v>5287</v>
      </c>
      <c r="B2674" s="12" t="s">
        <v>4059</v>
      </c>
      <c r="C2674" s="12">
        <v>28234788</v>
      </c>
      <c r="D2674" s="12">
        <v>28239933</v>
      </c>
      <c r="E2674" s="12" t="s">
        <v>3940</v>
      </c>
      <c r="F2674" s="12">
        <v>1</v>
      </c>
      <c r="G2674" s="41" t="s">
        <v>175</v>
      </c>
      <c r="H2674" s="12" t="s">
        <v>176</v>
      </c>
      <c r="I2674" s="41" t="s">
        <v>2153</v>
      </c>
      <c r="J2674" s="41" t="s">
        <v>2153</v>
      </c>
      <c r="K2674" s="41" t="str">
        <f>VLOOKUP(J2674,错误mRNA总表!D:J,7,FALSE)</f>
        <v>纠后正确</v>
      </c>
      <c r="L2674" s="41" t="s">
        <v>3763</v>
      </c>
      <c r="M2674" s="41">
        <f>VLOOKUP(I2674,错误mRNA总表!D:I,6,FALSE)</f>
        <v>0</v>
      </c>
    </row>
    <row r="2675" spans="1:13" x14ac:dyDescent="0.2">
      <c r="A2675" s="12" t="s">
        <v>5194</v>
      </c>
      <c r="B2675" s="12" t="s">
        <v>3964</v>
      </c>
      <c r="C2675" s="12">
        <v>2238422</v>
      </c>
      <c r="D2675" s="12">
        <v>2252155</v>
      </c>
      <c r="E2675" s="12" t="s">
        <v>3943</v>
      </c>
      <c r="F2675" s="12">
        <v>1</v>
      </c>
      <c r="H2675" s="12" t="s">
        <v>3423</v>
      </c>
      <c r="I2675" s="41" t="s">
        <v>7846</v>
      </c>
      <c r="M2675" s="41" t="e">
        <f>VLOOKUP(I2675,错误mRNA总表!D:I,6,FALSE)</f>
        <v>#N/A</v>
      </c>
    </row>
    <row r="2676" spans="1:13" x14ac:dyDescent="0.2">
      <c r="A2676" s="12" t="s">
        <v>5194</v>
      </c>
      <c r="B2676" s="12" t="s">
        <v>3964</v>
      </c>
      <c r="C2676" s="12">
        <v>2238422</v>
      </c>
      <c r="D2676" s="12">
        <v>2252167</v>
      </c>
      <c r="E2676" s="12" t="s">
        <v>3940</v>
      </c>
      <c r="F2676" s="12">
        <v>1</v>
      </c>
      <c r="H2676" s="12" t="s">
        <v>3423</v>
      </c>
      <c r="I2676" s="41" t="s">
        <v>7846</v>
      </c>
      <c r="M2676" s="41" t="e">
        <f>VLOOKUP(I2676,错误mRNA总表!D:I,6,FALSE)</f>
        <v>#N/A</v>
      </c>
    </row>
    <row r="2677" spans="1:13" x14ac:dyDescent="0.2">
      <c r="A2677" s="12" t="s">
        <v>5194</v>
      </c>
      <c r="B2677" s="12" t="s">
        <v>3964</v>
      </c>
      <c r="C2677" s="12">
        <v>2238422</v>
      </c>
      <c r="D2677" s="12">
        <v>2252171</v>
      </c>
      <c r="E2677" s="12" t="s">
        <v>3943</v>
      </c>
      <c r="F2677" s="12">
        <v>1</v>
      </c>
      <c r="H2677" s="12" t="s">
        <v>3423</v>
      </c>
      <c r="I2677" s="41" t="s">
        <v>7846</v>
      </c>
      <c r="M2677" s="41" t="e">
        <f>VLOOKUP(I2677,错误mRNA总表!D:I,6,FALSE)</f>
        <v>#N/A</v>
      </c>
    </row>
    <row r="2678" spans="1:13" x14ac:dyDescent="0.2">
      <c r="A2678" s="12" t="s">
        <v>5194</v>
      </c>
      <c r="B2678" s="12" t="s">
        <v>3964</v>
      </c>
      <c r="C2678" s="12">
        <v>2238422</v>
      </c>
      <c r="D2678" s="12">
        <v>2254632</v>
      </c>
      <c r="E2678" s="12" t="s">
        <v>3943</v>
      </c>
      <c r="F2678" s="12">
        <v>1</v>
      </c>
      <c r="H2678" s="12" t="s">
        <v>3423</v>
      </c>
      <c r="I2678" s="41" t="s">
        <v>7846</v>
      </c>
      <c r="M2678" s="41" t="e">
        <f>VLOOKUP(I2678,错误mRNA总表!D:I,6,FALSE)</f>
        <v>#N/A</v>
      </c>
    </row>
    <row r="2679" spans="1:13" x14ac:dyDescent="0.2">
      <c r="A2679" s="12" t="s">
        <v>5194</v>
      </c>
      <c r="B2679" s="12" t="s">
        <v>3964</v>
      </c>
      <c r="C2679" s="12">
        <v>2238422</v>
      </c>
      <c r="D2679" s="12">
        <v>2254639</v>
      </c>
      <c r="E2679" s="12" t="s">
        <v>3943</v>
      </c>
      <c r="F2679" s="12">
        <v>1</v>
      </c>
      <c r="H2679" s="12" t="s">
        <v>3423</v>
      </c>
      <c r="I2679" s="41" t="s">
        <v>7846</v>
      </c>
      <c r="M2679" s="41" t="e">
        <f>VLOOKUP(I2679,错误mRNA总表!D:I,6,FALSE)</f>
        <v>#N/A</v>
      </c>
    </row>
    <row r="2680" spans="1:13" x14ac:dyDescent="0.2">
      <c r="A2680" s="12" t="s">
        <v>5194</v>
      </c>
      <c r="B2680" s="12" t="s">
        <v>3964</v>
      </c>
      <c r="C2680" s="12">
        <v>2238422</v>
      </c>
      <c r="D2680" s="12">
        <v>2254645</v>
      </c>
      <c r="E2680" s="12" t="s">
        <v>3943</v>
      </c>
      <c r="F2680" s="12">
        <v>1</v>
      </c>
      <c r="H2680" s="12" t="s">
        <v>3423</v>
      </c>
      <c r="I2680" s="41" t="s">
        <v>7846</v>
      </c>
      <c r="M2680" s="41" t="e">
        <f>VLOOKUP(I2680,错误mRNA总表!D:I,6,FALSE)</f>
        <v>#N/A</v>
      </c>
    </row>
    <row r="2681" spans="1:13" x14ac:dyDescent="0.2">
      <c r="A2681" s="12" t="s">
        <v>4147</v>
      </c>
      <c r="B2681" s="12" t="s">
        <v>3996</v>
      </c>
      <c r="C2681" s="12">
        <v>1491592</v>
      </c>
      <c r="D2681" s="12">
        <v>1492991</v>
      </c>
      <c r="E2681" s="12" t="s">
        <v>3943</v>
      </c>
      <c r="F2681" s="12">
        <v>19</v>
      </c>
      <c r="H2681" s="12" t="s">
        <v>5814</v>
      </c>
      <c r="I2681" s="41" t="s">
        <v>7847</v>
      </c>
      <c r="M2681" s="41" t="e">
        <f>VLOOKUP(I2681,错误mRNA总表!D:I,6,FALSE)</f>
        <v>#N/A</v>
      </c>
    </row>
    <row r="2682" spans="1:13" x14ac:dyDescent="0.2">
      <c r="A2682" s="12" t="s">
        <v>5288</v>
      </c>
      <c r="B2682" s="12" t="s">
        <v>4038</v>
      </c>
      <c r="C2682" s="12">
        <v>389911</v>
      </c>
      <c r="D2682" s="12">
        <v>390682</v>
      </c>
      <c r="E2682" s="12" t="s">
        <v>3943</v>
      </c>
      <c r="F2682" s="12">
        <v>2</v>
      </c>
      <c r="H2682" s="12" t="s">
        <v>110</v>
      </c>
      <c r="I2682" s="41" t="s">
        <v>6871</v>
      </c>
      <c r="J2682" s="41" t="s">
        <v>2112</v>
      </c>
      <c r="K2682" s="41" t="str">
        <f>VLOOKUP(J2682,错误mRNA总表!D:J,7,FALSE)</f>
        <v>纠后正确</v>
      </c>
      <c r="M2682" s="41" t="e">
        <f>VLOOKUP(I2682,错误mRNA总表!D:I,6,FALSE)</f>
        <v>#N/A</v>
      </c>
    </row>
    <row r="2683" spans="1:13" x14ac:dyDescent="0.2">
      <c r="A2683" s="12" t="s">
        <v>5289</v>
      </c>
      <c r="B2683" s="12" t="s">
        <v>4066</v>
      </c>
      <c r="C2683" s="12">
        <v>6422526</v>
      </c>
      <c r="D2683" s="12">
        <v>6422728</v>
      </c>
      <c r="E2683" s="12" t="s">
        <v>3943</v>
      </c>
      <c r="F2683" s="12">
        <v>3</v>
      </c>
      <c r="H2683" s="12" t="s">
        <v>6200</v>
      </c>
      <c r="I2683" s="41" t="s">
        <v>7848</v>
      </c>
      <c r="M2683" s="41" t="e">
        <f>VLOOKUP(I2683,错误mRNA总表!D:I,6,FALSE)</f>
        <v>#N/A</v>
      </c>
    </row>
    <row r="2684" spans="1:13" x14ac:dyDescent="0.2">
      <c r="A2684" s="12" t="s">
        <v>4877</v>
      </c>
      <c r="B2684" s="12" t="s">
        <v>3984</v>
      </c>
      <c r="C2684" s="12">
        <v>2900437</v>
      </c>
      <c r="D2684" s="12">
        <v>2900533</v>
      </c>
      <c r="E2684" s="12" t="s">
        <v>3943</v>
      </c>
      <c r="F2684" s="12">
        <v>4</v>
      </c>
      <c r="H2684" s="12" t="s">
        <v>3559</v>
      </c>
      <c r="I2684" s="41" t="s">
        <v>7849</v>
      </c>
      <c r="M2684" s="41" t="e">
        <f>VLOOKUP(I2684,错误mRNA总表!D:I,6,FALSE)</f>
        <v>#N/A</v>
      </c>
    </row>
    <row r="2685" spans="1:13" x14ac:dyDescent="0.2">
      <c r="A2685" s="12" t="s">
        <v>5290</v>
      </c>
      <c r="B2685" s="12" t="s">
        <v>3986</v>
      </c>
      <c r="C2685" s="12">
        <v>44930423</v>
      </c>
      <c r="D2685" s="12">
        <v>44931670</v>
      </c>
      <c r="E2685" s="12" t="s">
        <v>3943</v>
      </c>
      <c r="F2685" s="12">
        <v>3</v>
      </c>
      <c r="G2685" s="41" t="s">
        <v>50</v>
      </c>
      <c r="H2685" s="12" t="s">
        <v>6453</v>
      </c>
      <c r="I2685" s="41" t="s">
        <v>7850</v>
      </c>
      <c r="M2685" s="41" t="e">
        <f>VLOOKUP(I2685,错误mRNA总表!D:I,6,FALSE)</f>
        <v>#N/A</v>
      </c>
    </row>
    <row r="2686" spans="1:13" x14ac:dyDescent="0.2">
      <c r="A2686" s="12" t="s">
        <v>5291</v>
      </c>
      <c r="B2686" s="12" t="s">
        <v>3939</v>
      </c>
      <c r="C2686" s="12">
        <v>152224766</v>
      </c>
      <c r="D2686" s="12">
        <v>152227591</v>
      </c>
      <c r="E2686" s="12" t="s">
        <v>3943</v>
      </c>
      <c r="F2686" s="12">
        <v>3</v>
      </c>
      <c r="G2686" s="41" t="s">
        <v>73</v>
      </c>
      <c r="H2686" s="12" t="s">
        <v>3674</v>
      </c>
      <c r="I2686" s="41" t="s">
        <v>7851</v>
      </c>
      <c r="M2686" s="41" t="e">
        <f>VLOOKUP(I2686,错误mRNA总表!D:I,6,FALSE)</f>
        <v>#N/A</v>
      </c>
    </row>
    <row r="2687" spans="1:13" x14ac:dyDescent="0.2">
      <c r="A2687" s="12" t="s">
        <v>4889</v>
      </c>
      <c r="B2687" s="12" t="s">
        <v>3948</v>
      </c>
      <c r="C2687" s="12">
        <v>142560514</v>
      </c>
      <c r="D2687" s="12">
        <v>142562076</v>
      </c>
      <c r="E2687" s="12" t="s">
        <v>3940</v>
      </c>
      <c r="F2687" s="12">
        <v>3</v>
      </c>
      <c r="G2687" s="41" t="s">
        <v>40</v>
      </c>
      <c r="H2687" s="12" t="s">
        <v>3599</v>
      </c>
      <c r="I2687" s="41" t="s">
        <v>7375</v>
      </c>
      <c r="M2687" s="41" t="e">
        <f>VLOOKUP(I2687,错误mRNA总表!D:I,6,FALSE)</f>
        <v>#N/A</v>
      </c>
    </row>
    <row r="2688" spans="1:13" x14ac:dyDescent="0.2">
      <c r="A2688" s="12" t="s">
        <v>5292</v>
      </c>
      <c r="B2688" s="12" t="s">
        <v>3946</v>
      </c>
      <c r="C2688" s="12">
        <v>72873431</v>
      </c>
      <c r="D2688" s="12">
        <v>72889676</v>
      </c>
      <c r="E2688" s="12" t="s">
        <v>3940</v>
      </c>
      <c r="F2688" s="12">
        <v>54</v>
      </c>
      <c r="G2688" s="41" t="s">
        <v>47</v>
      </c>
      <c r="H2688" s="12" t="s">
        <v>6610</v>
      </c>
      <c r="I2688" s="41" t="s">
        <v>7852</v>
      </c>
      <c r="M2688" s="41" t="e">
        <f>VLOOKUP(I2688,错误mRNA总表!D:I,6,FALSE)</f>
        <v>#N/A</v>
      </c>
    </row>
    <row r="2689" spans="1:13" x14ac:dyDescent="0.2">
      <c r="A2689" s="12" t="s">
        <v>5293</v>
      </c>
      <c r="B2689" s="12" t="s">
        <v>4012</v>
      </c>
      <c r="C2689" s="12">
        <v>3589033</v>
      </c>
      <c r="D2689" s="12">
        <v>3602227</v>
      </c>
      <c r="E2689" s="12" t="s">
        <v>3943</v>
      </c>
      <c r="F2689" s="12">
        <v>1</v>
      </c>
      <c r="G2689" s="41" t="s">
        <v>121</v>
      </c>
      <c r="H2689" s="12" t="s">
        <v>6205</v>
      </c>
      <c r="I2689" s="41" t="s">
        <v>7853</v>
      </c>
      <c r="M2689" s="41" t="e">
        <f>VLOOKUP(I2689,错误mRNA总表!D:I,6,FALSE)</f>
        <v>#N/A</v>
      </c>
    </row>
    <row r="2690" spans="1:13" x14ac:dyDescent="0.2">
      <c r="A2690" s="12" t="s">
        <v>5294</v>
      </c>
      <c r="B2690" s="12" t="s">
        <v>4004</v>
      </c>
      <c r="C2690" s="12">
        <v>64081112</v>
      </c>
      <c r="D2690" s="12">
        <v>64098729</v>
      </c>
      <c r="E2690" s="12" t="s">
        <v>3940</v>
      </c>
      <c r="F2690" s="12">
        <v>1</v>
      </c>
      <c r="G2690" s="41" t="s">
        <v>103</v>
      </c>
      <c r="H2690" s="12" t="s">
        <v>3442</v>
      </c>
      <c r="I2690" s="41" t="s">
        <v>7854</v>
      </c>
      <c r="M2690" s="41" t="e">
        <f>VLOOKUP(I2690,错误mRNA总表!D:I,6,FALSE)</f>
        <v>#N/A</v>
      </c>
    </row>
    <row r="2691" spans="1:13" x14ac:dyDescent="0.2">
      <c r="A2691" s="12" t="s">
        <v>5170</v>
      </c>
      <c r="B2691" s="12" t="s">
        <v>4098</v>
      </c>
      <c r="C2691" s="12">
        <v>248816</v>
      </c>
      <c r="D2691" s="12">
        <v>248851</v>
      </c>
      <c r="E2691" s="12" t="s">
        <v>3940</v>
      </c>
      <c r="F2691" s="12">
        <v>2</v>
      </c>
      <c r="H2691" s="12" t="s">
        <v>3655</v>
      </c>
      <c r="I2691" s="41" t="s">
        <v>7509</v>
      </c>
      <c r="M2691" s="41" t="e">
        <f>VLOOKUP(I2691,错误mRNA总表!D:I,6,FALSE)</f>
        <v>#N/A</v>
      </c>
    </row>
    <row r="2692" spans="1:13" x14ac:dyDescent="0.2">
      <c r="A2692" s="12" t="s">
        <v>5295</v>
      </c>
      <c r="B2692" s="12" t="s">
        <v>3946</v>
      </c>
      <c r="C2692" s="12">
        <v>73232687</v>
      </c>
      <c r="D2692" s="12">
        <v>73234010</v>
      </c>
      <c r="E2692" s="12" t="s">
        <v>3940</v>
      </c>
      <c r="F2692" s="12">
        <v>14</v>
      </c>
      <c r="G2692" s="41" t="s">
        <v>47</v>
      </c>
      <c r="H2692" s="12" t="s">
        <v>6201</v>
      </c>
      <c r="I2692" s="41" t="s">
        <v>7855</v>
      </c>
      <c r="M2692" s="41" t="e">
        <f>VLOOKUP(I2692,错误mRNA总表!D:I,6,FALSE)</f>
        <v>#N/A</v>
      </c>
    </row>
    <row r="2693" spans="1:13" x14ac:dyDescent="0.2">
      <c r="A2693" s="12" t="s">
        <v>4775</v>
      </c>
      <c r="B2693" s="12" t="s">
        <v>4045</v>
      </c>
      <c r="C2693" s="12">
        <v>288421</v>
      </c>
      <c r="D2693" s="12">
        <v>288593</v>
      </c>
      <c r="E2693" s="12" t="s">
        <v>3940</v>
      </c>
      <c r="F2693" s="12">
        <v>2</v>
      </c>
      <c r="H2693" s="12" t="s">
        <v>3658</v>
      </c>
      <c r="I2693" s="41" t="s">
        <v>7856</v>
      </c>
      <c r="M2693" s="41" t="e">
        <f>VLOOKUP(I2693,错误mRNA总表!D:I,6,FALSE)</f>
        <v>#N/A</v>
      </c>
    </row>
    <row r="2694" spans="1:13" x14ac:dyDescent="0.2">
      <c r="A2694" s="12" t="s">
        <v>5296</v>
      </c>
      <c r="B2694" s="12" t="s">
        <v>3966</v>
      </c>
      <c r="C2694" s="12">
        <v>22838767</v>
      </c>
      <c r="D2694" s="12">
        <v>22841789</v>
      </c>
      <c r="E2694" s="12" t="s">
        <v>3940</v>
      </c>
      <c r="F2694" s="12">
        <v>15</v>
      </c>
      <c r="G2694" s="41" t="s">
        <v>43</v>
      </c>
      <c r="H2694" s="12" t="s">
        <v>6202</v>
      </c>
      <c r="I2694" s="41" t="s">
        <v>7857</v>
      </c>
      <c r="M2694" s="41" t="e">
        <f>VLOOKUP(I2694,错误mRNA总表!D:I,6,FALSE)</f>
        <v>#N/A</v>
      </c>
    </row>
    <row r="2695" spans="1:13" x14ac:dyDescent="0.2">
      <c r="A2695" s="12" t="s">
        <v>5296</v>
      </c>
      <c r="B2695" s="12" t="s">
        <v>3966</v>
      </c>
      <c r="C2695" s="12">
        <v>22838767</v>
      </c>
      <c r="D2695" s="12">
        <v>22841830</v>
      </c>
      <c r="E2695" s="12" t="s">
        <v>3940</v>
      </c>
      <c r="F2695" s="12">
        <v>2</v>
      </c>
      <c r="G2695" s="41" t="s">
        <v>43</v>
      </c>
      <c r="H2695" s="12" t="s">
        <v>6202</v>
      </c>
      <c r="I2695" s="41" t="s">
        <v>7857</v>
      </c>
      <c r="M2695" s="41" t="e">
        <f>VLOOKUP(I2695,错误mRNA总表!D:I,6,FALSE)</f>
        <v>#N/A</v>
      </c>
    </row>
    <row r="2696" spans="1:13" x14ac:dyDescent="0.2">
      <c r="A2696" s="12" t="s">
        <v>5296</v>
      </c>
      <c r="B2696" s="12" t="s">
        <v>3966</v>
      </c>
      <c r="C2696" s="12">
        <v>22838767</v>
      </c>
      <c r="D2696" s="12">
        <v>22840122</v>
      </c>
      <c r="E2696" s="12" t="s">
        <v>3940</v>
      </c>
      <c r="F2696" s="12">
        <v>4</v>
      </c>
      <c r="G2696" s="41" t="s">
        <v>43</v>
      </c>
      <c r="H2696" s="12" t="s">
        <v>6202</v>
      </c>
      <c r="I2696" s="41" t="s">
        <v>7857</v>
      </c>
      <c r="M2696" s="41" t="e">
        <f>VLOOKUP(I2696,错误mRNA总表!D:I,6,FALSE)</f>
        <v>#N/A</v>
      </c>
    </row>
    <row r="2697" spans="1:13" x14ac:dyDescent="0.2">
      <c r="A2697" s="12" t="s">
        <v>5297</v>
      </c>
      <c r="B2697" s="12" t="s">
        <v>4124</v>
      </c>
      <c r="C2697" s="12">
        <v>234054795</v>
      </c>
      <c r="D2697" s="12">
        <v>234054799</v>
      </c>
      <c r="E2697" s="12" t="s">
        <v>3940</v>
      </c>
      <c r="F2697" s="12">
        <v>1</v>
      </c>
      <c r="G2697" s="41" t="s">
        <v>1</v>
      </c>
      <c r="H2697" s="12" t="s">
        <v>244</v>
      </c>
      <c r="I2697" s="41" t="s">
        <v>2214</v>
      </c>
      <c r="J2697" s="41" t="s">
        <v>2212</v>
      </c>
      <c r="K2697" s="41" t="str">
        <f>VLOOKUP(J2697,错误mRNA总表!D:J,7,FALSE)</f>
        <v/>
      </c>
      <c r="L2697" s="41" t="s">
        <v>3762</v>
      </c>
      <c r="M2697" s="41">
        <f>VLOOKUP(I2697,错误mRNA总表!D:I,6,FALSE)</f>
        <v>0</v>
      </c>
    </row>
    <row r="2698" spans="1:13" x14ac:dyDescent="0.2">
      <c r="A2698" s="12" t="s">
        <v>5297</v>
      </c>
      <c r="B2698" s="12" t="s">
        <v>4124</v>
      </c>
      <c r="C2698" s="12">
        <v>234054795</v>
      </c>
      <c r="D2698" s="12">
        <v>234054801</v>
      </c>
      <c r="E2698" s="12" t="s">
        <v>3940</v>
      </c>
      <c r="F2698" s="12">
        <v>4</v>
      </c>
      <c r="G2698" s="41" t="s">
        <v>1</v>
      </c>
      <c r="H2698" s="12" t="s">
        <v>244</v>
      </c>
      <c r="I2698" s="41" t="s">
        <v>2214</v>
      </c>
      <c r="J2698" s="41" t="s">
        <v>2212</v>
      </c>
      <c r="K2698" s="41" t="str">
        <f>VLOOKUP(J2698,错误mRNA总表!D:J,7,FALSE)</f>
        <v/>
      </c>
      <c r="L2698" s="41" t="s">
        <v>3762</v>
      </c>
      <c r="M2698" s="41">
        <f>VLOOKUP(I2698,错误mRNA总表!D:I,6,FALSE)</f>
        <v>0</v>
      </c>
    </row>
    <row r="2699" spans="1:13" x14ac:dyDescent="0.2">
      <c r="A2699" s="12" t="s">
        <v>5297</v>
      </c>
      <c r="B2699" s="12" t="s">
        <v>4124</v>
      </c>
      <c r="C2699" s="12">
        <v>234054795</v>
      </c>
      <c r="D2699" s="12">
        <v>234054804</v>
      </c>
      <c r="E2699" s="12" t="s">
        <v>3940</v>
      </c>
      <c r="F2699" s="12">
        <v>1</v>
      </c>
      <c r="G2699" s="41" t="s">
        <v>1</v>
      </c>
      <c r="H2699" s="12" t="s">
        <v>244</v>
      </c>
      <c r="I2699" s="41" t="s">
        <v>2214</v>
      </c>
      <c r="J2699" s="41" t="s">
        <v>2212</v>
      </c>
      <c r="K2699" s="41" t="str">
        <f>VLOOKUP(J2699,错误mRNA总表!D:J,7,FALSE)</f>
        <v/>
      </c>
      <c r="L2699" s="41" t="s">
        <v>3762</v>
      </c>
      <c r="M2699" s="41">
        <f>VLOOKUP(I2699,错误mRNA总表!D:I,6,FALSE)</f>
        <v>0</v>
      </c>
    </row>
    <row r="2700" spans="1:13" x14ac:dyDescent="0.2">
      <c r="A2700" s="12" t="s">
        <v>4252</v>
      </c>
      <c r="B2700" s="12" t="s">
        <v>4001</v>
      </c>
      <c r="C2700" s="12">
        <v>1062458</v>
      </c>
      <c r="D2700" s="12">
        <v>1063329</v>
      </c>
      <c r="E2700" s="12" t="s">
        <v>3940</v>
      </c>
      <c r="F2700" s="12">
        <v>2</v>
      </c>
      <c r="H2700" s="12" t="s">
        <v>6391</v>
      </c>
      <c r="I2700" s="41" t="s">
        <v>7858</v>
      </c>
      <c r="M2700" s="41" t="e">
        <f>VLOOKUP(I2700,错误mRNA总表!D:I,6,FALSE)</f>
        <v>#N/A</v>
      </c>
    </row>
    <row r="2701" spans="1:13" x14ac:dyDescent="0.2">
      <c r="A2701" s="12" t="s">
        <v>4252</v>
      </c>
      <c r="B2701" s="12" t="s">
        <v>4001</v>
      </c>
      <c r="C2701" s="12">
        <v>1062458</v>
      </c>
      <c r="D2701" s="12">
        <v>1064000</v>
      </c>
      <c r="E2701" s="12" t="s">
        <v>3940</v>
      </c>
      <c r="F2701" s="12">
        <v>21</v>
      </c>
      <c r="H2701" s="12" t="s">
        <v>6391</v>
      </c>
      <c r="I2701" s="41" t="s">
        <v>7858</v>
      </c>
      <c r="M2701" s="41" t="e">
        <f>VLOOKUP(I2701,错误mRNA总表!D:I,6,FALSE)</f>
        <v>#N/A</v>
      </c>
    </row>
    <row r="2702" spans="1:13" x14ac:dyDescent="0.2">
      <c r="A2702" s="12" t="s">
        <v>5298</v>
      </c>
      <c r="B2702" s="12" t="s">
        <v>4124</v>
      </c>
      <c r="C2702" s="12">
        <v>96778623</v>
      </c>
      <c r="D2702" s="12">
        <v>96780986</v>
      </c>
      <c r="E2702" s="12" t="s">
        <v>3940</v>
      </c>
      <c r="F2702" s="12">
        <v>9</v>
      </c>
      <c r="G2702" s="41" t="s">
        <v>1</v>
      </c>
      <c r="H2702" s="12" t="s">
        <v>432</v>
      </c>
      <c r="I2702" s="41" t="s">
        <v>2231</v>
      </c>
      <c r="J2702" s="41" t="s">
        <v>2231</v>
      </c>
      <c r="K2702" s="41" t="str">
        <f>VLOOKUP(J2702,错误mRNA总表!D:J,7,FALSE)</f>
        <v>纠后正确，加了3个氨基酸</v>
      </c>
      <c r="L2702" s="41" t="s">
        <v>8673</v>
      </c>
      <c r="M2702" s="41">
        <f>VLOOKUP(I2702,错误mRNA总表!D:I,6,FALSE)</f>
        <v>0</v>
      </c>
    </row>
    <row r="2703" spans="1:13" x14ac:dyDescent="0.2">
      <c r="A2703" s="12" t="s">
        <v>4320</v>
      </c>
      <c r="B2703" s="12" t="s">
        <v>3996</v>
      </c>
      <c r="C2703" s="12">
        <v>2975498</v>
      </c>
      <c r="D2703" s="12">
        <v>2975502</v>
      </c>
      <c r="E2703" s="12" t="s">
        <v>3940</v>
      </c>
      <c r="F2703" s="12">
        <v>2</v>
      </c>
      <c r="H2703" s="12" t="s">
        <v>5867</v>
      </c>
      <c r="I2703" s="41" t="s">
        <v>7859</v>
      </c>
      <c r="M2703" s="41" t="e">
        <f>VLOOKUP(I2703,错误mRNA总表!D:I,6,FALSE)</f>
        <v>#N/A</v>
      </c>
    </row>
    <row r="2704" spans="1:13" x14ac:dyDescent="0.2">
      <c r="A2704" s="12" t="s">
        <v>4320</v>
      </c>
      <c r="B2704" s="12" t="s">
        <v>3996</v>
      </c>
      <c r="C2704" s="12">
        <v>2975498</v>
      </c>
      <c r="D2704" s="12">
        <v>2987441</v>
      </c>
      <c r="E2704" s="12" t="s">
        <v>3940</v>
      </c>
      <c r="F2704" s="12">
        <v>2</v>
      </c>
      <c r="H2704" s="12" t="s">
        <v>5867</v>
      </c>
      <c r="I2704" s="41" t="s">
        <v>7859</v>
      </c>
      <c r="M2704" s="41" t="e">
        <f>VLOOKUP(I2704,错误mRNA总表!D:I,6,FALSE)</f>
        <v>#N/A</v>
      </c>
    </row>
    <row r="2705" spans="1:13" x14ac:dyDescent="0.2">
      <c r="A2705" s="12" t="s">
        <v>5299</v>
      </c>
      <c r="B2705" s="12" t="s">
        <v>3939</v>
      </c>
      <c r="C2705" s="12">
        <v>153639854</v>
      </c>
      <c r="D2705" s="12">
        <v>153640060</v>
      </c>
      <c r="E2705" s="12" t="s">
        <v>3943</v>
      </c>
      <c r="F2705" s="12">
        <v>1</v>
      </c>
      <c r="G2705" s="41" t="s">
        <v>73</v>
      </c>
      <c r="H2705" s="12" t="s">
        <v>5815</v>
      </c>
      <c r="I2705" s="41" t="s">
        <v>7860</v>
      </c>
      <c r="M2705" s="41" t="e">
        <f>VLOOKUP(I2705,错误mRNA总表!D:I,6,FALSE)</f>
        <v>#N/A</v>
      </c>
    </row>
    <row r="2706" spans="1:13" x14ac:dyDescent="0.2">
      <c r="A2706" s="12" t="s">
        <v>5300</v>
      </c>
      <c r="B2706" s="12" t="s">
        <v>4004</v>
      </c>
      <c r="C2706" s="12">
        <v>143852615</v>
      </c>
      <c r="D2706" s="12">
        <v>143857441</v>
      </c>
      <c r="E2706" s="12" t="s">
        <v>3940</v>
      </c>
      <c r="F2706" s="12">
        <v>2</v>
      </c>
      <c r="G2706" s="41" t="s">
        <v>103</v>
      </c>
      <c r="H2706" s="12" t="s">
        <v>6586</v>
      </c>
      <c r="I2706" s="41" t="s">
        <v>7861</v>
      </c>
      <c r="M2706" s="41" t="e">
        <f>VLOOKUP(I2706,错误mRNA总表!D:I,6,FALSE)</f>
        <v>#N/A</v>
      </c>
    </row>
    <row r="2707" spans="1:13" x14ac:dyDescent="0.2">
      <c r="A2707" s="12" t="s">
        <v>4101</v>
      </c>
      <c r="B2707" s="12" t="s">
        <v>3989</v>
      </c>
      <c r="C2707" s="12">
        <v>2467051</v>
      </c>
      <c r="D2707" s="12">
        <v>2469389</v>
      </c>
      <c r="E2707" s="12" t="s">
        <v>3940</v>
      </c>
      <c r="F2707" s="12">
        <v>1</v>
      </c>
      <c r="H2707" s="12" t="s">
        <v>670</v>
      </c>
      <c r="I2707" s="41" t="s">
        <v>7862</v>
      </c>
      <c r="J2707" s="41" t="s">
        <v>2607</v>
      </c>
      <c r="K2707" s="41" t="str">
        <f>VLOOKUP(J2707,错误mRNA总表!D:J,7,FALSE)</f>
        <v/>
      </c>
      <c r="M2707" s="41" t="e">
        <f>VLOOKUP(I2707,错误mRNA总表!D:I,6,FALSE)</f>
        <v>#N/A</v>
      </c>
    </row>
    <row r="2708" spans="1:13" x14ac:dyDescent="0.2">
      <c r="A2708" s="12" t="s">
        <v>5301</v>
      </c>
      <c r="B2708" s="12" t="s">
        <v>3942</v>
      </c>
      <c r="C2708" s="12">
        <v>175810940</v>
      </c>
      <c r="D2708" s="12">
        <v>175811094</v>
      </c>
      <c r="E2708" s="12" t="s">
        <v>3940</v>
      </c>
      <c r="F2708" s="12">
        <v>2</v>
      </c>
      <c r="G2708" s="41" t="s">
        <v>186</v>
      </c>
      <c r="H2708" s="12" t="s">
        <v>6454</v>
      </c>
      <c r="I2708" s="41" t="s">
        <v>7745</v>
      </c>
      <c r="M2708" s="41" t="e">
        <f>VLOOKUP(I2708,错误mRNA总表!D:I,6,FALSE)</f>
        <v>#N/A</v>
      </c>
    </row>
    <row r="2709" spans="1:13" x14ac:dyDescent="0.2">
      <c r="A2709" s="12" t="s">
        <v>5217</v>
      </c>
      <c r="B2709" s="12" t="s">
        <v>4023</v>
      </c>
      <c r="C2709" s="12">
        <v>1147640</v>
      </c>
      <c r="D2709" s="12">
        <v>1153090</v>
      </c>
      <c r="E2709" s="12" t="s">
        <v>3943</v>
      </c>
      <c r="F2709" s="12">
        <v>1</v>
      </c>
      <c r="H2709" s="12" t="s">
        <v>6173</v>
      </c>
      <c r="I2709" s="41" t="s">
        <v>7863</v>
      </c>
      <c r="M2709" s="41" t="e">
        <f>VLOOKUP(I2709,错误mRNA总表!D:I,6,FALSE)</f>
        <v>#N/A</v>
      </c>
    </row>
    <row r="2710" spans="1:13" x14ac:dyDescent="0.2">
      <c r="A2710" s="12" t="s">
        <v>4212</v>
      </c>
      <c r="B2710" s="12" t="s">
        <v>3964</v>
      </c>
      <c r="C2710" s="12">
        <v>3602827</v>
      </c>
      <c r="D2710" s="12">
        <v>3602941</v>
      </c>
      <c r="E2710" s="12" t="s">
        <v>3940</v>
      </c>
      <c r="F2710" s="12">
        <v>40</v>
      </c>
      <c r="H2710" s="12" t="s">
        <v>5831</v>
      </c>
      <c r="I2710" s="41" t="s">
        <v>7864</v>
      </c>
      <c r="M2710" s="41" t="e">
        <f>VLOOKUP(I2710,错误mRNA总表!D:I,6,FALSE)</f>
        <v>#N/A</v>
      </c>
    </row>
    <row r="2711" spans="1:13" x14ac:dyDescent="0.2">
      <c r="A2711" s="12" t="s">
        <v>4212</v>
      </c>
      <c r="B2711" s="12" t="s">
        <v>3964</v>
      </c>
      <c r="C2711" s="12">
        <v>3602827</v>
      </c>
      <c r="D2711" s="12">
        <v>3681382</v>
      </c>
      <c r="E2711" s="12" t="s">
        <v>3940</v>
      </c>
      <c r="F2711" s="12">
        <v>23</v>
      </c>
      <c r="H2711" s="12" t="s">
        <v>5831</v>
      </c>
      <c r="I2711" s="41" t="s">
        <v>7864</v>
      </c>
      <c r="M2711" s="41" t="e">
        <f>VLOOKUP(I2711,错误mRNA总表!D:I,6,FALSE)</f>
        <v>#N/A</v>
      </c>
    </row>
    <row r="2712" spans="1:13" x14ac:dyDescent="0.2">
      <c r="A2712" s="12" t="s">
        <v>4212</v>
      </c>
      <c r="B2712" s="12" t="s">
        <v>3964</v>
      </c>
      <c r="C2712" s="12">
        <v>3602827</v>
      </c>
      <c r="D2712" s="12">
        <v>3685858</v>
      </c>
      <c r="E2712" s="12" t="s">
        <v>3940</v>
      </c>
      <c r="F2712" s="12">
        <v>41</v>
      </c>
      <c r="H2712" s="12" t="s">
        <v>5831</v>
      </c>
      <c r="I2712" s="41" t="s">
        <v>7864</v>
      </c>
      <c r="M2712" s="41" t="e">
        <f>VLOOKUP(I2712,错误mRNA总表!D:I,6,FALSE)</f>
        <v>#N/A</v>
      </c>
    </row>
    <row r="2713" spans="1:13" x14ac:dyDescent="0.2">
      <c r="A2713" s="12" t="s">
        <v>4212</v>
      </c>
      <c r="B2713" s="12" t="s">
        <v>3964</v>
      </c>
      <c r="C2713" s="12">
        <v>3602827</v>
      </c>
      <c r="D2713" s="12">
        <v>3685845</v>
      </c>
      <c r="E2713" s="12" t="s">
        <v>3943</v>
      </c>
      <c r="F2713" s="12">
        <v>3</v>
      </c>
      <c r="H2713" s="12" t="s">
        <v>5831</v>
      </c>
      <c r="I2713" s="41" t="s">
        <v>7864</v>
      </c>
      <c r="M2713" s="41" t="e">
        <f>VLOOKUP(I2713,错误mRNA总表!D:I,6,FALSE)</f>
        <v>#N/A</v>
      </c>
    </row>
    <row r="2714" spans="1:13" x14ac:dyDescent="0.2">
      <c r="A2714" s="12" t="s">
        <v>5302</v>
      </c>
      <c r="B2714" s="12" t="s">
        <v>4012</v>
      </c>
      <c r="C2714" s="12">
        <v>2047653</v>
      </c>
      <c r="D2714" s="12">
        <v>2059624</v>
      </c>
      <c r="E2714" s="12" t="s">
        <v>3943</v>
      </c>
      <c r="F2714" s="12">
        <v>1</v>
      </c>
      <c r="G2714" s="41" t="s">
        <v>121</v>
      </c>
      <c r="H2714" s="12" t="s">
        <v>238</v>
      </c>
      <c r="I2714" s="41" t="s">
        <v>7865</v>
      </c>
      <c r="J2714" s="41" t="s">
        <v>2211</v>
      </c>
      <c r="K2714" s="41" t="str">
        <f>VLOOKUP(J2714,错误mRNA总表!D:J,7,FALSE)</f>
        <v>纠后正确，utr略有变化，版本不一致</v>
      </c>
      <c r="M2714" s="41" t="e">
        <f>VLOOKUP(I2714,错误mRNA总表!D:I,6,FALSE)</f>
        <v>#N/A</v>
      </c>
    </row>
    <row r="2715" spans="1:13" x14ac:dyDescent="0.2">
      <c r="A2715" s="12" t="s">
        <v>5302</v>
      </c>
      <c r="B2715" s="12" t="s">
        <v>4012</v>
      </c>
      <c r="C2715" s="12">
        <v>2047653</v>
      </c>
      <c r="D2715" s="12">
        <v>2059737</v>
      </c>
      <c r="E2715" s="12" t="s">
        <v>3943</v>
      </c>
      <c r="F2715" s="12">
        <v>1</v>
      </c>
      <c r="G2715" s="41" t="s">
        <v>121</v>
      </c>
      <c r="H2715" s="12" t="s">
        <v>238</v>
      </c>
      <c r="I2715" s="41" t="s">
        <v>7865</v>
      </c>
      <c r="J2715" s="41" t="s">
        <v>2211</v>
      </c>
      <c r="K2715" s="41" t="str">
        <f>VLOOKUP(J2715,错误mRNA总表!D:J,7,FALSE)</f>
        <v>纠后正确，utr略有变化，版本不一致</v>
      </c>
      <c r="M2715" s="41" t="e">
        <f>VLOOKUP(I2715,错误mRNA总表!D:I,6,FALSE)</f>
        <v>#N/A</v>
      </c>
    </row>
    <row r="2716" spans="1:13" x14ac:dyDescent="0.2">
      <c r="A2716" s="12" t="s">
        <v>5303</v>
      </c>
      <c r="B2716" s="12" t="s">
        <v>4052</v>
      </c>
      <c r="C2716" s="12">
        <v>133747957</v>
      </c>
      <c r="D2716" s="12">
        <v>133747958</v>
      </c>
      <c r="E2716" s="12" t="s">
        <v>3943</v>
      </c>
      <c r="F2716" s="12">
        <v>1</v>
      </c>
      <c r="G2716" s="41" t="s">
        <v>93</v>
      </c>
      <c r="H2716" s="12" t="s">
        <v>6290</v>
      </c>
      <c r="I2716" s="41" t="s">
        <v>7866</v>
      </c>
      <c r="M2716" s="41" t="e">
        <f>VLOOKUP(I2716,错误mRNA总表!D:I,6,FALSE)</f>
        <v>#N/A</v>
      </c>
    </row>
    <row r="2717" spans="1:13" x14ac:dyDescent="0.2">
      <c r="A2717" s="12" t="s">
        <v>5304</v>
      </c>
      <c r="B2717" s="12" t="s">
        <v>3986</v>
      </c>
      <c r="C2717" s="12">
        <v>53935227</v>
      </c>
      <c r="D2717" s="12">
        <v>53952888</v>
      </c>
      <c r="E2717" s="12" t="s">
        <v>3943</v>
      </c>
      <c r="F2717" s="12">
        <v>1</v>
      </c>
      <c r="G2717" s="41" t="s">
        <v>50</v>
      </c>
      <c r="H2717" s="12" t="s">
        <v>6203</v>
      </c>
      <c r="I2717" s="41" t="s">
        <v>7867</v>
      </c>
      <c r="M2717" s="41" t="e">
        <f>VLOOKUP(I2717,错误mRNA总表!D:I,6,FALSE)</f>
        <v>#N/A</v>
      </c>
    </row>
    <row r="2718" spans="1:13" x14ac:dyDescent="0.2">
      <c r="A2718" s="12" t="s">
        <v>4775</v>
      </c>
      <c r="B2718" s="12" t="s">
        <v>4061</v>
      </c>
      <c r="C2718" s="12">
        <v>281437</v>
      </c>
      <c r="D2718" s="12">
        <v>281609</v>
      </c>
      <c r="E2718" s="12" t="s">
        <v>3940</v>
      </c>
      <c r="F2718" s="12">
        <v>2</v>
      </c>
      <c r="H2718" s="12" t="s">
        <v>3658</v>
      </c>
      <c r="I2718" s="41" t="s">
        <v>7868</v>
      </c>
      <c r="M2718" s="41" t="e">
        <f>VLOOKUP(I2718,错误mRNA总表!D:I,6,FALSE)</f>
        <v>#N/A</v>
      </c>
    </row>
    <row r="2719" spans="1:13" x14ac:dyDescent="0.2">
      <c r="A2719" s="12" t="s">
        <v>4947</v>
      </c>
      <c r="B2719" s="12" t="s">
        <v>3994</v>
      </c>
      <c r="C2719" s="12">
        <v>2474681</v>
      </c>
      <c r="D2719" s="12">
        <v>2479954</v>
      </c>
      <c r="E2719" s="12" t="s">
        <v>3943</v>
      </c>
      <c r="F2719" s="12">
        <v>1</v>
      </c>
      <c r="H2719" s="12" t="s">
        <v>3553</v>
      </c>
      <c r="I2719" s="41" t="s">
        <v>7869</v>
      </c>
      <c r="M2719" s="41" t="e">
        <f>VLOOKUP(I2719,错误mRNA总表!D:I,6,FALSE)</f>
        <v>#N/A</v>
      </c>
    </row>
    <row r="2720" spans="1:13" x14ac:dyDescent="0.2">
      <c r="A2720" s="12" t="s">
        <v>5305</v>
      </c>
      <c r="B2720" s="12" t="s">
        <v>3948</v>
      </c>
      <c r="C2720" s="12">
        <v>150709297</v>
      </c>
      <c r="D2720" s="12">
        <v>150713902</v>
      </c>
      <c r="E2720" s="12" t="s">
        <v>3940</v>
      </c>
      <c r="F2720" s="12">
        <v>1</v>
      </c>
      <c r="G2720" s="41" t="s">
        <v>40</v>
      </c>
      <c r="H2720" s="12" t="s">
        <v>6204</v>
      </c>
      <c r="I2720" s="41" t="s">
        <v>7870</v>
      </c>
      <c r="M2720" s="41" t="e">
        <f>VLOOKUP(I2720,错误mRNA总表!D:I,6,FALSE)</f>
        <v>#N/A</v>
      </c>
    </row>
    <row r="2721" spans="1:13" x14ac:dyDescent="0.2">
      <c r="A2721" s="12" t="s">
        <v>5306</v>
      </c>
      <c r="B2721" s="12" t="s">
        <v>3962</v>
      </c>
      <c r="C2721" s="12">
        <v>62329995</v>
      </c>
      <c r="D2721" s="12">
        <v>62331335</v>
      </c>
      <c r="E2721" s="12" t="s">
        <v>3940</v>
      </c>
      <c r="F2721" s="12">
        <v>1</v>
      </c>
      <c r="G2721" s="41" t="s">
        <v>53</v>
      </c>
      <c r="H2721" s="12" t="s">
        <v>6455</v>
      </c>
      <c r="I2721" s="41" t="s">
        <v>7871</v>
      </c>
      <c r="M2721" s="41" t="e">
        <f>VLOOKUP(I2721,错误mRNA总表!D:I,6,FALSE)</f>
        <v>#N/A</v>
      </c>
    </row>
    <row r="2722" spans="1:13" x14ac:dyDescent="0.2">
      <c r="A2722" s="12" t="s">
        <v>4573</v>
      </c>
      <c r="B2722" s="12" t="s">
        <v>4001</v>
      </c>
      <c r="C2722" s="12">
        <v>2335936</v>
      </c>
      <c r="D2722" s="12">
        <v>2338524</v>
      </c>
      <c r="E2722" s="12" t="s">
        <v>3943</v>
      </c>
      <c r="F2722" s="12">
        <v>1</v>
      </c>
      <c r="H2722" s="12" t="s">
        <v>6404</v>
      </c>
      <c r="I2722" s="41" t="s">
        <v>7872</v>
      </c>
      <c r="M2722" s="41" t="e">
        <f>VLOOKUP(I2722,错误mRNA总表!D:I,6,FALSE)</f>
        <v>#N/A</v>
      </c>
    </row>
    <row r="2723" spans="1:13" x14ac:dyDescent="0.2">
      <c r="A2723" s="12" t="s">
        <v>4977</v>
      </c>
      <c r="B2723" s="12" t="s">
        <v>3996</v>
      </c>
      <c r="C2723" s="12">
        <v>1143559</v>
      </c>
      <c r="D2723" s="12">
        <v>1158907</v>
      </c>
      <c r="E2723" s="12" t="s">
        <v>3943</v>
      </c>
      <c r="F2723" s="12">
        <v>8</v>
      </c>
      <c r="H2723" s="12" t="s">
        <v>3530</v>
      </c>
      <c r="I2723" s="41" t="s">
        <v>7873</v>
      </c>
      <c r="M2723" s="41" t="e">
        <f>VLOOKUP(I2723,错误mRNA总表!D:I,6,FALSE)</f>
        <v>#N/A</v>
      </c>
    </row>
    <row r="2724" spans="1:13" x14ac:dyDescent="0.2">
      <c r="A2724" s="12" t="s">
        <v>5307</v>
      </c>
      <c r="B2724" s="12" t="s">
        <v>4107</v>
      </c>
      <c r="C2724" s="12">
        <v>1298395</v>
      </c>
      <c r="D2724" s="12">
        <v>1308746</v>
      </c>
      <c r="E2724" s="12" t="s">
        <v>3940</v>
      </c>
      <c r="F2724" s="12">
        <v>116</v>
      </c>
      <c r="H2724" s="12" t="s">
        <v>3683</v>
      </c>
      <c r="I2724" s="41" t="s">
        <v>7874</v>
      </c>
      <c r="M2724" s="41" t="e">
        <f>VLOOKUP(I2724,错误mRNA总表!D:I,6,FALSE)</f>
        <v>#N/A</v>
      </c>
    </row>
    <row r="2725" spans="1:13" x14ac:dyDescent="0.2">
      <c r="A2725" s="12" t="s">
        <v>5308</v>
      </c>
      <c r="B2725" s="12" t="s">
        <v>4923</v>
      </c>
      <c r="C2725" s="12">
        <v>20188</v>
      </c>
      <c r="D2725" s="12">
        <v>75573</v>
      </c>
      <c r="E2725" s="12" t="s">
        <v>3943</v>
      </c>
      <c r="F2725" s="12">
        <v>4</v>
      </c>
      <c r="H2725" s="12" t="s">
        <v>3647</v>
      </c>
      <c r="I2725" s="41" t="s">
        <v>7875</v>
      </c>
      <c r="M2725" s="41" t="e">
        <f>VLOOKUP(I2725,错误mRNA总表!D:I,6,FALSE)</f>
        <v>#N/A</v>
      </c>
    </row>
    <row r="2726" spans="1:13" x14ac:dyDescent="0.2">
      <c r="A2726" s="12" t="s">
        <v>4550</v>
      </c>
      <c r="B2726" s="12" t="s">
        <v>3986</v>
      </c>
      <c r="C2726" s="12">
        <v>55344131</v>
      </c>
      <c r="D2726" s="12">
        <v>55350965</v>
      </c>
      <c r="E2726" s="12" t="s">
        <v>3940</v>
      </c>
      <c r="F2726" s="12">
        <v>22</v>
      </c>
      <c r="G2726" s="41" t="s">
        <v>50</v>
      </c>
      <c r="H2726" s="12" t="s">
        <v>214</v>
      </c>
      <c r="I2726" s="41" t="s">
        <v>7876</v>
      </c>
      <c r="J2726" s="41" t="s">
        <v>2170</v>
      </c>
      <c r="K2726" s="41" t="str">
        <f>VLOOKUP(J2726,错误mRNA总表!D:J,7,FALSE)</f>
        <v>Browser与原结果匹配，纠后与rs匹配(rs746499983)chr19:55350966-55359398</v>
      </c>
      <c r="M2726" s="41" t="e">
        <f>VLOOKUP(I2726,错误mRNA总表!D:I,6,FALSE)</f>
        <v>#N/A</v>
      </c>
    </row>
    <row r="2727" spans="1:13" x14ac:dyDescent="0.2">
      <c r="A2727" s="12" t="s">
        <v>5223</v>
      </c>
      <c r="B2727" s="12" t="s">
        <v>3950</v>
      </c>
      <c r="C2727" s="12">
        <v>368310</v>
      </c>
      <c r="D2727" s="12">
        <v>369322</v>
      </c>
      <c r="E2727" s="12" t="s">
        <v>3940</v>
      </c>
      <c r="F2727" s="12">
        <v>3</v>
      </c>
      <c r="H2727" s="12" t="s">
        <v>3661</v>
      </c>
      <c r="I2727" s="41" t="s">
        <v>7877</v>
      </c>
      <c r="M2727" s="41" t="e">
        <f>VLOOKUP(I2727,错误mRNA总表!D:I,6,FALSE)</f>
        <v>#N/A</v>
      </c>
    </row>
    <row r="2728" spans="1:13" x14ac:dyDescent="0.2">
      <c r="A2728" s="12" t="s">
        <v>5309</v>
      </c>
      <c r="B2728" s="12" t="s">
        <v>3973</v>
      </c>
      <c r="C2728" s="12">
        <v>145590666</v>
      </c>
      <c r="D2728" s="12">
        <v>145591688</v>
      </c>
      <c r="E2728" s="12" t="s">
        <v>3943</v>
      </c>
      <c r="F2728" s="12">
        <v>3</v>
      </c>
      <c r="G2728" s="41" t="s">
        <v>139</v>
      </c>
      <c r="H2728" s="12" t="s">
        <v>3490</v>
      </c>
      <c r="I2728" s="41" t="s">
        <v>7878</v>
      </c>
      <c r="M2728" s="41" t="e">
        <f>VLOOKUP(I2728,错误mRNA总表!D:I,6,FALSE)</f>
        <v>#N/A</v>
      </c>
    </row>
    <row r="2729" spans="1:13" x14ac:dyDescent="0.2">
      <c r="A2729" s="12" t="s">
        <v>5310</v>
      </c>
      <c r="B2729" s="12" t="s">
        <v>4012</v>
      </c>
      <c r="C2729" s="12">
        <v>3589033</v>
      </c>
      <c r="D2729" s="12">
        <v>3602227</v>
      </c>
      <c r="E2729" s="12" t="s">
        <v>3943</v>
      </c>
      <c r="F2729" s="12">
        <v>1</v>
      </c>
      <c r="G2729" s="41" t="s">
        <v>121</v>
      </c>
      <c r="H2729" s="12" t="s">
        <v>6205</v>
      </c>
      <c r="I2729" s="41" t="s">
        <v>7853</v>
      </c>
      <c r="M2729" s="41" t="e">
        <f>VLOOKUP(I2729,错误mRNA总表!D:I,6,FALSE)</f>
        <v>#N/A</v>
      </c>
    </row>
    <row r="2730" spans="1:13" x14ac:dyDescent="0.2">
      <c r="A2730" s="12" t="s">
        <v>5311</v>
      </c>
      <c r="B2730" s="12" t="s">
        <v>3978</v>
      </c>
      <c r="C2730" s="12">
        <v>50304990</v>
      </c>
      <c r="D2730" s="12">
        <v>50306757</v>
      </c>
      <c r="E2730" s="12" t="s">
        <v>3940</v>
      </c>
      <c r="F2730" s="12">
        <v>1</v>
      </c>
      <c r="G2730" s="41" t="s">
        <v>86</v>
      </c>
      <c r="H2730" s="12" t="s">
        <v>204</v>
      </c>
      <c r="I2730" s="41" t="s">
        <v>7879</v>
      </c>
      <c r="J2730" s="41" t="s">
        <v>2194</v>
      </c>
      <c r="K2730" s="41" t="str">
        <f>VLOOKUP(J2730,错误mRNA总表!D:J,7,FALSE)</f>
        <v>纠后正确</v>
      </c>
      <c r="M2730" s="41" t="e">
        <f>VLOOKUP(I2730,错误mRNA总表!D:I,6,FALSE)</f>
        <v>#N/A</v>
      </c>
    </row>
    <row r="2731" spans="1:13" x14ac:dyDescent="0.2">
      <c r="A2731" s="12" t="s">
        <v>5312</v>
      </c>
      <c r="B2731" s="12" t="s">
        <v>4059</v>
      </c>
      <c r="C2731" s="12">
        <v>28234788</v>
      </c>
      <c r="D2731" s="12">
        <v>28239933</v>
      </c>
      <c r="E2731" s="12" t="s">
        <v>3940</v>
      </c>
      <c r="F2731" s="12">
        <v>1</v>
      </c>
      <c r="G2731" s="41" t="s">
        <v>175</v>
      </c>
      <c r="H2731" s="12" t="s">
        <v>176</v>
      </c>
      <c r="I2731" s="41" t="s">
        <v>2153</v>
      </c>
      <c r="J2731" s="41" t="s">
        <v>2153</v>
      </c>
      <c r="K2731" s="41" t="str">
        <f>VLOOKUP(J2731,错误mRNA总表!D:J,7,FALSE)</f>
        <v>纠后正确</v>
      </c>
      <c r="L2731" s="41" t="s">
        <v>3763</v>
      </c>
      <c r="M2731" s="41">
        <f>VLOOKUP(I2731,错误mRNA总表!D:I,6,FALSE)</f>
        <v>0</v>
      </c>
    </row>
    <row r="2732" spans="1:13" x14ac:dyDescent="0.2">
      <c r="A2732" s="12" t="s">
        <v>5313</v>
      </c>
      <c r="B2732" s="12" t="s">
        <v>3973</v>
      </c>
      <c r="C2732" s="12">
        <v>149576161</v>
      </c>
      <c r="D2732" s="12">
        <v>149576464</v>
      </c>
      <c r="E2732" s="12" t="s">
        <v>3940</v>
      </c>
      <c r="F2732" s="12">
        <v>3</v>
      </c>
      <c r="G2732" s="41" t="s">
        <v>139</v>
      </c>
      <c r="H2732" s="12" t="s">
        <v>6206</v>
      </c>
      <c r="I2732" s="41" t="s">
        <v>7880</v>
      </c>
      <c r="M2732" s="41" t="e">
        <f>VLOOKUP(I2732,错误mRNA总表!D:I,6,FALSE)</f>
        <v>#N/A</v>
      </c>
    </row>
    <row r="2733" spans="1:13" x14ac:dyDescent="0.2">
      <c r="A2733" s="12" t="s">
        <v>5313</v>
      </c>
      <c r="B2733" s="12" t="s">
        <v>3973</v>
      </c>
      <c r="C2733" s="12">
        <v>149576161</v>
      </c>
      <c r="D2733" s="12">
        <v>149616671</v>
      </c>
      <c r="E2733" s="12" t="s">
        <v>3940</v>
      </c>
      <c r="F2733" s="12">
        <v>3</v>
      </c>
      <c r="G2733" s="41" t="s">
        <v>139</v>
      </c>
      <c r="H2733" s="12" t="s">
        <v>6206</v>
      </c>
      <c r="I2733" s="41" t="s">
        <v>7880</v>
      </c>
      <c r="M2733" s="41" t="e">
        <f>VLOOKUP(I2733,错误mRNA总表!D:I,6,FALSE)</f>
        <v>#N/A</v>
      </c>
    </row>
    <row r="2734" spans="1:13" x14ac:dyDescent="0.2">
      <c r="A2734" s="12" t="s">
        <v>5314</v>
      </c>
      <c r="B2734" s="12" t="s">
        <v>3957</v>
      </c>
      <c r="C2734" s="12">
        <v>27676440</v>
      </c>
      <c r="D2734" s="12">
        <v>27676545</v>
      </c>
      <c r="E2734" s="12" t="s">
        <v>3943</v>
      </c>
      <c r="F2734" s="12">
        <v>1</v>
      </c>
      <c r="G2734" s="41" t="s">
        <v>36</v>
      </c>
      <c r="H2734" s="12" t="s">
        <v>6207</v>
      </c>
      <c r="I2734" s="41" t="s">
        <v>7881</v>
      </c>
      <c r="M2734" s="41" t="e">
        <f>VLOOKUP(I2734,错误mRNA总表!D:I,6,FALSE)</f>
        <v>#N/A</v>
      </c>
    </row>
    <row r="2735" spans="1:13" x14ac:dyDescent="0.2">
      <c r="A2735" s="12" t="s">
        <v>5314</v>
      </c>
      <c r="B2735" s="12" t="s">
        <v>3957</v>
      </c>
      <c r="C2735" s="12">
        <v>27676440</v>
      </c>
      <c r="D2735" s="12">
        <v>27679010</v>
      </c>
      <c r="E2735" s="12" t="s">
        <v>3943</v>
      </c>
      <c r="F2735" s="12">
        <v>1</v>
      </c>
      <c r="G2735" s="41" t="s">
        <v>36</v>
      </c>
      <c r="H2735" s="12" t="s">
        <v>6207</v>
      </c>
      <c r="I2735" s="41" t="s">
        <v>7881</v>
      </c>
      <c r="M2735" s="41" t="e">
        <f>VLOOKUP(I2735,错误mRNA总表!D:I,6,FALSE)</f>
        <v>#N/A</v>
      </c>
    </row>
    <row r="2736" spans="1:13" x14ac:dyDescent="0.2">
      <c r="A2736" s="12" t="s">
        <v>5315</v>
      </c>
      <c r="B2736" s="12" t="s">
        <v>3973</v>
      </c>
      <c r="C2736" s="12">
        <v>17698691</v>
      </c>
      <c r="D2736" s="12">
        <v>17718673</v>
      </c>
      <c r="E2736" s="12" t="s">
        <v>3943</v>
      </c>
      <c r="F2736" s="12">
        <v>1</v>
      </c>
      <c r="G2736" s="41" t="s">
        <v>139</v>
      </c>
      <c r="H2736" s="12" t="s">
        <v>243</v>
      </c>
      <c r="I2736" s="41" t="s">
        <v>7882</v>
      </c>
      <c r="J2736" s="41" t="s">
        <v>2186</v>
      </c>
      <c r="K2736" s="41" t="str">
        <f>VLOOKUP(J2736,错误mRNA总表!D:J,7,FALSE)</f>
        <v>纠后正确</v>
      </c>
      <c r="M2736" s="41" t="e">
        <f>VLOOKUP(I2736,错误mRNA总表!D:I,6,FALSE)</f>
        <v>#N/A</v>
      </c>
    </row>
    <row r="2737" spans="1:13" x14ac:dyDescent="0.2">
      <c r="A2737" s="12" t="s">
        <v>5316</v>
      </c>
      <c r="B2737" s="12" t="s">
        <v>3939</v>
      </c>
      <c r="C2737" s="12">
        <v>52780281</v>
      </c>
      <c r="D2737" s="12">
        <v>52790461</v>
      </c>
      <c r="E2737" s="12" t="s">
        <v>3943</v>
      </c>
      <c r="F2737" s="12">
        <v>4</v>
      </c>
      <c r="G2737" s="41" t="s">
        <v>73</v>
      </c>
      <c r="H2737" s="12" t="s">
        <v>3697</v>
      </c>
      <c r="I2737" s="41" t="s">
        <v>7883</v>
      </c>
      <c r="M2737" s="41" t="e">
        <f>VLOOKUP(I2737,错误mRNA总表!D:I,6,FALSE)</f>
        <v>#N/A</v>
      </c>
    </row>
    <row r="2738" spans="1:13" x14ac:dyDescent="0.2">
      <c r="A2738" s="12" t="s">
        <v>5317</v>
      </c>
      <c r="B2738" s="12" t="s">
        <v>3946</v>
      </c>
      <c r="C2738" s="12">
        <v>29718698</v>
      </c>
      <c r="D2738" s="12">
        <v>29863658</v>
      </c>
      <c r="E2738" s="12" t="s">
        <v>3943</v>
      </c>
      <c r="F2738" s="12">
        <v>1</v>
      </c>
      <c r="G2738" s="41" t="s">
        <v>47</v>
      </c>
      <c r="H2738" s="12" t="s">
        <v>6587</v>
      </c>
      <c r="I2738" s="41" t="s">
        <v>7884</v>
      </c>
      <c r="M2738" s="41" t="e">
        <f>VLOOKUP(I2738,错误mRNA总表!D:I,6,FALSE)</f>
        <v>#N/A</v>
      </c>
    </row>
    <row r="2739" spans="1:13" x14ac:dyDescent="0.2">
      <c r="A2739" s="12" t="s">
        <v>5318</v>
      </c>
      <c r="B2739" s="12" t="s">
        <v>3946</v>
      </c>
      <c r="C2739" s="12">
        <v>6555059</v>
      </c>
      <c r="D2739" s="12">
        <v>6555548</v>
      </c>
      <c r="E2739" s="12" t="s">
        <v>3940</v>
      </c>
      <c r="F2739" s="12">
        <v>1</v>
      </c>
      <c r="G2739" s="41" t="s">
        <v>47</v>
      </c>
      <c r="H2739" s="12" t="s">
        <v>46</v>
      </c>
      <c r="I2739" s="41" t="s">
        <v>2079</v>
      </c>
      <c r="J2739" s="41" t="s">
        <v>2079</v>
      </c>
      <c r="K2739" s="41" t="str">
        <f>VLOOKUP(J2739,错误mRNA总表!D:J,7,FALSE)</f>
        <v>纠后正确</v>
      </c>
      <c r="L2739" s="41" t="s">
        <v>3763</v>
      </c>
      <c r="M2739" s="41">
        <f>VLOOKUP(I2739,错误mRNA总表!D:I,6,FALSE)</f>
        <v>0</v>
      </c>
    </row>
    <row r="2740" spans="1:13" x14ac:dyDescent="0.2">
      <c r="A2740" s="12" t="s">
        <v>5319</v>
      </c>
      <c r="B2740" s="12" t="s">
        <v>4933</v>
      </c>
      <c r="C2740" s="12">
        <v>1187</v>
      </c>
      <c r="D2740" s="12">
        <v>1222</v>
      </c>
      <c r="E2740" s="12" t="s">
        <v>3940</v>
      </c>
      <c r="F2740" s="12">
        <v>93</v>
      </c>
      <c r="H2740" s="12" t="s">
        <v>6208</v>
      </c>
      <c r="I2740" s="41" t="s">
        <v>7493</v>
      </c>
      <c r="M2740" s="41" t="e">
        <f>VLOOKUP(I2740,错误mRNA总表!D:I,6,FALSE)</f>
        <v>#N/A</v>
      </c>
    </row>
    <row r="2741" spans="1:13" x14ac:dyDescent="0.2">
      <c r="A2741" s="12" t="s">
        <v>5319</v>
      </c>
      <c r="B2741" s="12" t="s">
        <v>4933</v>
      </c>
      <c r="C2741" s="12">
        <v>1187</v>
      </c>
      <c r="D2741" s="12">
        <v>1192</v>
      </c>
      <c r="E2741" s="12" t="s">
        <v>3940</v>
      </c>
      <c r="F2741" s="12">
        <v>1</v>
      </c>
      <c r="H2741" s="12" t="s">
        <v>6208</v>
      </c>
      <c r="I2741" s="41" t="s">
        <v>7493</v>
      </c>
      <c r="M2741" s="41" t="e">
        <f>VLOOKUP(I2741,错误mRNA总表!D:I,6,FALSE)</f>
        <v>#N/A</v>
      </c>
    </row>
    <row r="2742" spans="1:13" x14ac:dyDescent="0.2">
      <c r="A2742" s="12" t="s">
        <v>5319</v>
      </c>
      <c r="B2742" s="12" t="s">
        <v>4933</v>
      </c>
      <c r="C2742" s="12">
        <v>1187</v>
      </c>
      <c r="D2742" s="12">
        <v>1205</v>
      </c>
      <c r="E2742" s="12" t="s">
        <v>3943</v>
      </c>
      <c r="F2742" s="12">
        <v>2</v>
      </c>
      <c r="H2742" s="12" t="s">
        <v>6208</v>
      </c>
      <c r="I2742" s="41" t="s">
        <v>7493</v>
      </c>
      <c r="M2742" s="41" t="e">
        <f>VLOOKUP(I2742,错误mRNA总表!D:I,6,FALSE)</f>
        <v>#N/A</v>
      </c>
    </row>
    <row r="2743" spans="1:13" x14ac:dyDescent="0.2">
      <c r="A2743" s="12" t="s">
        <v>5320</v>
      </c>
      <c r="B2743" s="12" t="s">
        <v>4042</v>
      </c>
      <c r="C2743" s="12">
        <v>67418054</v>
      </c>
      <c r="D2743" s="12">
        <v>67485936</v>
      </c>
      <c r="E2743" s="12" t="s">
        <v>3943</v>
      </c>
      <c r="F2743" s="12">
        <v>3</v>
      </c>
      <c r="G2743" s="41" t="s">
        <v>113</v>
      </c>
      <c r="H2743" s="12" t="s">
        <v>6209</v>
      </c>
      <c r="I2743" s="41" t="s">
        <v>7885</v>
      </c>
      <c r="M2743" s="41" t="e">
        <f>VLOOKUP(I2743,错误mRNA总表!D:I,6,FALSE)</f>
        <v>#N/A</v>
      </c>
    </row>
    <row r="2744" spans="1:13" x14ac:dyDescent="0.2">
      <c r="A2744" s="12" t="s">
        <v>5321</v>
      </c>
      <c r="B2744" s="12" t="s">
        <v>4107</v>
      </c>
      <c r="C2744" s="12">
        <v>1310590</v>
      </c>
      <c r="D2744" s="12">
        <v>1311034</v>
      </c>
      <c r="E2744" s="12" t="s">
        <v>3940</v>
      </c>
      <c r="F2744" s="12">
        <v>2</v>
      </c>
      <c r="H2744" s="12" t="s">
        <v>3687</v>
      </c>
      <c r="I2744" s="41" t="s">
        <v>7886</v>
      </c>
      <c r="M2744" s="41" t="e">
        <f>VLOOKUP(I2744,错误mRNA总表!D:I,6,FALSE)</f>
        <v>#N/A</v>
      </c>
    </row>
    <row r="2745" spans="1:13" x14ac:dyDescent="0.2">
      <c r="A2745" s="12" t="s">
        <v>5094</v>
      </c>
      <c r="B2745" s="12" t="s">
        <v>4356</v>
      </c>
      <c r="C2745" s="12">
        <v>3731129</v>
      </c>
      <c r="D2745" s="12">
        <v>3814854</v>
      </c>
      <c r="E2745" s="12" t="s">
        <v>3940</v>
      </c>
      <c r="F2745" s="12">
        <v>1</v>
      </c>
      <c r="H2745" s="12" t="s">
        <v>6135</v>
      </c>
      <c r="I2745" s="41" t="s">
        <v>7887</v>
      </c>
      <c r="M2745" s="41" t="e">
        <f>VLOOKUP(I2745,错误mRNA总表!D:I,6,FALSE)</f>
        <v>#N/A</v>
      </c>
    </row>
    <row r="2746" spans="1:13" x14ac:dyDescent="0.2">
      <c r="A2746" s="12" t="s">
        <v>4971</v>
      </c>
      <c r="B2746" s="12" t="s">
        <v>3996</v>
      </c>
      <c r="C2746" s="12">
        <v>1275793</v>
      </c>
      <c r="D2746" s="12">
        <v>1276463</v>
      </c>
      <c r="E2746" s="12" t="s">
        <v>3940</v>
      </c>
      <c r="F2746" s="12">
        <v>21</v>
      </c>
      <c r="H2746" s="12" t="s">
        <v>3519</v>
      </c>
      <c r="I2746" s="41" t="s">
        <v>7888</v>
      </c>
      <c r="M2746" s="41" t="e">
        <f>VLOOKUP(I2746,错误mRNA总表!D:I,6,FALSE)</f>
        <v>#N/A</v>
      </c>
    </row>
    <row r="2747" spans="1:13" x14ac:dyDescent="0.2">
      <c r="A2747" s="12" t="s">
        <v>4267</v>
      </c>
      <c r="B2747" s="12" t="s">
        <v>3996</v>
      </c>
      <c r="C2747" s="12">
        <v>1143559</v>
      </c>
      <c r="D2747" s="12">
        <v>1158907</v>
      </c>
      <c r="E2747" s="12" t="s">
        <v>3943</v>
      </c>
      <c r="F2747" s="12">
        <v>8</v>
      </c>
      <c r="H2747" s="12" t="s">
        <v>3528</v>
      </c>
      <c r="I2747" s="41" t="s">
        <v>7889</v>
      </c>
      <c r="M2747" s="41" t="e">
        <f>VLOOKUP(I2747,错误mRNA总表!D:I,6,FALSE)</f>
        <v>#N/A</v>
      </c>
    </row>
    <row r="2748" spans="1:13" x14ac:dyDescent="0.2">
      <c r="A2748" s="12" t="s">
        <v>5322</v>
      </c>
      <c r="B2748" s="12" t="s">
        <v>4030</v>
      </c>
      <c r="C2748" s="12">
        <v>23881947</v>
      </c>
      <c r="D2748" s="12">
        <v>23903460</v>
      </c>
      <c r="E2748" s="12" t="s">
        <v>3943</v>
      </c>
      <c r="F2748" s="12">
        <v>1</v>
      </c>
      <c r="G2748" s="41" t="s">
        <v>81</v>
      </c>
      <c r="H2748" s="12" t="s">
        <v>6456</v>
      </c>
      <c r="I2748" s="41" t="s">
        <v>7890</v>
      </c>
      <c r="M2748" s="41" t="e">
        <f>VLOOKUP(I2748,错误mRNA总表!D:I,6,FALSE)</f>
        <v>#N/A</v>
      </c>
    </row>
    <row r="2749" spans="1:13" x14ac:dyDescent="0.2">
      <c r="A2749" s="12" t="s">
        <v>5322</v>
      </c>
      <c r="B2749" s="12" t="s">
        <v>4030</v>
      </c>
      <c r="C2749" s="12">
        <v>23881947</v>
      </c>
      <c r="D2749" s="12">
        <v>23903466</v>
      </c>
      <c r="E2749" s="12" t="s">
        <v>3940</v>
      </c>
      <c r="F2749" s="12">
        <v>4</v>
      </c>
      <c r="G2749" s="41" t="s">
        <v>81</v>
      </c>
      <c r="H2749" s="12" t="s">
        <v>6456</v>
      </c>
      <c r="I2749" s="41" t="s">
        <v>7890</v>
      </c>
      <c r="M2749" s="41" t="e">
        <f>VLOOKUP(I2749,错误mRNA总表!D:I,6,FALSE)</f>
        <v>#N/A</v>
      </c>
    </row>
    <row r="2750" spans="1:13" x14ac:dyDescent="0.2">
      <c r="A2750" s="12" t="s">
        <v>5322</v>
      </c>
      <c r="B2750" s="12" t="s">
        <v>4030</v>
      </c>
      <c r="C2750" s="12">
        <v>23881947</v>
      </c>
      <c r="D2750" s="12">
        <v>23903471</v>
      </c>
      <c r="E2750" s="12" t="s">
        <v>3940</v>
      </c>
      <c r="F2750" s="12">
        <v>7</v>
      </c>
      <c r="G2750" s="41" t="s">
        <v>81</v>
      </c>
      <c r="H2750" s="12" t="s">
        <v>6456</v>
      </c>
      <c r="I2750" s="41" t="s">
        <v>7890</v>
      </c>
      <c r="M2750" s="41" t="e">
        <f>VLOOKUP(I2750,错误mRNA总表!D:I,6,FALSE)</f>
        <v>#N/A</v>
      </c>
    </row>
    <row r="2751" spans="1:13" x14ac:dyDescent="0.2">
      <c r="A2751" s="12" t="s">
        <v>5322</v>
      </c>
      <c r="B2751" s="12" t="s">
        <v>4030</v>
      </c>
      <c r="C2751" s="12">
        <v>23881947</v>
      </c>
      <c r="D2751" s="12">
        <v>23903475</v>
      </c>
      <c r="E2751" s="12" t="s">
        <v>3943</v>
      </c>
      <c r="F2751" s="12">
        <v>7</v>
      </c>
      <c r="G2751" s="41" t="s">
        <v>81</v>
      </c>
      <c r="H2751" s="12" t="s">
        <v>6456</v>
      </c>
      <c r="I2751" s="41" t="s">
        <v>7890</v>
      </c>
      <c r="M2751" s="41" t="e">
        <f>VLOOKUP(I2751,错误mRNA总表!D:I,6,FALSE)</f>
        <v>#N/A</v>
      </c>
    </row>
    <row r="2752" spans="1:13" x14ac:dyDescent="0.2">
      <c r="A2752" s="12" t="s">
        <v>5322</v>
      </c>
      <c r="B2752" s="12" t="s">
        <v>4030</v>
      </c>
      <c r="C2752" s="12">
        <v>23881947</v>
      </c>
      <c r="D2752" s="12">
        <v>23903490</v>
      </c>
      <c r="E2752" s="12" t="s">
        <v>3940</v>
      </c>
      <c r="F2752" s="12">
        <v>1</v>
      </c>
      <c r="G2752" s="41" t="s">
        <v>81</v>
      </c>
      <c r="H2752" s="12" t="s">
        <v>6456</v>
      </c>
      <c r="I2752" s="41" t="s">
        <v>7890</v>
      </c>
      <c r="M2752" s="41" t="e">
        <f>VLOOKUP(I2752,错误mRNA总表!D:I,6,FALSE)</f>
        <v>#N/A</v>
      </c>
    </row>
    <row r="2753" spans="1:13" x14ac:dyDescent="0.2">
      <c r="A2753" s="12" t="s">
        <v>5323</v>
      </c>
      <c r="B2753" s="12" t="s">
        <v>4012</v>
      </c>
      <c r="C2753" s="12">
        <v>76311115</v>
      </c>
      <c r="D2753" s="12">
        <v>76311603</v>
      </c>
      <c r="E2753" s="12" t="s">
        <v>3940</v>
      </c>
      <c r="F2753" s="12">
        <v>1</v>
      </c>
      <c r="G2753" s="41" t="s">
        <v>121</v>
      </c>
      <c r="H2753" s="12" t="s">
        <v>6210</v>
      </c>
      <c r="I2753" s="41" t="s">
        <v>7891</v>
      </c>
      <c r="M2753" s="41" t="e">
        <f>VLOOKUP(I2753,错误mRNA总表!D:I,6,FALSE)</f>
        <v>#N/A</v>
      </c>
    </row>
    <row r="2754" spans="1:13" x14ac:dyDescent="0.2">
      <c r="A2754" s="12" t="s">
        <v>5324</v>
      </c>
      <c r="B2754" s="12" t="s">
        <v>3986</v>
      </c>
      <c r="C2754" s="12">
        <v>45010211</v>
      </c>
      <c r="D2754" s="12">
        <v>45016990</v>
      </c>
      <c r="E2754" s="12" t="s">
        <v>3943</v>
      </c>
      <c r="F2754" s="12">
        <v>1</v>
      </c>
      <c r="G2754" s="41" t="s">
        <v>50</v>
      </c>
      <c r="H2754" s="12" t="s">
        <v>60</v>
      </c>
      <c r="I2754" s="41" t="s">
        <v>2087</v>
      </c>
      <c r="J2754" s="41" t="s">
        <v>2087</v>
      </c>
      <c r="K2754" s="41" t="str">
        <f>VLOOKUP(J2754,错误mRNA总表!D:J,7,FALSE)</f>
        <v>纠后正确</v>
      </c>
      <c r="L2754" s="41" t="s">
        <v>3763</v>
      </c>
      <c r="M2754" s="41">
        <f>VLOOKUP(I2754,错误mRNA总表!D:I,6,FALSE)</f>
        <v>0</v>
      </c>
    </row>
    <row r="2755" spans="1:13" x14ac:dyDescent="0.2">
      <c r="A2755" s="12" t="s">
        <v>5325</v>
      </c>
      <c r="B2755" s="12" t="s">
        <v>3946</v>
      </c>
      <c r="C2755" s="12">
        <v>29815019</v>
      </c>
      <c r="D2755" s="12">
        <v>29863658</v>
      </c>
      <c r="E2755" s="12" t="s">
        <v>3943</v>
      </c>
      <c r="F2755" s="12">
        <v>1</v>
      </c>
      <c r="G2755" s="41" t="s">
        <v>47</v>
      </c>
      <c r="H2755" s="12" t="s">
        <v>6299</v>
      </c>
      <c r="I2755" s="41" t="s">
        <v>7892</v>
      </c>
      <c r="M2755" s="41" t="e">
        <f>VLOOKUP(I2755,错误mRNA总表!D:I,6,FALSE)</f>
        <v>#N/A</v>
      </c>
    </row>
    <row r="2756" spans="1:13" x14ac:dyDescent="0.2">
      <c r="A2756" s="12" t="s">
        <v>4186</v>
      </c>
      <c r="B2756" s="12" t="s">
        <v>4087</v>
      </c>
      <c r="C2756" s="12">
        <v>123489</v>
      </c>
      <c r="D2756" s="12">
        <v>123728</v>
      </c>
      <c r="E2756" s="12" t="s">
        <v>3940</v>
      </c>
      <c r="F2756" s="12">
        <v>6</v>
      </c>
      <c r="H2756" s="12" t="s">
        <v>6398</v>
      </c>
      <c r="I2756" s="41" t="s">
        <v>7893</v>
      </c>
      <c r="M2756" s="41" t="e">
        <f>VLOOKUP(I2756,错误mRNA总表!D:I,6,FALSE)</f>
        <v>#N/A</v>
      </c>
    </row>
    <row r="2757" spans="1:13" x14ac:dyDescent="0.2">
      <c r="A2757" s="12" t="s">
        <v>4186</v>
      </c>
      <c r="B2757" s="12" t="s">
        <v>4087</v>
      </c>
      <c r="C2757" s="12">
        <v>123489</v>
      </c>
      <c r="D2757" s="12">
        <v>125245</v>
      </c>
      <c r="E2757" s="12" t="s">
        <v>3940</v>
      </c>
      <c r="F2757" s="12">
        <v>1</v>
      </c>
      <c r="H2757" s="12" t="s">
        <v>6398</v>
      </c>
      <c r="I2757" s="41" t="s">
        <v>7893</v>
      </c>
      <c r="M2757" s="41" t="e">
        <f>VLOOKUP(I2757,错误mRNA总表!D:I,6,FALSE)</f>
        <v>#N/A</v>
      </c>
    </row>
    <row r="2758" spans="1:13" x14ac:dyDescent="0.2">
      <c r="A2758" s="12" t="s">
        <v>4186</v>
      </c>
      <c r="B2758" s="12" t="s">
        <v>4087</v>
      </c>
      <c r="C2758" s="12">
        <v>123489</v>
      </c>
      <c r="D2758" s="12">
        <v>125368</v>
      </c>
      <c r="E2758" s="12" t="s">
        <v>3940</v>
      </c>
      <c r="F2758" s="12">
        <v>1</v>
      </c>
      <c r="H2758" s="12" t="s">
        <v>6398</v>
      </c>
      <c r="I2758" s="41" t="s">
        <v>7893</v>
      </c>
      <c r="M2758" s="41" t="e">
        <f>VLOOKUP(I2758,错误mRNA总表!D:I,6,FALSE)</f>
        <v>#N/A</v>
      </c>
    </row>
    <row r="2759" spans="1:13" x14ac:dyDescent="0.2">
      <c r="A2759" s="12" t="s">
        <v>4186</v>
      </c>
      <c r="B2759" s="12" t="s">
        <v>4087</v>
      </c>
      <c r="C2759" s="12">
        <v>123489</v>
      </c>
      <c r="D2759" s="12">
        <v>126644</v>
      </c>
      <c r="E2759" s="12" t="s">
        <v>3940</v>
      </c>
      <c r="F2759" s="12">
        <v>4</v>
      </c>
      <c r="H2759" s="12" t="s">
        <v>6398</v>
      </c>
      <c r="I2759" s="41" t="s">
        <v>7893</v>
      </c>
      <c r="M2759" s="41" t="e">
        <f>VLOOKUP(I2759,错误mRNA总表!D:I,6,FALSE)</f>
        <v>#N/A</v>
      </c>
    </row>
    <row r="2760" spans="1:13" x14ac:dyDescent="0.2">
      <c r="A2760" s="12" t="s">
        <v>5326</v>
      </c>
      <c r="B2760" s="12" t="s">
        <v>4004</v>
      </c>
      <c r="C2760" s="12">
        <v>86126288</v>
      </c>
      <c r="D2760" s="12">
        <v>86126827</v>
      </c>
      <c r="E2760" s="12" t="s">
        <v>3940</v>
      </c>
      <c r="F2760" s="12">
        <v>6</v>
      </c>
      <c r="G2760" s="41" t="s">
        <v>103</v>
      </c>
      <c r="H2760" s="12" t="s">
        <v>787</v>
      </c>
      <c r="I2760" s="41" t="s">
        <v>2218</v>
      </c>
      <c r="J2760" s="41" t="s">
        <v>2218</v>
      </c>
      <c r="K2760" s="41" t="str">
        <f>VLOOKUP(J2760,错误mRNA总表!D:J,7,FALSE)</f>
        <v>纠后正确，加2个氨基酸chr8:86126795-86126826</v>
      </c>
      <c r="L2760" s="41" t="s">
        <v>8335</v>
      </c>
      <c r="M2760" s="41">
        <f>VLOOKUP(I2760,错误mRNA总表!D:I,6,FALSE)</f>
        <v>0</v>
      </c>
    </row>
    <row r="2761" spans="1:13" x14ac:dyDescent="0.2">
      <c r="A2761" s="12" t="s">
        <v>5327</v>
      </c>
      <c r="B2761" s="12" t="s">
        <v>3962</v>
      </c>
      <c r="C2761" s="12">
        <v>35729629</v>
      </c>
      <c r="D2761" s="12">
        <v>35807790</v>
      </c>
      <c r="E2761" s="12" t="s">
        <v>3940</v>
      </c>
      <c r="F2761" s="12">
        <v>29</v>
      </c>
      <c r="G2761" s="41" t="s">
        <v>53</v>
      </c>
      <c r="H2761" s="12" t="s">
        <v>52</v>
      </c>
      <c r="I2761" s="41" t="s">
        <v>2081</v>
      </c>
      <c r="J2761" s="41" t="s">
        <v>2081</v>
      </c>
      <c r="K2761" s="41" t="str">
        <f>VLOOKUP(J2761,错误mRNA总表!D:J,7,FALSE)</f>
        <v>纠后正确</v>
      </c>
      <c r="L2761" s="41" t="s">
        <v>3763</v>
      </c>
      <c r="M2761" s="41">
        <f>VLOOKUP(I2761,错误mRNA总表!D:I,6,FALSE)</f>
        <v>0</v>
      </c>
    </row>
    <row r="2762" spans="1:13" x14ac:dyDescent="0.2">
      <c r="A2762" s="12" t="s">
        <v>5328</v>
      </c>
      <c r="B2762" s="12" t="s">
        <v>4378</v>
      </c>
      <c r="C2762" s="12">
        <v>7274</v>
      </c>
      <c r="D2762" s="12">
        <v>7304</v>
      </c>
      <c r="E2762" s="12" t="s">
        <v>3940</v>
      </c>
      <c r="F2762" s="12">
        <v>317</v>
      </c>
      <c r="H2762" s="12" t="s">
        <v>3486</v>
      </c>
      <c r="I2762" s="41" t="s">
        <v>7894</v>
      </c>
      <c r="M2762" s="41" t="e">
        <f>VLOOKUP(I2762,错误mRNA总表!D:I,6,FALSE)</f>
        <v>#N/A</v>
      </c>
    </row>
    <row r="2763" spans="1:13" x14ac:dyDescent="0.2">
      <c r="A2763" s="12" t="s">
        <v>5328</v>
      </c>
      <c r="B2763" s="12" t="s">
        <v>4378</v>
      </c>
      <c r="C2763" s="12">
        <v>7274</v>
      </c>
      <c r="D2763" s="12">
        <v>7284</v>
      </c>
      <c r="E2763" s="12" t="s">
        <v>3940</v>
      </c>
      <c r="F2763" s="12">
        <v>1</v>
      </c>
      <c r="H2763" s="12" t="s">
        <v>3486</v>
      </c>
      <c r="I2763" s="41" t="s">
        <v>7894</v>
      </c>
      <c r="M2763" s="41" t="e">
        <f>VLOOKUP(I2763,错误mRNA总表!D:I,6,FALSE)</f>
        <v>#N/A</v>
      </c>
    </row>
    <row r="2764" spans="1:13" x14ac:dyDescent="0.2">
      <c r="A2764" s="12" t="s">
        <v>5328</v>
      </c>
      <c r="B2764" s="12" t="s">
        <v>4378</v>
      </c>
      <c r="C2764" s="12">
        <v>7274</v>
      </c>
      <c r="D2764" s="12">
        <v>7289</v>
      </c>
      <c r="E2764" s="12" t="s">
        <v>3940</v>
      </c>
      <c r="F2764" s="12">
        <v>1</v>
      </c>
      <c r="H2764" s="12" t="s">
        <v>3486</v>
      </c>
      <c r="I2764" s="41" t="s">
        <v>7894</v>
      </c>
      <c r="M2764" s="41" t="e">
        <f>VLOOKUP(I2764,错误mRNA总表!D:I,6,FALSE)</f>
        <v>#N/A</v>
      </c>
    </row>
    <row r="2765" spans="1:13" x14ac:dyDescent="0.2">
      <c r="A2765" s="12" t="s">
        <v>5328</v>
      </c>
      <c r="B2765" s="12" t="s">
        <v>4378</v>
      </c>
      <c r="C2765" s="12">
        <v>7274</v>
      </c>
      <c r="D2765" s="12">
        <v>7302</v>
      </c>
      <c r="E2765" s="12" t="s">
        <v>3943</v>
      </c>
      <c r="F2765" s="12">
        <v>1</v>
      </c>
      <c r="H2765" s="12" t="s">
        <v>3486</v>
      </c>
      <c r="I2765" s="41" t="s">
        <v>7894</v>
      </c>
      <c r="M2765" s="41" t="e">
        <f>VLOOKUP(I2765,错误mRNA总表!D:I,6,FALSE)</f>
        <v>#N/A</v>
      </c>
    </row>
    <row r="2766" spans="1:13" x14ac:dyDescent="0.2">
      <c r="A2766" s="12" t="s">
        <v>5328</v>
      </c>
      <c r="B2766" s="12" t="s">
        <v>4378</v>
      </c>
      <c r="C2766" s="12">
        <v>7274</v>
      </c>
      <c r="D2766" s="12">
        <v>14121</v>
      </c>
      <c r="E2766" s="12" t="s">
        <v>3940</v>
      </c>
      <c r="F2766" s="12">
        <v>45</v>
      </c>
      <c r="H2766" s="12" t="s">
        <v>3486</v>
      </c>
      <c r="I2766" s="41" t="s">
        <v>7894</v>
      </c>
      <c r="M2766" s="41" t="e">
        <f>VLOOKUP(I2766,错误mRNA总表!D:I,6,FALSE)</f>
        <v>#N/A</v>
      </c>
    </row>
    <row r="2767" spans="1:13" x14ac:dyDescent="0.2">
      <c r="A2767" s="12" t="s">
        <v>3951</v>
      </c>
      <c r="B2767" s="12" t="s">
        <v>4098</v>
      </c>
      <c r="C2767" s="12">
        <v>134946</v>
      </c>
      <c r="D2767" s="12">
        <v>135009</v>
      </c>
      <c r="E2767" s="12" t="s">
        <v>3940</v>
      </c>
      <c r="F2767" s="12">
        <v>1</v>
      </c>
      <c r="H2767" s="12" t="s">
        <v>3649</v>
      </c>
      <c r="I2767" s="41" t="s">
        <v>6633</v>
      </c>
      <c r="M2767" s="41" t="e">
        <f>VLOOKUP(I2767,错误mRNA总表!D:I,6,FALSE)</f>
        <v>#N/A</v>
      </c>
    </row>
    <row r="2768" spans="1:13" x14ac:dyDescent="0.2">
      <c r="A2768" s="12" t="s">
        <v>5329</v>
      </c>
      <c r="B2768" s="12" t="s">
        <v>3986</v>
      </c>
      <c r="C2768" s="12">
        <v>16244838</v>
      </c>
      <c r="D2768" s="12">
        <v>16268212</v>
      </c>
      <c r="E2768" s="12" t="s">
        <v>3943</v>
      </c>
      <c r="F2768" s="12">
        <v>1</v>
      </c>
      <c r="G2768" s="41" t="s">
        <v>50</v>
      </c>
      <c r="H2768" s="12" t="s">
        <v>88</v>
      </c>
      <c r="I2768" s="41" t="s">
        <v>2100</v>
      </c>
      <c r="J2768" s="41" t="s">
        <v>2100</v>
      </c>
      <c r="K2768" s="41" t="str">
        <f>VLOOKUP(J2768,错误mRNA总表!D:J,7,FALSE)</f>
        <v>纠后正确</v>
      </c>
      <c r="L2768" s="41" t="s">
        <v>3763</v>
      </c>
      <c r="M2768" s="41">
        <f>VLOOKUP(I2768,错误mRNA总表!D:I,6,FALSE)</f>
        <v>0</v>
      </c>
    </row>
    <row r="2769" spans="1:13" x14ac:dyDescent="0.2">
      <c r="A2769" s="12" t="s">
        <v>5330</v>
      </c>
      <c r="B2769" s="12" t="s">
        <v>3948</v>
      </c>
      <c r="C2769" s="12">
        <v>20821894</v>
      </c>
      <c r="D2769" s="12">
        <v>20822304</v>
      </c>
      <c r="E2769" s="12" t="s">
        <v>3940</v>
      </c>
      <c r="F2769" s="12">
        <v>1</v>
      </c>
      <c r="G2769" s="41" t="s">
        <v>40</v>
      </c>
      <c r="H2769" s="12" t="s">
        <v>6611</v>
      </c>
      <c r="I2769" s="41" t="s">
        <v>7895</v>
      </c>
      <c r="M2769" s="41" t="e">
        <f>VLOOKUP(I2769,错误mRNA总表!D:I,6,FALSE)</f>
        <v>#N/A</v>
      </c>
    </row>
    <row r="2770" spans="1:13" x14ac:dyDescent="0.2">
      <c r="A2770" s="12" t="s">
        <v>4036</v>
      </c>
      <c r="B2770" s="12" t="s">
        <v>3994</v>
      </c>
      <c r="C2770" s="12">
        <v>2307538</v>
      </c>
      <c r="D2770" s="12">
        <v>2307663</v>
      </c>
      <c r="E2770" s="12" t="s">
        <v>3943</v>
      </c>
      <c r="F2770" s="12">
        <v>1</v>
      </c>
      <c r="H2770" s="12" t="s">
        <v>5789</v>
      </c>
      <c r="I2770" s="41" t="s">
        <v>7896</v>
      </c>
      <c r="M2770" s="41" t="e">
        <f>VLOOKUP(I2770,错误mRNA总表!D:I,6,FALSE)</f>
        <v>#N/A</v>
      </c>
    </row>
    <row r="2771" spans="1:13" x14ac:dyDescent="0.2">
      <c r="A2771" s="12" t="s">
        <v>4036</v>
      </c>
      <c r="B2771" s="12" t="s">
        <v>3994</v>
      </c>
      <c r="C2771" s="12">
        <v>2307538</v>
      </c>
      <c r="D2771" s="12">
        <v>2345946</v>
      </c>
      <c r="E2771" s="12" t="s">
        <v>3940</v>
      </c>
      <c r="F2771" s="12">
        <v>30</v>
      </c>
      <c r="H2771" s="12" t="s">
        <v>5789</v>
      </c>
      <c r="I2771" s="41" t="s">
        <v>7896</v>
      </c>
      <c r="M2771" s="41" t="e">
        <f>VLOOKUP(I2771,错误mRNA总表!D:I,6,FALSE)</f>
        <v>#N/A</v>
      </c>
    </row>
    <row r="2772" spans="1:13" x14ac:dyDescent="0.2">
      <c r="A2772" s="12" t="s">
        <v>5331</v>
      </c>
      <c r="B2772" s="12" t="s">
        <v>4052</v>
      </c>
      <c r="C2772" s="12">
        <v>116853124</v>
      </c>
      <c r="D2772" s="12">
        <v>116931102</v>
      </c>
      <c r="E2772" s="12" t="s">
        <v>3940</v>
      </c>
      <c r="F2772" s="12">
        <v>2</v>
      </c>
      <c r="G2772" s="41" t="s">
        <v>93</v>
      </c>
      <c r="H2772" s="12" t="s">
        <v>3455</v>
      </c>
      <c r="I2772" s="41" t="s">
        <v>7897</v>
      </c>
      <c r="M2772" s="41" t="e">
        <f>VLOOKUP(I2772,错误mRNA总表!D:I,6,FALSE)</f>
        <v>#N/A</v>
      </c>
    </row>
    <row r="2773" spans="1:13" x14ac:dyDescent="0.2">
      <c r="A2773" s="12" t="s">
        <v>4186</v>
      </c>
      <c r="B2773" s="12" t="s">
        <v>4001</v>
      </c>
      <c r="C2773" s="12">
        <v>1097228</v>
      </c>
      <c r="D2773" s="12">
        <v>1097467</v>
      </c>
      <c r="E2773" s="12" t="s">
        <v>3940</v>
      </c>
      <c r="F2773" s="12">
        <v>6</v>
      </c>
      <c r="H2773" s="12" t="s">
        <v>6398</v>
      </c>
      <c r="I2773" s="41" t="s">
        <v>7898</v>
      </c>
      <c r="M2773" s="41" t="e">
        <f>VLOOKUP(I2773,错误mRNA总表!D:I,6,FALSE)</f>
        <v>#N/A</v>
      </c>
    </row>
    <row r="2774" spans="1:13" x14ac:dyDescent="0.2">
      <c r="A2774" s="12" t="s">
        <v>4186</v>
      </c>
      <c r="B2774" s="12" t="s">
        <v>4001</v>
      </c>
      <c r="C2774" s="12">
        <v>1097228</v>
      </c>
      <c r="D2774" s="12">
        <v>1098984</v>
      </c>
      <c r="E2774" s="12" t="s">
        <v>3940</v>
      </c>
      <c r="F2774" s="12">
        <v>1</v>
      </c>
      <c r="H2774" s="12" t="s">
        <v>6398</v>
      </c>
      <c r="I2774" s="41" t="s">
        <v>7898</v>
      </c>
      <c r="M2774" s="41" t="e">
        <f>VLOOKUP(I2774,错误mRNA总表!D:I,6,FALSE)</f>
        <v>#N/A</v>
      </c>
    </row>
    <row r="2775" spans="1:13" x14ac:dyDescent="0.2">
      <c r="A2775" s="12" t="s">
        <v>4186</v>
      </c>
      <c r="B2775" s="12" t="s">
        <v>4001</v>
      </c>
      <c r="C2775" s="12">
        <v>1097228</v>
      </c>
      <c r="D2775" s="12">
        <v>1099107</v>
      </c>
      <c r="E2775" s="12" t="s">
        <v>3940</v>
      </c>
      <c r="F2775" s="12">
        <v>1</v>
      </c>
      <c r="H2775" s="12" t="s">
        <v>6398</v>
      </c>
      <c r="I2775" s="41" t="s">
        <v>7898</v>
      </c>
      <c r="M2775" s="41" t="e">
        <f>VLOOKUP(I2775,错误mRNA总表!D:I,6,FALSE)</f>
        <v>#N/A</v>
      </c>
    </row>
    <row r="2776" spans="1:13" x14ac:dyDescent="0.2">
      <c r="A2776" s="12" t="s">
        <v>4186</v>
      </c>
      <c r="B2776" s="12" t="s">
        <v>4001</v>
      </c>
      <c r="C2776" s="12">
        <v>1097228</v>
      </c>
      <c r="D2776" s="12">
        <v>1100383</v>
      </c>
      <c r="E2776" s="12" t="s">
        <v>3940</v>
      </c>
      <c r="F2776" s="12">
        <v>4</v>
      </c>
      <c r="H2776" s="12" t="s">
        <v>6398</v>
      </c>
      <c r="I2776" s="41" t="s">
        <v>7898</v>
      </c>
      <c r="M2776" s="41" t="e">
        <f>VLOOKUP(I2776,错误mRNA总表!D:I,6,FALSE)</f>
        <v>#N/A</v>
      </c>
    </row>
    <row r="2777" spans="1:13" x14ac:dyDescent="0.2">
      <c r="A2777" s="12" t="s">
        <v>5332</v>
      </c>
      <c r="B2777" s="12" t="s">
        <v>4052</v>
      </c>
      <c r="C2777" s="12">
        <v>64571756</v>
      </c>
      <c r="D2777" s="12">
        <v>64572037</v>
      </c>
      <c r="E2777" s="12" t="s">
        <v>3943</v>
      </c>
      <c r="F2777" s="12">
        <v>1</v>
      </c>
      <c r="G2777" s="41" t="s">
        <v>93</v>
      </c>
      <c r="H2777" s="12" t="s">
        <v>5973</v>
      </c>
      <c r="I2777" s="41" t="s">
        <v>7214</v>
      </c>
      <c r="M2777" s="41" t="e">
        <f>VLOOKUP(I2777,错误mRNA总表!D:I,6,FALSE)</f>
        <v>#N/A</v>
      </c>
    </row>
    <row r="2778" spans="1:13" x14ac:dyDescent="0.2">
      <c r="A2778" s="12" t="s">
        <v>5184</v>
      </c>
      <c r="B2778" s="12" t="s">
        <v>3950</v>
      </c>
      <c r="C2778" s="12">
        <v>288498</v>
      </c>
      <c r="D2778" s="12">
        <v>288670</v>
      </c>
      <c r="E2778" s="12" t="s">
        <v>3943</v>
      </c>
      <c r="F2778" s="12">
        <v>2</v>
      </c>
      <c r="H2778" s="12" t="s">
        <v>3658</v>
      </c>
      <c r="I2778" s="41" t="s">
        <v>7899</v>
      </c>
      <c r="M2778" s="41" t="e">
        <f>VLOOKUP(I2778,错误mRNA总表!D:I,6,FALSE)</f>
        <v>#N/A</v>
      </c>
    </row>
    <row r="2779" spans="1:13" x14ac:dyDescent="0.2">
      <c r="A2779" s="12" t="s">
        <v>3997</v>
      </c>
      <c r="B2779" s="12" t="s">
        <v>3984</v>
      </c>
      <c r="C2779" s="12">
        <v>2427966</v>
      </c>
      <c r="D2779" s="12">
        <v>2429980</v>
      </c>
      <c r="E2779" s="12" t="s">
        <v>3943</v>
      </c>
      <c r="F2779" s="12">
        <v>3</v>
      </c>
      <c r="H2779" s="12" t="s">
        <v>671</v>
      </c>
      <c r="I2779" s="41" t="s">
        <v>7401</v>
      </c>
      <c r="J2779" s="41" t="s">
        <v>2608</v>
      </c>
      <c r="K2779" s="41" t="str">
        <f>VLOOKUP(J2779,错误mRNA总表!D:J,7,FALSE)</f>
        <v/>
      </c>
      <c r="M2779" s="41" t="e">
        <f>VLOOKUP(I2779,错误mRNA总表!D:I,6,FALSE)</f>
        <v>#N/A</v>
      </c>
    </row>
    <row r="2780" spans="1:13" x14ac:dyDescent="0.2">
      <c r="A2780" s="12" t="s">
        <v>3997</v>
      </c>
      <c r="B2780" s="12" t="s">
        <v>3984</v>
      </c>
      <c r="C2780" s="12">
        <v>2427966</v>
      </c>
      <c r="D2780" s="12">
        <v>2430304</v>
      </c>
      <c r="E2780" s="12" t="s">
        <v>3940</v>
      </c>
      <c r="F2780" s="12">
        <v>1</v>
      </c>
      <c r="H2780" s="12" t="s">
        <v>671</v>
      </c>
      <c r="I2780" s="41" t="s">
        <v>7401</v>
      </c>
      <c r="J2780" s="41" t="s">
        <v>2608</v>
      </c>
      <c r="K2780" s="41" t="str">
        <f>VLOOKUP(J2780,错误mRNA总表!D:J,7,FALSE)</f>
        <v/>
      </c>
      <c r="M2780" s="41" t="e">
        <f>VLOOKUP(I2780,错误mRNA总表!D:I,6,FALSE)</f>
        <v>#N/A</v>
      </c>
    </row>
    <row r="2781" spans="1:13" x14ac:dyDescent="0.2">
      <c r="A2781" s="12" t="s">
        <v>5333</v>
      </c>
      <c r="B2781" s="12" t="s">
        <v>3948</v>
      </c>
      <c r="C2781" s="12">
        <v>72023729</v>
      </c>
      <c r="D2781" s="12">
        <v>72209527</v>
      </c>
      <c r="E2781" s="12" t="s">
        <v>3943</v>
      </c>
      <c r="F2781" s="12">
        <v>1</v>
      </c>
      <c r="G2781" s="41" t="s">
        <v>40</v>
      </c>
      <c r="H2781" s="12" t="s">
        <v>740</v>
      </c>
      <c r="I2781" s="41" t="s">
        <v>3346</v>
      </c>
      <c r="J2781" s="41" t="s">
        <v>3346</v>
      </c>
      <c r="K2781" s="41" t="str">
        <f>VLOOKUP(J2781,错误mRNA总表!D:J,7,FALSE)</f>
        <v>纠后正确</v>
      </c>
      <c r="L2781" s="41" t="s">
        <v>3763</v>
      </c>
      <c r="M2781" s="41">
        <f>VLOOKUP(I2781,错误mRNA总表!D:I,6,FALSE)</f>
        <v>0</v>
      </c>
    </row>
    <row r="2782" spans="1:13" x14ac:dyDescent="0.2">
      <c r="A2782" s="12" t="s">
        <v>5334</v>
      </c>
      <c r="B2782" s="12" t="s">
        <v>3973</v>
      </c>
      <c r="C2782" s="12">
        <v>156338980</v>
      </c>
      <c r="D2782" s="12">
        <v>156354354</v>
      </c>
      <c r="E2782" s="12" t="s">
        <v>3943</v>
      </c>
      <c r="F2782" s="12">
        <v>1</v>
      </c>
      <c r="G2782" s="41" t="s">
        <v>139</v>
      </c>
      <c r="H2782" s="12" t="s">
        <v>141</v>
      </c>
      <c r="I2782" s="41" t="s">
        <v>2131</v>
      </c>
      <c r="J2782" s="41" t="s">
        <v>2131</v>
      </c>
      <c r="K2782" s="41" t="str">
        <f>VLOOKUP(J2782,错误mRNA总表!D:J,7,FALSE)</f>
        <v>纠后正确</v>
      </c>
      <c r="L2782" s="41" t="s">
        <v>3763</v>
      </c>
      <c r="M2782" s="41">
        <f>VLOOKUP(I2782,错误mRNA总表!D:I,6,FALSE)</f>
        <v>0</v>
      </c>
    </row>
    <row r="2783" spans="1:13" x14ac:dyDescent="0.2">
      <c r="A2783" s="12" t="s">
        <v>4430</v>
      </c>
      <c r="B2783" s="12" t="s">
        <v>3960</v>
      </c>
      <c r="C2783" s="12">
        <v>166178</v>
      </c>
      <c r="D2783" s="12">
        <v>169309</v>
      </c>
      <c r="E2783" s="12" t="s">
        <v>3943</v>
      </c>
      <c r="F2783" s="12">
        <v>3</v>
      </c>
      <c r="H2783" s="12" t="s">
        <v>3651</v>
      </c>
      <c r="I2783" s="41" t="s">
        <v>7013</v>
      </c>
      <c r="M2783" s="41" t="e">
        <f>VLOOKUP(I2783,错误mRNA总表!D:I,6,FALSE)</f>
        <v>#N/A</v>
      </c>
    </row>
    <row r="2784" spans="1:13" x14ac:dyDescent="0.2">
      <c r="A2784" s="12" t="s">
        <v>5335</v>
      </c>
      <c r="B2784" s="12" t="s">
        <v>3954</v>
      </c>
      <c r="C2784" s="12">
        <v>37003401</v>
      </c>
      <c r="D2784" s="12">
        <v>37020347</v>
      </c>
      <c r="E2784" s="12" t="s">
        <v>3940</v>
      </c>
      <c r="F2784" s="12">
        <v>12</v>
      </c>
      <c r="G2784" s="41" t="s">
        <v>569</v>
      </c>
      <c r="H2784" s="12" t="s">
        <v>6211</v>
      </c>
      <c r="I2784" s="41" t="s">
        <v>7900</v>
      </c>
      <c r="M2784" s="41" t="e">
        <f>VLOOKUP(I2784,错误mRNA总表!D:I,6,FALSE)</f>
        <v>#N/A</v>
      </c>
    </row>
    <row r="2785" spans="1:13" x14ac:dyDescent="0.2">
      <c r="A2785" s="12" t="s">
        <v>4132</v>
      </c>
      <c r="B2785" s="12" t="s">
        <v>4273</v>
      </c>
      <c r="C2785" s="12">
        <v>165695</v>
      </c>
      <c r="D2785" s="12">
        <v>169309</v>
      </c>
      <c r="E2785" s="12" t="s">
        <v>3943</v>
      </c>
      <c r="F2785" s="12">
        <v>3</v>
      </c>
      <c r="H2785" s="12" t="s">
        <v>5810</v>
      </c>
      <c r="I2785" s="41" t="s">
        <v>6752</v>
      </c>
      <c r="M2785" s="41" t="e">
        <f>VLOOKUP(I2785,错误mRNA总表!D:I,6,FALSE)</f>
        <v>#N/A</v>
      </c>
    </row>
    <row r="2786" spans="1:13" x14ac:dyDescent="0.2">
      <c r="A2786" s="12" t="s">
        <v>5336</v>
      </c>
      <c r="B2786" s="12" t="s">
        <v>3948</v>
      </c>
      <c r="C2786" s="12">
        <v>50455032</v>
      </c>
      <c r="D2786" s="12">
        <v>50455035</v>
      </c>
      <c r="E2786" s="12" t="s">
        <v>3943</v>
      </c>
      <c r="F2786" s="12">
        <v>4</v>
      </c>
      <c r="G2786" s="41" t="s">
        <v>40</v>
      </c>
      <c r="H2786" s="12" t="s">
        <v>723</v>
      </c>
      <c r="I2786" s="41" t="s">
        <v>3338</v>
      </c>
      <c r="J2786" s="41" t="s">
        <v>3338</v>
      </c>
      <c r="K2786" s="41" t="str">
        <f>VLOOKUP(J2786,错误mRNA总表!D:J,7,FALSE)</f>
        <v>纠后正确</v>
      </c>
      <c r="L2786" s="41" t="s">
        <v>3763</v>
      </c>
      <c r="M2786" s="41">
        <f>VLOOKUP(I2786,错误mRNA总表!D:I,6,FALSE)</f>
        <v>0</v>
      </c>
    </row>
    <row r="2787" spans="1:13" x14ac:dyDescent="0.2">
      <c r="A2787" s="12" t="s">
        <v>4898</v>
      </c>
      <c r="B2787" s="12" t="s">
        <v>4098</v>
      </c>
      <c r="C2787" s="12">
        <v>248816</v>
      </c>
      <c r="D2787" s="12">
        <v>248851</v>
      </c>
      <c r="E2787" s="12" t="s">
        <v>3940</v>
      </c>
      <c r="F2787" s="12">
        <v>2</v>
      </c>
      <c r="H2787" s="12" t="s">
        <v>3656</v>
      </c>
      <c r="I2787" s="41" t="s">
        <v>7083</v>
      </c>
      <c r="M2787" s="41" t="e">
        <f>VLOOKUP(I2787,错误mRNA总表!D:I,6,FALSE)</f>
        <v>#N/A</v>
      </c>
    </row>
    <row r="2788" spans="1:13" x14ac:dyDescent="0.2">
      <c r="A2788" s="12" t="s">
        <v>5337</v>
      </c>
      <c r="B2788" s="12" t="s">
        <v>3946</v>
      </c>
      <c r="C2788" s="12">
        <v>73584139</v>
      </c>
      <c r="D2788" s="12">
        <v>73612643</v>
      </c>
      <c r="E2788" s="12" t="s">
        <v>3940</v>
      </c>
      <c r="F2788" s="12">
        <v>1</v>
      </c>
      <c r="G2788" s="41" t="s">
        <v>47</v>
      </c>
      <c r="H2788" s="12" t="s">
        <v>6457</v>
      </c>
      <c r="I2788" s="41" t="s">
        <v>7901</v>
      </c>
      <c r="M2788" s="41" t="e">
        <f>VLOOKUP(I2788,错误mRNA总表!D:I,6,FALSE)</f>
        <v>#N/A</v>
      </c>
    </row>
    <row r="2789" spans="1:13" x14ac:dyDescent="0.2">
      <c r="A2789" s="12" t="s">
        <v>4517</v>
      </c>
      <c r="B2789" s="12" t="s">
        <v>4023</v>
      </c>
      <c r="C2789" s="12">
        <v>1188439</v>
      </c>
      <c r="D2789" s="12">
        <v>1190376</v>
      </c>
      <c r="E2789" s="12" t="s">
        <v>3943</v>
      </c>
      <c r="F2789" s="12">
        <v>1</v>
      </c>
      <c r="H2789" s="12" t="s">
        <v>5925</v>
      </c>
      <c r="I2789" s="41" t="s">
        <v>7902</v>
      </c>
      <c r="M2789" s="41" t="e">
        <f>VLOOKUP(I2789,错误mRNA总表!D:I,6,FALSE)</f>
        <v>#N/A</v>
      </c>
    </row>
    <row r="2790" spans="1:13" x14ac:dyDescent="0.2">
      <c r="A2790" s="12" t="s">
        <v>5338</v>
      </c>
      <c r="B2790" s="12" t="s">
        <v>4052</v>
      </c>
      <c r="C2790" s="12">
        <v>51026321</v>
      </c>
      <c r="D2790" s="12">
        <v>51371103</v>
      </c>
      <c r="E2790" s="12" t="s">
        <v>3943</v>
      </c>
      <c r="F2790" s="12">
        <v>1</v>
      </c>
      <c r="G2790" s="41" t="s">
        <v>93</v>
      </c>
      <c r="H2790" s="12" t="s">
        <v>6212</v>
      </c>
      <c r="I2790" s="41" t="s">
        <v>7903</v>
      </c>
      <c r="M2790" s="41" t="e">
        <f>VLOOKUP(I2790,错误mRNA总表!D:I,6,FALSE)</f>
        <v>#N/A</v>
      </c>
    </row>
    <row r="2791" spans="1:13" x14ac:dyDescent="0.2">
      <c r="A2791" s="12" t="s">
        <v>5338</v>
      </c>
      <c r="B2791" s="12" t="s">
        <v>4052</v>
      </c>
      <c r="C2791" s="12">
        <v>51026321</v>
      </c>
      <c r="D2791" s="12">
        <v>51371122</v>
      </c>
      <c r="E2791" s="12" t="s">
        <v>3943</v>
      </c>
      <c r="F2791" s="12">
        <v>1</v>
      </c>
      <c r="G2791" s="41" t="s">
        <v>93</v>
      </c>
      <c r="H2791" s="12" t="s">
        <v>6212</v>
      </c>
      <c r="I2791" s="41" t="s">
        <v>7903</v>
      </c>
      <c r="M2791" s="41" t="e">
        <f>VLOOKUP(I2791,错误mRNA总表!D:I,6,FALSE)</f>
        <v>#N/A</v>
      </c>
    </row>
    <row r="2792" spans="1:13" x14ac:dyDescent="0.2">
      <c r="A2792" s="12" t="s">
        <v>5338</v>
      </c>
      <c r="B2792" s="12" t="s">
        <v>4052</v>
      </c>
      <c r="C2792" s="12">
        <v>51026321</v>
      </c>
      <c r="D2792" s="12">
        <v>51371131</v>
      </c>
      <c r="E2792" s="12" t="s">
        <v>3940</v>
      </c>
      <c r="F2792" s="12">
        <v>1</v>
      </c>
      <c r="G2792" s="41" t="s">
        <v>93</v>
      </c>
      <c r="H2792" s="12" t="s">
        <v>6212</v>
      </c>
      <c r="I2792" s="41" t="s">
        <v>7903</v>
      </c>
      <c r="M2792" s="41" t="e">
        <f>VLOOKUP(I2792,错误mRNA总表!D:I,6,FALSE)</f>
        <v>#N/A</v>
      </c>
    </row>
    <row r="2793" spans="1:13" x14ac:dyDescent="0.2">
      <c r="A2793" s="12" t="s">
        <v>5339</v>
      </c>
      <c r="B2793" s="12" t="s">
        <v>3942</v>
      </c>
      <c r="C2793" s="12">
        <v>12798873</v>
      </c>
      <c r="D2793" s="12">
        <v>12798909</v>
      </c>
      <c r="E2793" s="12" t="s">
        <v>3940</v>
      </c>
      <c r="F2793" s="12">
        <v>93</v>
      </c>
      <c r="G2793" s="41" t="s">
        <v>186</v>
      </c>
      <c r="H2793" s="12" t="s">
        <v>6213</v>
      </c>
      <c r="I2793" s="41" t="s">
        <v>7904</v>
      </c>
      <c r="M2793" s="41" t="e">
        <f>VLOOKUP(I2793,错误mRNA总表!D:I,6,FALSE)</f>
        <v>#N/A</v>
      </c>
    </row>
    <row r="2794" spans="1:13" x14ac:dyDescent="0.2">
      <c r="A2794" s="12" t="s">
        <v>5339</v>
      </c>
      <c r="B2794" s="12" t="s">
        <v>3942</v>
      </c>
      <c r="C2794" s="12">
        <v>12798873</v>
      </c>
      <c r="D2794" s="12">
        <v>12801173</v>
      </c>
      <c r="E2794" s="12" t="s">
        <v>3940</v>
      </c>
      <c r="F2794" s="12">
        <v>40</v>
      </c>
      <c r="G2794" s="41" t="s">
        <v>186</v>
      </c>
      <c r="H2794" s="12" t="s">
        <v>6213</v>
      </c>
      <c r="I2794" s="41" t="s">
        <v>7904</v>
      </c>
      <c r="M2794" s="41" t="e">
        <f>VLOOKUP(I2794,错误mRNA总表!D:I,6,FALSE)</f>
        <v>#N/A</v>
      </c>
    </row>
    <row r="2795" spans="1:13" x14ac:dyDescent="0.2">
      <c r="A2795" s="12" t="s">
        <v>5339</v>
      </c>
      <c r="B2795" s="12" t="s">
        <v>3942</v>
      </c>
      <c r="C2795" s="12">
        <v>12798873</v>
      </c>
      <c r="D2795" s="12">
        <v>12801163</v>
      </c>
      <c r="E2795" s="12" t="s">
        <v>3943</v>
      </c>
      <c r="F2795" s="12">
        <v>2</v>
      </c>
      <c r="G2795" s="41" t="s">
        <v>186</v>
      </c>
      <c r="H2795" s="12" t="s">
        <v>6213</v>
      </c>
      <c r="I2795" s="41" t="s">
        <v>7904</v>
      </c>
      <c r="M2795" s="41" t="e">
        <f>VLOOKUP(I2795,错误mRNA总表!D:I,6,FALSE)</f>
        <v>#N/A</v>
      </c>
    </row>
    <row r="2796" spans="1:13" x14ac:dyDescent="0.2">
      <c r="A2796" s="12" t="s">
        <v>4924</v>
      </c>
      <c r="B2796" s="12" t="s">
        <v>4001</v>
      </c>
      <c r="C2796" s="12">
        <v>2263148</v>
      </c>
      <c r="D2796" s="12">
        <v>2265989</v>
      </c>
      <c r="E2796" s="12" t="s">
        <v>3940</v>
      </c>
      <c r="F2796" s="12">
        <v>90</v>
      </c>
      <c r="H2796" s="12" t="s">
        <v>6078</v>
      </c>
      <c r="I2796" s="41" t="s">
        <v>7905</v>
      </c>
      <c r="M2796" s="41" t="e">
        <f>VLOOKUP(I2796,错误mRNA总表!D:I,6,FALSE)</f>
        <v>#N/A</v>
      </c>
    </row>
    <row r="2797" spans="1:13" x14ac:dyDescent="0.2">
      <c r="A2797" s="12" t="s">
        <v>5340</v>
      </c>
      <c r="B2797" s="12" t="s">
        <v>3954</v>
      </c>
      <c r="C2797" s="12">
        <v>140637545</v>
      </c>
      <c r="D2797" s="12">
        <v>140811063</v>
      </c>
      <c r="E2797" s="12" t="s">
        <v>3943</v>
      </c>
      <c r="F2797" s="12">
        <v>12</v>
      </c>
      <c r="G2797" s="41" t="s">
        <v>569</v>
      </c>
      <c r="H2797" s="12" t="s">
        <v>625</v>
      </c>
      <c r="I2797" s="41" t="s">
        <v>2242</v>
      </c>
      <c r="J2797" s="41" t="s">
        <v>2242</v>
      </c>
      <c r="K2797" s="41" t="str">
        <f>VLOOKUP(J2797,错误mRNA总表!D:J,7,FALSE)</f>
        <v>纠后正确，少4-6个氨基酸chr4:140640477-140811555</v>
      </c>
      <c r="L2797" s="41" t="s">
        <v>8363</v>
      </c>
      <c r="M2797" s="41">
        <f>VLOOKUP(I2797,错误mRNA总表!D:I,6,FALSE)</f>
        <v>0</v>
      </c>
    </row>
    <row r="2798" spans="1:13" x14ac:dyDescent="0.2">
      <c r="A2798" s="12" t="s">
        <v>5340</v>
      </c>
      <c r="B2798" s="12" t="s">
        <v>3954</v>
      </c>
      <c r="C2798" s="12">
        <v>140637545</v>
      </c>
      <c r="D2798" s="12">
        <v>140651584</v>
      </c>
      <c r="E2798" s="12" t="s">
        <v>3943</v>
      </c>
      <c r="F2798" s="12">
        <v>3</v>
      </c>
      <c r="G2798" s="41" t="s">
        <v>569</v>
      </c>
      <c r="H2798" s="12" t="s">
        <v>625</v>
      </c>
      <c r="I2798" s="41" t="s">
        <v>2242</v>
      </c>
      <c r="J2798" s="41" t="s">
        <v>2242</v>
      </c>
      <c r="K2798" s="41" t="str">
        <f>VLOOKUP(J2798,错误mRNA总表!D:J,7,FALSE)</f>
        <v>纠后正确，少4-6个氨基酸chr4:140640477-140811555</v>
      </c>
      <c r="L2798" s="41" t="s">
        <v>8363</v>
      </c>
      <c r="M2798" s="41">
        <f>VLOOKUP(I2798,错误mRNA总表!D:I,6,FALSE)</f>
        <v>0</v>
      </c>
    </row>
    <row r="2799" spans="1:13" x14ac:dyDescent="0.2">
      <c r="A2799" s="12" t="s">
        <v>5341</v>
      </c>
      <c r="B2799" s="12" t="s">
        <v>3978</v>
      </c>
      <c r="C2799" s="12">
        <v>4939910</v>
      </c>
      <c r="D2799" s="12">
        <v>4940289</v>
      </c>
      <c r="E2799" s="12" t="s">
        <v>3943</v>
      </c>
      <c r="F2799" s="12">
        <v>1</v>
      </c>
      <c r="G2799" s="41" t="s">
        <v>86</v>
      </c>
      <c r="H2799" s="12" t="s">
        <v>6458</v>
      </c>
      <c r="I2799" s="41" t="s">
        <v>7906</v>
      </c>
      <c r="M2799" s="41" t="e">
        <f>VLOOKUP(I2799,错误mRNA总表!D:I,6,FALSE)</f>
        <v>#N/A</v>
      </c>
    </row>
    <row r="2800" spans="1:13" x14ac:dyDescent="0.2">
      <c r="A2800" s="12" t="s">
        <v>5070</v>
      </c>
      <c r="B2800" s="12" t="s">
        <v>4045</v>
      </c>
      <c r="C2800" s="12">
        <v>450915</v>
      </c>
      <c r="D2800" s="12">
        <v>484784</v>
      </c>
      <c r="E2800" s="12" t="s">
        <v>3940</v>
      </c>
      <c r="F2800" s="12">
        <v>3</v>
      </c>
      <c r="H2800" s="12" t="s">
        <v>6127</v>
      </c>
      <c r="I2800" s="41" t="s">
        <v>7907</v>
      </c>
      <c r="M2800" s="41" t="e">
        <f>VLOOKUP(I2800,错误mRNA总表!D:I,6,FALSE)</f>
        <v>#N/A</v>
      </c>
    </row>
    <row r="2801" spans="1:13" x14ac:dyDescent="0.2">
      <c r="A2801" s="12" t="s">
        <v>5342</v>
      </c>
      <c r="B2801" s="12" t="s">
        <v>4052</v>
      </c>
      <c r="C2801" s="12">
        <v>99437181</v>
      </c>
      <c r="D2801" s="12">
        <v>99446625</v>
      </c>
      <c r="E2801" s="12" t="s">
        <v>3940</v>
      </c>
      <c r="F2801" s="12">
        <v>12</v>
      </c>
      <c r="G2801" s="41" t="s">
        <v>93</v>
      </c>
      <c r="H2801" s="12" t="s">
        <v>6459</v>
      </c>
      <c r="I2801" s="41" t="s">
        <v>7908</v>
      </c>
      <c r="M2801" s="41" t="e">
        <f>VLOOKUP(I2801,错误mRNA总表!D:I,6,FALSE)</f>
        <v>#N/A</v>
      </c>
    </row>
    <row r="2802" spans="1:13" x14ac:dyDescent="0.2">
      <c r="A2802" s="12" t="s">
        <v>5343</v>
      </c>
      <c r="B2802" s="12" t="s">
        <v>4049</v>
      </c>
      <c r="C2802" s="12">
        <v>1374288</v>
      </c>
      <c r="D2802" s="12">
        <v>1375319</v>
      </c>
      <c r="E2802" s="12" t="s">
        <v>3940</v>
      </c>
      <c r="F2802" s="12">
        <v>1</v>
      </c>
      <c r="H2802" s="12" t="s">
        <v>6214</v>
      </c>
      <c r="I2802" s="41" t="s">
        <v>7909</v>
      </c>
      <c r="M2802" s="41" t="e">
        <f>VLOOKUP(I2802,错误mRNA总表!D:I,6,FALSE)</f>
        <v>#N/A</v>
      </c>
    </row>
    <row r="2803" spans="1:13" x14ac:dyDescent="0.2">
      <c r="A2803" s="12" t="s">
        <v>5344</v>
      </c>
      <c r="B2803" s="12" t="s">
        <v>3978</v>
      </c>
      <c r="C2803" s="12">
        <v>14444076</v>
      </c>
      <c r="D2803" s="12">
        <v>14444243</v>
      </c>
      <c r="E2803" s="12" t="s">
        <v>3943</v>
      </c>
      <c r="F2803" s="12">
        <v>1</v>
      </c>
      <c r="G2803" s="41" t="s">
        <v>86</v>
      </c>
      <c r="H2803" s="12" t="s">
        <v>6215</v>
      </c>
      <c r="I2803" s="41" t="s">
        <v>6713</v>
      </c>
      <c r="M2803" s="41" t="e">
        <f>VLOOKUP(I2803,错误mRNA总表!D:I,6,FALSE)</f>
        <v>#N/A</v>
      </c>
    </row>
    <row r="2804" spans="1:13" x14ac:dyDescent="0.2">
      <c r="A2804" s="12" t="s">
        <v>5344</v>
      </c>
      <c r="B2804" s="12" t="s">
        <v>3978</v>
      </c>
      <c r="C2804" s="12">
        <v>14444076</v>
      </c>
      <c r="D2804" s="12">
        <v>14444277</v>
      </c>
      <c r="E2804" s="12" t="s">
        <v>3943</v>
      </c>
      <c r="F2804" s="12">
        <v>1</v>
      </c>
      <c r="G2804" s="41" t="s">
        <v>86</v>
      </c>
      <c r="H2804" s="12" t="s">
        <v>6215</v>
      </c>
      <c r="I2804" s="41" t="s">
        <v>6713</v>
      </c>
      <c r="M2804" s="41" t="e">
        <f>VLOOKUP(I2804,错误mRNA总表!D:I,6,FALSE)</f>
        <v>#N/A</v>
      </c>
    </row>
    <row r="2805" spans="1:13" x14ac:dyDescent="0.2">
      <c r="A2805" s="12" t="s">
        <v>5344</v>
      </c>
      <c r="B2805" s="12" t="s">
        <v>3978</v>
      </c>
      <c r="C2805" s="12">
        <v>14444076</v>
      </c>
      <c r="D2805" s="12">
        <v>14444286</v>
      </c>
      <c r="E2805" s="12" t="s">
        <v>3943</v>
      </c>
      <c r="F2805" s="12">
        <v>1</v>
      </c>
      <c r="G2805" s="41" t="s">
        <v>86</v>
      </c>
      <c r="H2805" s="12" t="s">
        <v>6215</v>
      </c>
      <c r="I2805" s="41" t="s">
        <v>6713</v>
      </c>
      <c r="M2805" s="41" t="e">
        <f>VLOOKUP(I2805,错误mRNA总表!D:I,6,FALSE)</f>
        <v>#N/A</v>
      </c>
    </row>
    <row r="2806" spans="1:13" x14ac:dyDescent="0.2">
      <c r="A2806" s="12" t="s">
        <v>5344</v>
      </c>
      <c r="B2806" s="12" t="s">
        <v>3978</v>
      </c>
      <c r="C2806" s="12">
        <v>14444076</v>
      </c>
      <c r="D2806" s="12">
        <v>14444308</v>
      </c>
      <c r="E2806" s="12" t="s">
        <v>3943</v>
      </c>
      <c r="F2806" s="12">
        <v>1</v>
      </c>
      <c r="G2806" s="41" t="s">
        <v>86</v>
      </c>
      <c r="H2806" s="12" t="s">
        <v>6215</v>
      </c>
      <c r="I2806" s="41" t="s">
        <v>6713</v>
      </c>
      <c r="M2806" s="41" t="e">
        <f>VLOOKUP(I2806,错误mRNA总表!D:I,6,FALSE)</f>
        <v>#N/A</v>
      </c>
    </row>
    <row r="2807" spans="1:13" x14ac:dyDescent="0.2">
      <c r="A2807" s="12" t="s">
        <v>5344</v>
      </c>
      <c r="B2807" s="12" t="s">
        <v>3978</v>
      </c>
      <c r="C2807" s="12">
        <v>14444076</v>
      </c>
      <c r="D2807" s="12">
        <v>14444318</v>
      </c>
      <c r="E2807" s="12" t="s">
        <v>3943</v>
      </c>
      <c r="F2807" s="12">
        <v>1</v>
      </c>
      <c r="G2807" s="41" t="s">
        <v>86</v>
      </c>
      <c r="H2807" s="12" t="s">
        <v>6215</v>
      </c>
      <c r="I2807" s="41" t="s">
        <v>6713</v>
      </c>
      <c r="M2807" s="41" t="e">
        <f>VLOOKUP(I2807,错误mRNA总表!D:I,6,FALSE)</f>
        <v>#N/A</v>
      </c>
    </row>
    <row r="2808" spans="1:13" x14ac:dyDescent="0.2">
      <c r="A2808" s="12" t="s">
        <v>5344</v>
      </c>
      <c r="B2808" s="12" t="s">
        <v>3978</v>
      </c>
      <c r="C2808" s="12">
        <v>14444076</v>
      </c>
      <c r="D2808" s="12">
        <v>14444326</v>
      </c>
      <c r="E2808" s="12" t="s">
        <v>3943</v>
      </c>
      <c r="F2808" s="12">
        <v>1</v>
      </c>
      <c r="G2808" s="41" t="s">
        <v>86</v>
      </c>
      <c r="H2808" s="12" t="s">
        <v>6215</v>
      </c>
      <c r="I2808" s="41" t="s">
        <v>6713</v>
      </c>
      <c r="M2808" s="41" t="e">
        <f>VLOOKUP(I2808,错误mRNA总表!D:I,6,FALSE)</f>
        <v>#N/A</v>
      </c>
    </row>
    <row r="2809" spans="1:13" x14ac:dyDescent="0.2">
      <c r="A2809" s="12" t="s">
        <v>5344</v>
      </c>
      <c r="B2809" s="12" t="s">
        <v>3978</v>
      </c>
      <c r="C2809" s="12">
        <v>14444076</v>
      </c>
      <c r="D2809" s="12">
        <v>14444329</v>
      </c>
      <c r="E2809" s="12" t="s">
        <v>3943</v>
      </c>
      <c r="F2809" s="12">
        <v>1</v>
      </c>
      <c r="G2809" s="41" t="s">
        <v>86</v>
      </c>
      <c r="H2809" s="12" t="s">
        <v>6215</v>
      </c>
      <c r="I2809" s="41" t="s">
        <v>6713</v>
      </c>
      <c r="M2809" s="41" t="e">
        <f>VLOOKUP(I2809,错误mRNA总表!D:I,6,FALSE)</f>
        <v>#N/A</v>
      </c>
    </row>
    <row r="2810" spans="1:13" x14ac:dyDescent="0.2">
      <c r="A2810" s="12" t="s">
        <v>4430</v>
      </c>
      <c r="B2810" s="12" t="s">
        <v>4942</v>
      </c>
      <c r="C2810" s="12">
        <v>166178</v>
      </c>
      <c r="D2810" s="12">
        <v>169309</v>
      </c>
      <c r="E2810" s="12" t="s">
        <v>3943</v>
      </c>
      <c r="F2810" s="12">
        <v>3</v>
      </c>
      <c r="H2810" s="12" t="s">
        <v>3651</v>
      </c>
      <c r="I2810" s="41" t="s">
        <v>7013</v>
      </c>
      <c r="M2810" s="41" t="e">
        <f>VLOOKUP(I2810,错误mRNA总表!D:I,6,FALSE)</f>
        <v>#N/A</v>
      </c>
    </row>
    <row r="2811" spans="1:13" x14ac:dyDescent="0.2">
      <c r="A2811" s="12" t="s">
        <v>4375</v>
      </c>
      <c r="B2811" s="12" t="s">
        <v>3996</v>
      </c>
      <c r="C2811" s="12">
        <v>4360917</v>
      </c>
      <c r="D2811" s="12">
        <v>4361066</v>
      </c>
      <c r="E2811" s="12" t="s">
        <v>3943</v>
      </c>
      <c r="F2811" s="12">
        <v>3</v>
      </c>
      <c r="H2811" s="12" t="s">
        <v>3584</v>
      </c>
      <c r="I2811" s="41" t="s">
        <v>7910</v>
      </c>
      <c r="M2811" s="41" t="e">
        <f>VLOOKUP(I2811,错误mRNA总表!D:I,6,FALSE)</f>
        <v>#N/A</v>
      </c>
    </row>
    <row r="2812" spans="1:13" x14ac:dyDescent="0.2">
      <c r="A2812" s="12" t="s">
        <v>3963</v>
      </c>
      <c r="B2812" s="12" t="s">
        <v>3984</v>
      </c>
      <c r="C2812" s="12">
        <v>4518583</v>
      </c>
      <c r="D2812" s="12">
        <v>4518636</v>
      </c>
      <c r="E2812" s="12" t="s">
        <v>3943</v>
      </c>
      <c r="F2812" s="12">
        <v>1</v>
      </c>
      <c r="H2812" s="12" t="s">
        <v>3591</v>
      </c>
      <c r="I2812" s="41" t="s">
        <v>7911</v>
      </c>
      <c r="M2812" s="41" t="e">
        <f>VLOOKUP(I2812,错误mRNA总表!D:I,6,FALSE)</f>
        <v>#N/A</v>
      </c>
    </row>
    <row r="2813" spans="1:13" x14ac:dyDescent="0.2">
      <c r="A2813" s="12" t="s">
        <v>5345</v>
      </c>
      <c r="B2813" s="12" t="s">
        <v>4042</v>
      </c>
      <c r="C2813" s="12">
        <v>78396948</v>
      </c>
      <c r="D2813" s="12">
        <v>78397349</v>
      </c>
      <c r="E2813" s="12" t="s">
        <v>3943</v>
      </c>
      <c r="F2813" s="12">
        <v>1</v>
      </c>
      <c r="G2813" s="41" t="s">
        <v>113</v>
      </c>
      <c r="H2813" s="12" t="s">
        <v>6542</v>
      </c>
      <c r="I2813" s="41" t="s">
        <v>7912</v>
      </c>
      <c r="M2813" s="41" t="e">
        <f>VLOOKUP(I2813,错误mRNA总表!D:I,6,FALSE)</f>
        <v>#N/A</v>
      </c>
    </row>
    <row r="2814" spans="1:13" x14ac:dyDescent="0.2">
      <c r="A2814" s="12" t="s">
        <v>4450</v>
      </c>
      <c r="B2814" s="12" t="s">
        <v>3996</v>
      </c>
      <c r="C2814" s="12">
        <v>2972328</v>
      </c>
      <c r="D2814" s="12">
        <v>2987441</v>
      </c>
      <c r="E2814" s="12" t="s">
        <v>3940</v>
      </c>
      <c r="F2814" s="12">
        <v>2</v>
      </c>
      <c r="H2814" s="12" t="s">
        <v>5904</v>
      </c>
      <c r="I2814" s="41" t="s">
        <v>7913</v>
      </c>
      <c r="M2814" s="41" t="e">
        <f>VLOOKUP(I2814,错误mRNA总表!D:I,6,FALSE)</f>
        <v>#N/A</v>
      </c>
    </row>
    <row r="2815" spans="1:13" x14ac:dyDescent="0.2">
      <c r="A2815" s="12" t="s">
        <v>5346</v>
      </c>
      <c r="B2815" s="12" t="s">
        <v>3957</v>
      </c>
      <c r="C2815" s="12">
        <v>46638826</v>
      </c>
      <c r="D2815" s="12">
        <v>46694313</v>
      </c>
      <c r="E2815" s="12" t="s">
        <v>3943</v>
      </c>
      <c r="F2815" s="12">
        <v>2</v>
      </c>
      <c r="G2815" s="41" t="s">
        <v>36</v>
      </c>
      <c r="H2815" s="12" t="s">
        <v>6216</v>
      </c>
      <c r="I2815" s="41" t="s">
        <v>7914</v>
      </c>
      <c r="M2815" s="41" t="e">
        <f>VLOOKUP(I2815,错误mRNA总表!D:I,6,FALSE)</f>
        <v>#N/A</v>
      </c>
    </row>
    <row r="2816" spans="1:13" x14ac:dyDescent="0.2">
      <c r="A2816" s="12" t="s">
        <v>5347</v>
      </c>
      <c r="B2816" s="12" t="s">
        <v>4023</v>
      </c>
      <c r="C2816" s="12">
        <v>762280</v>
      </c>
      <c r="D2816" s="12">
        <v>895550</v>
      </c>
      <c r="E2816" s="12" t="s">
        <v>3940</v>
      </c>
      <c r="F2816" s="12">
        <v>1</v>
      </c>
      <c r="H2816" s="12" t="s">
        <v>3635</v>
      </c>
      <c r="I2816" s="41" t="s">
        <v>7915</v>
      </c>
      <c r="M2816" s="41" t="e">
        <f>VLOOKUP(I2816,错误mRNA总表!D:I,6,FALSE)</f>
        <v>#N/A</v>
      </c>
    </row>
    <row r="2817" spans="1:13" x14ac:dyDescent="0.2">
      <c r="A2817" s="12" t="s">
        <v>5347</v>
      </c>
      <c r="B2817" s="12" t="s">
        <v>4023</v>
      </c>
      <c r="C2817" s="12">
        <v>762280</v>
      </c>
      <c r="D2817" s="12">
        <v>763397</v>
      </c>
      <c r="E2817" s="12" t="s">
        <v>3940</v>
      </c>
      <c r="F2817" s="12">
        <v>3</v>
      </c>
      <c r="H2817" s="12" t="s">
        <v>3635</v>
      </c>
      <c r="I2817" s="41" t="s">
        <v>7915</v>
      </c>
      <c r="M2817" s="41" t="e">
        <f>VLOOKUP(I2817,错误mRNA总表!D:I,6,FALSE)</f>
        <v>#N/A</v>
      </c>
    </row>
    <row r="2818" spans="1:13" x14ac:dyDescent="0.2">
      <c r="A2818" s="12" t="s">
        <v>5347</v>
      </c>
      <c r="B2818" s="12" t="s">
        <v>4023</v>
      </c>
      <c r="C2818" s="12">
        <v>762280</v>
      </c>
      <c r="D2818" s="12">
        <v>763561</v>
      </c>
      <c r="E2818" s="12" t="s">
        <v>3940</v>
      </c>
      <c r="F2818" s="12">
        <v>3</v>
      </c>
      <c r="H2818" s="12" t="s">
        <v>3635</v>
      </c>
      <c r="I2818" s="41" t="s">
        <v>7915</v>
      </c>
      <c r="M2818" s="41" t="e">
        <f>VLOOKUP(I2818,错误mRNA总表!D:I,6,FALSE)</f>
        <v>#N/A</v>
      </c>
    </row>
    <row r="2819" spans="1:13" x14ac:dyDescent="0.2">
      <c r="A2819" s="12" t="s">
        <v>5347</v>
      </c>
      <c r="B2819" s="12" t="s">
        <v>4023</v>
      </c>
      <c r="C2819" s="12">
        <v>762280</v>
      </c>
      <c r="D2819" s="12">
        <v>763693</v>
      </c>
      <c r="E2819" s="12" t="s">
        <v>3940</v>
      </c>
      <c r="F2819" s="12">
        <v>1</v>
      </c>
      <c r="H2819" s="12" t="s">
        <v>3635</v>
      </c>
      <c r="I2819" s="41" t="s">
        <v>7915</v>
      </c>
      <c r="M2819" s="41" t="e">
        <f>VLOOKUP(I2819,错误mRNA总表!D:I,6,FALSE)</f>
        <v>#N/A</v>
      </c>
    </row>
    <row r="2820" spans="1:13" x14ac:dyDescent="0.2">
      <c r="A2820" s="12" t="s">
        <v>5347</v>
      </c>
      <c r="B2820" s="12" t="s">
        <v>4023</v>
      </c>
      <c r="C2820" s="12">
        <v>762280</v>
      </c>
      <c r="D2820" s="12">
        <v>764045</v>
      </c>
      <c r="E2820" s="12" t="s">
        <v>3943</v>
      </c>
      <c r="F2820" s="12">
        <v>1</v>
      </c>
      <c r="H2820" s="12" t="s">
        <v>3635</v>
      </c>
      <c r="I2820" s="41" t="s">
        <v>7915</v>
      </c>
      <c r="M2820" s="41" t="e">
        <f>VLOOKUP(I2820,错误mRNA总表!D:I,6,FALSE)</f>
        <v>#N/A</v>
      </c>
    </row>
    <row r="2821" spans="1:13" x14ac:dyDescent="0.2">
      <c r="A2821" s="12" t="s">
        <v>5347</v>
      </c>
      <c r="B2821" s="12" t="s">
        <v>4023</v>
      </c>
      <c r="C2821" s="12">
        <v>762280</v>
      </c>
      <c r="D2821" s="12">
        <v>764501</v>
      </c>
      <c r="E2821" s="12" t="s">
        <v>3943</v>
      </c>
      <c r="F2821" s="12">
        <v>1</v>
      </c>
      <c r="H2821" s="12" t="s">
        <v>3635</v>
      </c>
      <c r="I2821" s="41" t="s">
        <v>7915</v>
      </c>
      <c r="M2821" s="41" t="e">
        <f>VLOOKUP(I2821,错误mRNA总表!D:I,6,FALSE)</f>
        <v>#N/A</v>
      </c>
    </row>
    <row r="2822" spans="1:13" x14ac:dyDescent="0.2">
      <c r="A2822" s="12" t="s">
        <v>5347</v>
      </c>
      <c r="B2822" s="12" t="s">
        <v>4023</v>
      </c>
      <c r="C2822" s="12">
        <v>762280</v>
      </c>
      <c r="D2822" s="12">
        <v>765228</v>
      </c>
      <c r="E2822" s="12" t="s">
        <v>3940</v>
      </c>
      <c r="F2822" s="12">
        <v>2</v>
      </c>
      <c r="H2822" s="12" t="s">
        <v>3635</v>
      </c>
      <c r="I2822" s="41" t="s">
        <v>7915</v>
      </c>
      <c r="M2822" s="41" t="e">
        <f>VLOOKUP(I2822,错误mRNA总表!D:I,6,FALSE)</f>
        <v>#N/A</v>
      </c>
    </row>
    <row r="2823" spans="1:13" x14ac:dyDescent="0.2">
      <c r="A2823" s="12" t="s">
        <v>5347</v>
      </c>
      <c r="B2823" s="12" t="s">
        <v>4023</v>
      </c>
      <c r="C2823" s="12">
        <v>762280</v>
      </c>
      <c r="D2823" s="12">
        <v>765290</v>
      </c>
      <c r="E2823" s="12" t="s">
        <v>3943</v>
      </c>
      <c r="F2823" s="12">
        <v>1</v>
      </c>
      <c r="H2823" s="12" t="s">
        <v>3635</v>
      </c>
      <c r="I2823" s="41" t="s">
        <v>7915</v>
      </c>
      <c r="M2823" s="41" t="e">
        <f>VLOOKUP(I2823,错误mRNA总表!D:I,6,FALSE)</f>
        <v>#N/A</v>
      </c>
    </row>
    <row r="2824" spans="1:13" x14ac:dyDescent="0.2">
      <c r="A2824" s="12" t="s">
        <v>5347</v>
      </c>
      <c r="B2824" s="12" t="s">
        <v>4023</v>
      </c>
      <c r="C2824" s="12">
        <v>762280</v>
      </c>
      <c r="D2824" s="12">
        <v>765526</v>
      </c>
      <c r="E2824" s="12" t="s">
        <v>3943</v>
      </c>
      <c r="F2824" s="12">
        <v>2</v>
      </c>
      <c r="H2824" s="12" t="s">
        <v>3635</v>
      </c>
      <c r="I2824" s="41" t="s">
        <v>7915</v>
      </c>
      <c r="M2824" s="41" t="e">
        <f>VLOOKUP(I2824,错误mRNA总表!D:I,6,FALSE)</f>
        <v>#N/A</v>
      </c>
    </row>
    <row r="2825" spans="1:13" x14ac:dyDescent="0.2">
      <c r="A2825" s="12" t="s">
        <v>5347</v>
      </c>
      <c r="B2825" s="12" t="s">
        <v>4023</v>
      </c>
      <c r="C2825" s="12">
        <v>762280</v>
      </c>
      <c r="D2825" s="12">
        <v>766121</v>
      </c>
      <c r="E2825" s="12" t="s">
        <v>3943</v>
      </c>
      <c r="F2825" s="12">
        <v>1</v>
      </c>
      <c r="H2825" s="12" t="s">
        <v>3635</v>
      </c>
      <c r="I2825" s="41" t="s">
        <v>7915</v>
      </c>
      <c r="M2825" s="41" t="e">
        <f>VLOOKUP(I2825,错误mRNA总表!D:I,6,FALSE)</f>
        <v>#N/A</v>
      </c>
    </row>
    <row r="2826" spans="1:13" x14ac:dyDescent="0.2">
      <c r="A2826" s="12" t="s">
        <v>5347</v>
      </c>
      <c r="B2826" s="12" t="s">
        <v>4023</v>
      </c>
      <c r="C2826" s="12">
        <v>762280</v>
      </c>
      <c r="D2826" s="12">
        <v>766198</v>
      </c>
      <c r="E2826" s="12" t="s">
        <v>3943</v>
      </c>
      <c r="F2826" s="12">
        <v>1</v>
      </c>
      <c r="H2826" s="12" t="s">
        <v>3635</v>
      </c>
      <c r="I2826" s="41" t="s">
        <v>7915</v>
      </c>
      <c r="M2826" s="41" t="e">
        <f>VLOOKUP(I2826,错误mRNA总表!D:I,6,FALSE)</f>
        <v>#N/A</v>
      </c>
    </row>
    <row r="2827" spans="1:13" x14ac:dyDescent="0.2">
      <c r="A2827" s="12" t="s">
        <v>5348</v>
      </c>
      <c r="B2827" s="12" t="s">
        <v>3962</v>
      </c>
      <c r="C2827" s="12">
        <v>62329995</v>
      </c>
      <c r="D2827" s="12">
        <v>62331335</v>
      </c>
      <c r="E2827" s="12" t="s">
        <v>3940</v>
      </c>
      <c r="F2827" s="12">
        <v>1</v>
      </c>
      <c r="G2827" s="41" t="s">
        <v>53</v>
      </c>
      <c r="H2827" s="12" t="s">
        <v>6612</v>
      </c>
      <c r="I2827" s="41" t="s">
        <v>7916</v>
      </c>
      <c r="M2827" s="41" t="e">
        <f>VLOOKUP(I2827,错误mRNA总表!D:I,6,FALSE)</f>
        <v>#N/A</v>
      </c>
    </row>
    <row r="2828" spans="1:13" x14ac:dyDescent="0.2">
      <c r="A2828" s="12" t="s">
        <v>5349</v>
      </c>
      <c r="B2828" s="12" t="s">
        <v>3957</v>
      </c>
      <c r="C2828" s="12">
        <v>27676440</v>
      </c>
      <c r="D2828" s="12">
        <v>27676545</v>
      </c>
      <c r="E2828" s="12" t="s">
        <v>3943</v>
      </c>
      <c r="F2828" s="12">
        <v>1</v>
      </c>
      <c r="G2828" s="41" t="s">
        <v>36</v>
      </c>
      <c r="H2828" s="12" t="s">
        <v>6588</v>
      </c>
      <c r="I2828" s="41" t="s">
        <v>7917</v>
      </c>
      <c r="M2828" s="41" t="e">
        <f>VLOOKUP(I2828,错误mRNA总表!D:I,6,FALSE)</f>
        <v>#N/A</v>
      </c>
    </row>
    <row r="2829" spans="1:13" x14ac:dyDescent="0.2">
      <c r="A2829" s="12" t="s">
        <v>5349</v>
      </c>
      <c r="B2829" s="12" t="s">
        <v>3957</v>
      </c>
      <c r="C2829" s="12">
        <v>27676440</v>
      </c>
      <c r="D2829" s="12">
        <v>27679010</v>
      </c>
      <c r="E2829" s="12" t="s">
        <v>3943</v>
      </c>
      <c r="F2829" s="12">
        <v>1</v>
      </c>
      <c r="G2829" s="41" t="s">
        <v>36</v>
      </c>
      <c r="H2829" s="12" t="s">
        <v>6588</v>
      </c>
      <c r="I2829" s="41" t="s">
        <v>7917</v>
      </c>
      <c r="M2829" s="41" t="e">
        <f>VLOOKUP(I2829,错误mRNA总表!D:I,6,FALSE)</f>
        <v>#N/A</v>
      </c>
    </row>
    <row r="2830" spans="1:13" x14ac:dyDescent="0.2">
      <c r="A2830" s="12" t="s">
        <v>5350</v>
      </c>
      <c r="B2830" s="12" t="s">
        <v>4052</v>
      </c>
      <c r="C2830" s="12">
        <v>61005889</v>
      </c>
      <c r="D2830" s="12">
        <v>61122268</v>
      </c>
      <c r="E2830" s="12" t="s">
        <v>3940</v>
      </c>
      <c r="F2830" s="12">
        <v>2</v>
      </c>
      <c r="G2830" s="41" t="s">
        <v>93</v>
      </c>
      <c r="H2830" s="12" t="s">
        <v>6460</v>
      </c>
      <c r="I2830" s="41" t="s">
        <v>7918</v>
      </c>
      <c r="M2830" s="41" t="e">
        <f>VLOOKUP(I2830,错误mRNA总表!D:I,6,FALSE)</f>
        <v>#N/A</v>
      </c>
    </row>
    <row r="2831" spans="1:13" x14ac:dyDescent="0.2">
      <c r="A2831" s="12" t="s">
        <v>5350</v>
      </c>
      <c r="B2831" s="12" t="s">
        <v>4052</v>
      </c>
      <c r="C2831" s="12">
        <v>61005889</v>
      </c>
      <c r="D2831" s="12">
        <v>61006802</v>
      </c>
      <c r="E2831" s="12" t="s">
        <v>3940</v>
      </c>
      <c r="F2831" s="12">
        <v>1</v>
      </c>
      <c r="G2831" s="41" t="s">
        <v>93</v>
      </c>
      <c r="H2831" s="12" t="s">
        <v>6460</v>
      </c>
      <c r="I2831" s="41" t="s">
        <v>7918</v>
      </c>
      <c r="M2831" s="41" t="e">
        <f>VLOOKUP(I2831,错误mRNA总表!D:I,6,FALSE)</f>
        <v>#N/A</v>
      </c>
    </row>
    <row r="2832" spans="1:13" x14ac:dyDescent="0.2">
      <c r="A2832" s="12" t="s">
        <v>5351</v>
      </c>
      <c r="B2832" s="12" t="s">
        <v>3978</v>
      </c>
      <c r="C2832" s="12">
        <v>53317443</v>
      </c>
      <c r="D2832" s="12">
        <v>53324819</v>
      </c>
      <c r="E2832" s="12" t="s">
        <v>3943</v>
      </c>
      <c r="F2832" s="12">
        <v>6</v>
      </c>
      <c r="G2832" s="41" t="s">
        <v>86</v>
      </c>
      <c r="H2832" s="12" t="s">
        <v>531</v>
      </c>
      <c r="I2832" s="41" t="s">
        <v>2236</v>
      </c>
      <c r="J2832" s="41" t="s">
        <v>2236</v>
      </c>
      <c r="K2832" s="41" t="str">
        <f>VLOOKUP(J2832,错误mRNA总表!D:J,7,FALSE)</f>
        <v>纠后正确，少2个氨基酸chr3:53321601-53324874</v>
      </c>
      <c r="L2832" s="41" t="s">
        <v>8361</v>
      </c>
      <c r="M2832" s="41">
        <f>VLOOKUP(I2832,错误mRNA总表!D:I,6,FALSE)</f>
        <v>0</v>
      </c>
    </row>
    <row r="2833" spans="1:13" x14ac:dyDescent="0.2">
      <c r="A2833" s="12" t="s">
        <v>5351</v>
      </c>
      <c r="B2833" s="12" t="s">
        <v>3978</v>
      </c>
      <c r="C2833" s="12">
        <v>53317443</v>
      </c>
      <c r="D2833" s="12">
        <v>53318546</v>
      </c>
      <c r="E2833" s="12" t="s">
        <v>3940</v>
      </c>
      <c r="F2833" s="12">
        <v>2</v>
      </c>
      <c r="G2833" s="41" t="s">
        <v>86</v>
      </c>
      <c r="H2833" s="12" t="s">
        <v>531</v>
      </c>
      <c r="I2833" s="41" t="s">
        <v>2236</v>
      </c>
      <c r="J2833" s="41" t="s">
        <v>2236</v>
      </c>
      <c r="K2833" s="41" t="str">
        <f>VLOOKUP(J2833,错误mRNA总表!D:J,7,FALSE)</f>
        <v>纠后正确，少2个氨基酸chr3:53321601-53324874</v>
      </c>
      <c r="L2833" s="41" t="s">
        <v>8361</v>
      </c>
      <c r="M2833" s="41">
        <f>VLOOKUP(I2833,错误mRNA总表!D:I,6,FALSE)</f>
        <v>0</v>
      </c>
    </row>
    <row r="2834" spans="1:13" x14ac:dyDescent="0.2">
      <c r="A2834" s="12" t="s">
        <v>5352</v>
      </c>
      <c r="B2834" s="12" t="s">
        <v>3986</v>
      </c>
      <c r="C2834" s="12">
        <v>36249044</v>
      </c>
      <c r="D2834" s="12">
        <v>36258939</v>
      </c>
      <c r="E2834" s="12" t="s">
        <v>3943</v>
      </c>
      <c r="F2834" s="12">
        <v>1</v>
      </c>
      <c r="G2834" s="41" t="s">
        <v>50</v>
      </c>
      <c r="H2834" s="12" t="s">
        <v>49</v>
      </c>
      <c r="I2834" s="41" t="s">
        <v>2080</v>
      </c>
      <c r="J2834" s="41" t="s">
        <v>2080</v>
      </c>
      <c r="K2834" s="41" t="str">
        <f>VLOOKUP(J2834,错误mRNA总表!D:J,7,FALSE)</f>
        <v>纠后正确</v>
      </c>
      <c r="L2834" s="41" t="s">
        <v>3763</v>
      </c>
      <c r="M2834" s="41">
        <f>VLOOKUP(I2834,错误mRNA总表!D:I,6,FALSE)</f>
        <v>0</v>
      </c>
    </row>
    <row r="2835" spans="1:13" x14ac:dyDescent="0.2">
      <c r="A2835" s="12" t="s">
        <v>5353</v>
      </c>
      <c r="B2835" s="12" t="s">
        <v>3986</v>
      </c>
      <c r="C2835" s="12">
        <v>54972976</v>
      </c>
      <c r="D2835" s="12">
        <v>54973992</v>
      </c>
      <c r="E2835" s="12" t="s">
        <v>3943</v>
      </c>
      <c r="F2835" s="12">
        <v>3</v>
      </c>
      <c r="G2835" s="41" t="s">
        <v>50</v>
      </c>
      <c r="H2835" s="12" t="s">
        <v>6217</v>
      </c>
      <c r="I2835" s="41" t="s">
        <v>7919</v>
      </c>
      <c r="M2835" s="41" t="e">
        <f>VLOOKUP(I2835,错误mRNA总表!D:I,6,FALSE)</f>
        <v>#N/A</v>
      </c>
    </row>
    <row r="2836" spans="1:13" x14ac:dyDescent="0.2">
      <c r="A2836" s="12" t="s">
        <v>5354</v>
      </c>
      <c r="B2836" s="12" t="s">
        <v>3973</v>
      </c>
      <c r="C2836" s="12">
        <v>150547027</v>
      </c>
      <c r="D2836" s="12">
        <v>150548887</v>
      </c>
      <c r="E2836" s="12" t="s">
        <v>3940</v>
      </c>
      <c r="F2836" s="12">
        <v>4</v>
      </c>
      <c r="G2836" s="41" t="s">
        <v>139</v>
      </c>
      <c r="H2836" s="12" t="s">
        <v>6461</v>
      </c>
      <c r="I2836" s="41" t="s">
        <v>7920</v>
      </c>
      <c r="M2836" s="41" t="e">
        <f>VLOOKUP(I2836,错误mRNA总表!D:I,6,FALSE)</f>
        <v>#N/A</v>
      </c>
    </row>
    <row r="2837" spans="1:13" x14ac:dyDescent="0.2">
      <c r="A2837" s="12" t="s">
        <v>4849</v>
      </c>
      <c r="B2837" s="12" t="s">
        <v>3952</v>
      </c>
      <c r="C2837" s="12">
        <v>437417</v>
      </c>
      <c r="D2837" s="12">
        <v>450081</v>
      </c>
      <c r="E2837" s="12" t="s">
        <v>3940</v>
      </c>
      <c r="F2837" s="12">
        <v>76</v>
      </c>
      <c r="H2837" s="12" t="s">
        <v>6048</v>
      </c>
      <c r="I2837" s="41" t="s">
        <v>7921</v>
      </c>
      <c r="M2837" s="41" t="e">
        <f>VLOOKUP(I2837,错误mRNA总表!D:I,6,FALSE)</f>
        <v>#N/A</v>
      </c>
    </row>
    <row r="2838" spans="1:13" x14ac:dyDescent="0.2">
      <c r="A2838" s="12" t="s">
        <v>4849</v>
      </c>
      <c r="B2838" s="12" t="s">
        <v>3952</v>
      </c>
      <c r="C2838" s="12">
        <v>437417</v>
      </c>
      <c r="D2838" s="12">
        <v>450014</v>
      </c>
      <c r="E2838" s="12" t="s">
        <v>3940</v>
      </c>
      <c r="F2838" s="12">
        <v>3</v>
      </c>
      <c r="H2838" s="12" t="s">
        <v>6048</v>
      </c>
      <c r="I2838" s="41" t="s">
        <v>7921</v>
      </c>
      <c r="M2838" s="41" t="e">
        <f>VLOOKUP(I2838,错误mRNA总表!D:I,6,FALSE)</f>
        <v>#N/A</v>
      </c>
    </row>
    <row r="2839" spans="1:13" x14ac:dyDescent="0.2">
      <c r="A2839" s="12" t="s">
        <v>5355</v>
      </c>
      <c r="B2839" s="12" t="s">
        <v>4042</v>
      </c>
      <c r="C2839" s="12">
        <v>65204101</v>
      </c>
      <c r="D2839" s="12">
        <v>65249804</v>
      </c>
      <c r="E2839" s="12" t="s">
        <v>3943</v>
      </c>
      <c r="F2839" s="12">
        <v>3</v>
      </c>
      <c r="G2839" s="41" t="s">
        <v>113</v>
      </c>
      <c r="H2839" s="12" t="s">
        <v>6613</v>
      </c>
      <c r="I2839" s="41" t="s">
        <v>7922</v>
      </c>
      <c r="M2839" s="41" t="e">
        <f>VLOOKUP(I2839,错误mRNA总表!D:I,6,FALSE)</f>
        <v>#N/A</v>
      </c>
    </row>
    <row r="2840" spans="1:13" x14ac:dyDescent="0.2">
      <c r="A2840" s="12" t="s">
        <v>5356</v>
      </c>
      <c r="B2840" s="12" t="s">
        <v>3986</v>
      </c>
      <c r="C2840" s="12">
        <v>37988061</v>
      </c>
      <c r="D2840" s="12">
        <v>37988181</v>
      </c>
      <c r="E2840" s="12" t="s">
        <v>3940</v>
      </c>
      <c r="F2840" s="12">
        <v>1</v>
      </c>
      <c r="G2840" s="41" t="s">
        <v>50</v>
      </c>
      <c r="H2840" s="12" t="s">
        <v>6218</v>
      </c>
      <c r="I2840" s="41" t="s">
        <v>7923</v>
      </c>
      <c r="M2840" s="41" t="e">
        <f>VLOOKUP(I2840,错误mRNA总表!D:I,6,FALSE)</f>
        <v>#N/A</v>
      </c>
    </row>
    <row r="2841" spans="1:13" x14ac:dyDescent="0.2">
      <c r="A2841" s="12" t="s">
        <v>4406</v>
      </c>
      <c r="B2841" s="12" t="s">
        <v>3994</v>
      </c>
      <c r="C2841" s="12">
        <v>3565774</v>
      </c>
      <c r="D2841" s="12">
        <v>3565811</v>
      </c>
      <c r="E2841" s="12" t="s">
        <v>3940</v>
      </c>
      <c r="F2841" s="12">
        <v>6</v>
      </c>
      <c r="H2841" s="12" t="s">
        <v>5891</v>
      </c>
      <c r="I2841" s="41" t="s">
        <v>7924</v>
      </c>
      <c r="M2841" s="41" t="e">
        <f>VLOOKUP(I2841,错误mRNA总表!D:I,6,FALSE)</f>
        <v>#N/A</v>
      </c>
    </row>
    <row r="2842" spans="1:13" x14ac:dyDescent="0.2">
      <c r="A2842" s="12" t="s">
        <v>5357</v>
      </c>
      <c r="B2842" s="12" t="s">
        <v>3946</v>
      </c>
      <c r="C2842" s="12">
        <v>40731526</v>
      </c>
      <c r="D2842" s="12">
        <v>40733066</v>
      </c>
      <c r="E2842" s="12" t="s">
        <v>3940</v>
      </c>
      <c r="F2842" s="12">
        <v>6</v>
      </c>
      <c r="G2842" s="41" t="s">
        <v>47</v>
      </c>
      <c r="H2842" s="12" t="s">
        <v>6219</v>
      </c>
      <c r="I2842" s="41" t="s">
        <v>7925</v>
      </c>
      <c r="M2842" s="41" t="e">
        <f>VLOOKUP(I2842,错误mRNA总表!D:I,6,FALSE)</f>
        <v>#N/A</v>
      </c>
    </row>
    <row r="2843" spans="1:13" x14ac:dyDescent="0.2">
      <c r="A2843" s="12" t="s">
        <v>4971</v>
      </c>
      <c r="B2843" s="12" t="s">
        <v>4001</v>
      </c>
      <c r="C2843" s="12">
        <v>1063331</v>
      </c>
      <c r="D2843" s="12">
        <v>1064001</v>
      </c>
      <c r="E2843" s="12" t="s">
        <v>3940</v>
      </c>
      <c r="F2843" s="12">
        <v>21</v>
      </c>
      <c r="H2843" s="12" t="s">
        <v>3519</v>
      </c>
      <c r="I2843" s="41" t="s">
        <v>7926</v>
      </c>
      <c r="M2843" s="41" t="e">
        <f>VLOOKUP(I2843,错误mRNA总表!D:I,6,FALSE)</f>
        <v>#N/A</v>
      </c>
    </row>
    <row r="2844" spans="1:13" x14ac:dyDescent="0.2">
      <c r="A2844" s="12" t="s">
        <v>4947</v>
      </c>
      <c r="B2844" s="12" t="s">
        <v>3989</v>
      </c>
      <c r="C2844" s="12">
        <v>2461239</v>
      </c>
      <c r="D2844" s="12">
        <v>2466547</v>
      </c>
      <c r="E2844" s="12" t="s">
        <v>3943</v>
      </c>
      <c r="F2844" s="12">
        <v>1</v>
      </c>
      <c r="H2844" s="12" t="s">
        <v>3553</v>
      </c>
      <c r="I2844" s="41" t="s">
        <v>7927</v>
      </c>
      <c r="M2844" s="41" t="e">
        <f>VLOOKUP(I2844,错误mRNA总表!D:I,6,FALSE)</f>
        <v>#N/A</v>
      </c>
    </row>
    <row r="2845" spans="1:13" x14ac:dyDescent="0.2">
      <c r="A2845" s="12" t="s">
        <v>5358</v>
      </c>
      <c r="B2845" s="12" t="s">
        <v>4042</v>
      </c>
      <c r="C2845" s="12">
        <v>101844133</v>
      </c>
      <c r="D2845" s="12">
        <v>102029685</v>
      </c>
      <c r="E2845" s="12" t="s">
        <v>3940</v>
      </c>
      <c r="F2845" s="12">
        <v>2</v>
      </c>
      <c r="G2845" s="41" t="s">
        <v>113</v>
      </c>
      <c r="H2845" s="12" t="s">
        <v>114</v>
      </c>
      <c r="I2845" s="41" t="s">
        <v>2114</v>
      </c>
      <c r="J2845" s="41" t="s">
        <v>2114</v>
      </c>
      <c r="K2845" s="41" t="str">
        <f>VLOOKUP(J2845,错误mRNA总表!D:J,7,FALSE)</f>
        <v>纠后正确</v>
      </c>
      <c r="L2845" s="41" t="s">
        <v>3763</v>
      </c>
      <c r="M2845" s="41">
        <f>VLOOKUP(I2845,错误mRNA总表!D:I,6,FALSE)</f>
        <v>0</v>
      </c>
    </row>
    <row r="2846" spans="1:13" x14ac:dyDescent="0.2">
      <c r="A2846" s="12" t="s">
        <v>5359</v>
      </c>
      <c r="B2846" s="12" t="s">
        <v>3986</v>
      </c>
      <c r="C2846" s="12">
        <v>51670585</v>
      </c>
      <c r="D2846" s="12">
        <v>51676685</v>
      </c>
      <c r="E2846" s="12" t="s">
        <v>3940</v>
      </c>
      <c r="F2846" s="12">
        <v>1</v>
      </c>
      <c r="G2846" s="41" t="s">
        <v>50</v>
      </c>
      <c r="H2846" s="12" t="s">
        <v>6462</v>
      </c>
      <c r="I2846" s="41" t="s">
        <v>7928</v>
      </c>
      <c r="M2846" s="41" t="e">
        <f>VLOOKUP(I2846,错误mRNA总表!D:I,6,FALSE)</f>
        <v>#N/A</v>
      </c>
    </row>
    <row r="2847" spans="1:13" x14ac:dyDescent="0.2">
      <c r="A2847" s="12" t="s">
        <v>4430</v>
      </c>
      <c r="B2847" s="12" t="s">
        <v>4098</v>
      </c>
      <c r="C2847" s="12">
        <v>166178</v>
      </c>
      <c r="D2847" s="12">
        <v>169309</v>
      </c>
      <c r="E2847" s="12" t="s">
        <v>3943</v>
      </c>
      <c r="F2847" s="12">
        <v>3</v>
      </c>
      <c r="H2847" s="12" t="s">
        <v>3651</v>
      </c>
      <c r="I2847" s="41" t="s">
        <v>7013</v>
      </c>
      <c r="M2847" s="41" t="e">
        <f>VLOOKUP(I2847,错误mRNA总表!D:I,6,FALSE)</f>
        <v>#N/A</v>
      </c>
    </row>
    <row r="2848" spans="1:13" x14ac:dyDescent="0.2">
      <c r="A2848" s="12" t="s">
        <v>4416</v>
      </c>
      <c r="B2848" s="12" t="s">
        <v>3996</v>
      </c>
      <c r="C2848" s="12">
        <v>1275793</v>
      </c>
      <c r="D2848" s="12">
        <v>1276463</v>
      </c>
      <c r="E2848" s="12" t="s">
        <v>3940</v>
      </c>
      <c r="F2848" s="12">
        <v>21</v>
      </c>
      <c r="H2848" s="12" t="s">
        <v>5893</v>
      </c>
      <c r="I2848" s="41" t="s">
        <v>7929</v>
      </c>
      <c r="M2848" s="41" t="e">
        <f>VLOOKUP(I2848,错误mRNA总表!D:I,6,FALSE)</f>
        <v>#N/A</v>
      </c>
    </row>
    <row r="2849" spans="1:13" x14ac:dyDescent="0.2">
      <c r="A2849" s="12" t="s">
        <v>5360</v>
      </c>
      <c r="B2849" s="12" t="s">
        <v>3939</v>
      </c>
      <c r="C2849" s="12">
        <v>148622519</v>
      </c>
      <c r="D2849" s="12">
        <v>148629238</v>
      </c>
      <c r="E2849" s="12" t="s">
        <v>3940</v>
      </c>
      <c r="F2849" s="12">
        <v>1</v>
      </c>
      <c r="G2849" s="41" t="s">
        <v>73</v>
      </c>
      <c r="H2849" s="12" t="s">
        <v>1399</v>
      </c>
      <c r="I2849" s="41" t="s">
        <v>3201</v>
      </c>
      <c r="J2849" s="41" t="s">
        <v>3201</v>
      </c>
      <c r="K2849" s="41" t="str">
        <f>VLOOKUP(J2849,错误mRNA总表!D:J,7,FALSE)</f>
        <v/>
      </c>
      <c r="L2849" s="41" t="s">
        <v>3762</v>
      </c>
      <c r="M2849" s="41">
        <f>VLOOKUP(I2849,错误mRNA总表!D:I,6,FALSE)</f>
        <v>0</v>
      </c>
    </row>
    <row r="2850" spans="1:13" x14ac:dyDescent="0.2">
      <c r="A2850" s="12" t="s">
        <v>5361</v>
      </c>
      <c r="B2850" s="12" t="s">
        <v>3948</v>
      </c>
      <c r="C2850" s="12">
        <v>149412148</v>
      </c>
      <c r="D2850" s="12">
        <v>149426307</v>
      </c>
      <c r="E2850" s="12" t="s">
        <v>3940</v>
      </c>
      <c r="F2850" s="12">
        <v>1</v>
      </c>
      <c r="G2850" s="41" t="s">
        <v>40</v>
      </c>
      <c r="H2850" s="12" t="s">
        <v>231</v>
      </c>
      <c r="I2850" s="41" t="s">
        <v>2171</v>
      </c>
      <c r="J2850" s="41" t="s">
        <v>2171</v>
      </c>
      <c r="K2850" s="41" t="str">
        <f>VLOOKUP(J2850,错误mRNA总表!D:J,7,FALSE)</f>
        <v>纠后正确</v>
      </c>
      <c r="L2850" s="41" t="s">
        <v>3763</v>
      </c>
      <c r="M2850" s="41">
        <f>VLOOKUP(I2850,错误mRNA总表!D:I,6,FALSE)</f>
        <v>0</v>
      </c>
    </row>
    <row r="2851" spans="1:13" x14ac:dyDescent="0.2">
      <c r="A2851" s="12" t="s">
        <v>5362</v>
      </c>
      <c r="B2851" s="12" t="s">
        <v>3942</v>
      </c>
      <c r="C2851" s="12">
        <v>135468534</v>
      </c>
      <c r="D2851" s="12">
        <v>135513085</v>
      </c>
      <c r="E2851" s="12" t="s">
        <v>3940</v>
      </c>
      <c r="F2851" s="12">
        <v>1</v>
      </c>
      <c r="G2851" s="41" t="s">
        <v>186</v>
      </c>
      <c r="H2851" s="12" t="s">
        <v>187</v>
      </c>
      <c r="I2851" s="41" t="s">
        <v>7930</v>
      </c>
      <c r="J2851" s="41" t="s">
        <v>2196</v>
      </c>
      <c r="K2851" s="41" t="str">
        <f>VLOOKUP(J2851,错误mRNA总表!D:J,7,FALSE)</f>
        <v>纠后正确</v>
      </c>
      <c r="M2851" s="41" t="e">
        <f>VLOOKUP(I2851,错误mRNA总表!D:I,6,FALSE)</f>
        <v>#N/A</v>
      </c>
    </row>
    <row r="2852" spans="1:13" x14ac:dyDescent="0.2">
      <c r="A2852" s="12" t="s">
        <v>5363</v>
      </c>
      <c r="B2852" s="12" t="s">
        <v>3946</v>
      </c>
      <c r="C2852" s="12">
        <v>72912176</v>
      </c>
      <c r="D2852" s="12">
        <v>72913088</v>
      </c>
      <c r="E2852" s="12" t="s">
        <v>3943</v>
      </c>
      <c r="F2852" s="12">
        <v>2</v>
      </c>
      <c r="G2852" s="41" t="s">
        <v>47</v>
      </c>
      <c r="H2852" s="12" t="s">
        <v>6589</v>
      </c>
      <c r="I2852" s="41" t="s">
        <v>7931</v>
      </c>
      <c r="M2852" s="41" t="e">
        <f>VLOOKUP(I2852,错误mRNA总表!D:I,6,FALSE)</f>
        <v>#N/A</v>
      </c>
    </row>
    <row r="2853" spans="1:13" x14ac:dyDescent="0.2">
      <c r="A2853" s="12" t="s">
        <v>5363</v>
      </c>
      <c r="B2853" s="12" t="s">
        <v>3946</v>
      </c>
      <c r="C2853" s="12">
        <v>72912176</v>
      </c>
      <c r="D2853" s="12">
        <v>72913796</v>
      </c>
      <c r="E2853" s="12" t="s">
        <v>3943</v>
      </c>
      <c r="F2853" s="12">
        <v>1</v>
      </c>
      <c r="G2853" s="41" t="s">
        <v>47</v>
      </c>
      <c r="H2853" s="12" t="s">
        <v>6589</v>
      </c>
      <c r="I2853" s="41" t="s">
        <v>7931</v>
      </c>
      <c r="M2853" s="41" t="e">
        <f>VLOOKUP(I2853,错误mRNA总表!D:I,6,FALSE)</f>
        <v>#N/A</v>
      </c>
    </row>
    <row r="2854" spans="1:13" x14ac:dyDescent="0.2">
      <c r="A2854" s="12" t="s">
        <v>5364</v>
      </c>
      <c r="B2854" s="12" t="s">
        <v>3939</v>
      </c>
      <c r="C2854" s="12">
        <v>46771868</v>
      </c>
      <c r="D2854" s="12">
        <v>46918916</v>
      </c>
      <c r="E2854" s="12" t="s">
        <v>3940</v>
      </c>
      <c r="F2854" s="12">
        <v>1</v>
      </c>
      <c r="G2854" s="41" t="s">
        <v>73</v>
      </c>
      <c r="H2854" s="12" t="s">
        <v>3669</v>
      </c>
      <c r="I2854" s="41" t="s">
        <v>7932</v>
      </c>
      <c r="M2854" s="41" t="e">
        <f>VLOOKUP(I2854,错误mRNA总表!D:I,6,FALSE)</f>
        <v>#N/A</v>
      </c>
    </row>
    <row r="2855" spans="1:13" x14ac:dyDescent="0.2">
      <c r="A2855" s="12" t="s">
        <v>5364</v>
      </c>
      <c r="B2855" s="12" t="s">
        <v>3939</v>
      </c>
      <c r="C2855" s="12">
        <v>46771868</v>
      </c>
      <c r="D2855" s="12">
        <v>46918950</v>
      </c>
      <c r="E2855" s="12" t="s">
        <v>3940</v>
      </c>
      <c r="F2855" s="12">
        <v>1</v>
      </c>
      <c r="G2855" s="41" t="s">
        <v>73</v>
      </c>
      <c r="H2855" s="12" t="s">
        <v>3669</v>
      </c>
      <c r="I2855" s="41" t="s">
        <v>7932</v>
      </c>
      <c r="M2855" s="41" t="e">
        <f>VLOOKUP(I2855,错误mRNA总表!D:I,6,FALSE)</f>
        <v>#N/A</v>
      </c>
    </row>
    <row r="2856" spans="1:13" x14ac:dyDescent="0.2">
      <c r="A2856" s="12" t="s">
        <v>5364</v>
      </c>
      <c r="B2856" s="12" t="s">
        <v>3939</v>
      </c>
      <c r="C2856" s="12">
        <v>46771868</v>
      </c>
      <c r="D2856" s="12">
        <v>46918957</v>
      </c>
      <c r="E2856" s="12" t="s">
        <v>3940</v>
      </c>
      <c r="F2856" s="12">
        <v>1</v>
      </c>
      <c r="G2856" s="41" t="s">
        <v>73</v>
      </c>
      <c r="H2856" s="12" t="s">
        <v>3669</v>
      </c>
      <c r="I2856" s="41" t="s">
        <v>7932</v>
      </c>
      <c r="M2856" s="41" t="e">
        <f>VLOOKUP(I2856,错误mRNA总表!D:I,6,FALSE)</f>
        <v>#N/A</v>
      </c>
    </row>
    <row r="2857" spans="1:13" x14ac:dyDescent="0.2">
      <c r="A2857" s="12" t="s">
        <v>5364</v>
      </c>
      <c r="B2857" s="12" t="s">
        <v>3939</v>
      </c>
      <c r="C2857" s="12">
        <v>46771868</v>
      </c>
      <c r="D2857" s="12">
        <v>46918976</v>
      </c>
      <c r="E2857" s="12" t="s">
        <v>3940</v>
      </c>
      <c r="F2857" s="12">
        <v>1</v>
      </c>
      <c r="G2857" s="41" t="s">
        <v>73</v>
      </c>
      <c r="H2857" s="12" t="s">
        <v>3669</v>
      </c>
      <c r="I2857" s="41" t="s">
        <v>7932</v>
      </c>
      <c r="M2857" s="41" t="e">
        <f>VLOOKUP(I2857,错误mRNA总表!D:I,6,FALSE)</f>
        <v>#N/A</v>
      </c>
    </row>
    <row r="2858" spans="1:13" x14ac:dyDescent="0.2">
      <c r="A2858" s="12" t="s">
        <v>5364</v>
      </c>
      <c r="B2858" s="12" t="s">
        <v>3939</v>
      </c>
      <c r="C2858" s="12">
        <v>46771868</v>
      </c>
      <c r="D2858" s="12">
        <v>46919656</v>
      </c>
      <c r="E2858" s="12" t="s">
        <v>3943</v>
      </c>
      <c r="F2858" s="12">
        <v>1</v>
      </c>
      <c r="G2858" s="41" t="s">
        <v>73</v>
      </c>
      <c r="H2858" s="12" t="s">
        <v>3669</v>
      </c>
      <c r="I2858" s="41" t="s">
        <v>7932</v>
      </c>
      <c r="M2858" s="41" t="e">
        <f>VLOOKUP(I2858,错误mRNA总表!D:I,6,FALSE)</f>
        <v>#N/A</v>
      </c>
    </row>
    <row r="2859" spans="1:13" x14ac:dyDescent="0.2">
      <c r="A2859" s="12" t="s">
        <v>5365</v>
      </c>
      <c r="B2859" s="12" t="s">
        <v>4004</v>
      </c>
      <c r="C2859" s="12">
        <v>64081186</v>
      </c>
      <c r="D2859" s="12">
        <v>64098729</v>
      </c>
      <c r="E2859" s="12" t="s">
        <v>3940</v>
      </c>
      <c r="F2859" s="12">
        <v>1</v>
      </c>
      <c r="G2859" s="41" t="s">
        <v>103</v>
      </c>
      <c r="H2859" s="12" t="s">
        <v>3445</v>
      </c>
      <c r="I2859" s="41" t="s">
        <v>7933</v>
      </c>
      <c r="M2859" s="41" t="e">
        <f>VLOOKUP(I2859,错误mRNA总表!D:I,6,FALSE)</f>
        <v>#N/A</v>
      </c>
    </row>
    <row r="2860" spans="1:13" x14ac:dyDescent="0.2">
      <c r="A2860" s="12" t="s">
        <v>4194</v>
      </c>
      <c r="B2860" s="12" t="s">
        <v>3969</v>
      </c>
      <c r="C2860" s="12">
        <v>928111</v>
      </c>
      <c r="D2860" s="12">
        <v>943463</v>
      </c>
      <c r="E2860" s="12" t="s">
        <v>3943</v>
      </c>
      <c r="F2860" s="12">
        <v>4</v>
      </c>
      <c r="H2860" s="12" t="s">
        <v>3526</v>
      </c>
      <c r="I2860" s="41" t="s">
        <v>7934</v>
      </c>
      <c r="M2860" s="41" t="e">
        <f>VLOOKUP(I2860,错误mRNA总表!D:I,6,FALSE)</f>
        <v>#N/A</v>
      </c>
    </row>
    <row r="2861" spans="1:13" x14ac:dyDescent="0.2">
      <c r="A2861" s="12" t="s">
        <v>5353</v>
      </c>
      <c r="B2861" s="12" t="s">
        <v>3952</v>
      </c>
      <c r="C2861" s="12">
        <v>366484</v>
      </c>
      <c r="D2861" s="12">
        <v>367500</v>
      </c>
      <c r="E2861" s="12" t="s">
        <v>3943</v>
      </c>
      <c r="F2861" s="12">
        <v>3</v>
      </c>
      <c r="H2861" s="12" t="s">
        <v>6217</v>
      </c>
      <c r="I2861" s="41" t="s">
        <v>7935</v>
      </c>
      <c r="M2861" s="41" t="e">
        <f>VLOOKUP(I2861,错误mRNA总表!D:I,6,FALSE)</f>
        <v>#N/A</v>
      </c>
    </row>
    <row r="2862" spans="1:13" x14ac:dyDescent="0.2">
      <c r="A2862" s="12" t="s">
        <v>5366</v>
      </c>
      <c r="B2862" s="12" t="s">
        <v>3978</v>
      </c>
      <c r="C2862" s="12">
        <v>53317443</v>
      </c>
      <c r="D2862" s="12">
        <v>53324819</v>
      </c>
      <c r="E2862" s="12" t="s">
        <v>3943</v>
      </c>
      <c r="F2862" s="12">
        <v>6</v>
      </c>
      <c r="G2862" s="41" t="s">
        <v>86</v>
      </c>
      <c r="H2862" s="12" t="s">
        <v>6220</v>
      </c>
      <c r="I2862" s="41" t="s">
        <v>7936</v>
      </c>
      <c r="M2862" s="41" t="e">
        <f>VLOOKUP(I2862,错误mRNA总表!D:I,6,FALSE)</f>
        <v>#N/A</v>
      </c>
    </row>
    <row r="2863" spans="1:13" x14ac:dyDescent="0.2">
      <c r="A2863" s="12" t="s">
        <v>5366</v>
      </c>
      <c r="B2863" s="12" t="s">
        <v>3978</v>
      </c>
      <c r="C2863" s="12">
        <v>53317443</v>
      </c>
      <c r="D2863" s="12">
        <v>53318546</v>
      </c>
      <c r="E2863" s="12" t="s">
        <v>3940</v>
      </c>
      <c r="F2863" s="12">
        <v>2</v>
      </c>
      <c r="G2863" s="41" t="s">
        <v>86</v>
      </c>
      <c r="H2863" s="12" t="s">
        <v>6220</v>
      </c>
      <c r="I2863" s="41" t="s">
        <v>7936</v>
      </c>
      <c r="M2863" s="41" t="e">
        <f>VLOOKUP(I2863,错误mRNA总表!D:I,6,FALSE)</f>
        <v>#N/A</v>
      </c>
    </row>
    <row r="2864" spans="1:13" x14ac:dyDescent="0.2">
      <c r="A2864" s="12" t="s">
        <v>4132</v>
      </c>
      <c r="B2864" s="12" t="s">
        <v>4045</v>
      </c>
      <c r="C2864" s="12">
        <v>165695</v>
      </c>
      <c r="D2864" s="12">
        <v>169309</v>
      </c>
      <c r="E2864" s="12" t="s">
        <v>3943</v>
      </c>
      <c r="F2864" s="12">
        <v>3</v>
      </c>
      <c r="H2864" s="12" t="s">
        <v>5810</v>
      </c>
      <c r="I2864" s="41" t="s">
        <v>6752</v>
      </c>
      <c r="M2864" s="41" t="e">
        <f>VLOOKUP(I2864,错误mRNA总表!D:I,6,FALSE)</f>
        <v>#N/A</v>
      </c>
    </row>
    <row r="2865" spans="1:13" x14ac:dyDescent="0.2">
      <c r="A2865" s="12" t="s">
        <v>5367</v>
      </c>
      <c r="B2865" s="12" t="s">
        <v>3973</v>
      </c>
      <c r="C2865" s="12">
        <v>3371147</v>
      </c>
      <c r="D2865" s="12">
        <v>3397418</v>
      </c>
      <c r="E2865" s="12" t="s">
        <v>3940</v>
      </c>
      <c r="F2865" s="12">
        <v>2</v>
      </c>
      <c r="G2865" s="41" t="s">
        <v>139</v>
      </c>
      <c r="H2865" s="12" t="s">
        <v>6543</v>
      </c>
      <c r="I2865" s="41" t="s">
        <v>7937</v>
      </c>
      <c r="M2865" s="41" t="e">
        <f>VLOOKUP(I2865,错误mRNA总表!D:I,6,FALSE)</f>
        <v>#N/A</v>
      </c>
    </row>
    <row r="2866" spans="1:13" x14ac:dyDescent="0.2">
      <c r="A2866" s="12" t="s">
        <v>5368</v>
      </c>
      <c r="B2866" s="12" t="s">
        <v>3957</v>
      </c>
      <c r="C2866" s="12">
        <v>67777790</v>
      </c>
      <c r="D2866" s="12">
        <v>67786065</v>
      </c>
      <c r="E2866" s="12" t="s">
        <v>3940</v>
      </c>
      <c r="F2866" s="12">
        <v>1</v>
      </c>
      <c r="G2866" s="41" t="s">
        <v>36</v>
      </c>
      <c r="H2866" s="12" t="s">
        <v>959</v>
      </c>
      <c r="I2866" s="41" t="s">
        <v>2268</v>
      </c>
      <c r="J2866" s="41" t="s">
        <v>2268</v>
      </c>
      <c r="K2866" s="41" t="str">
        <f>VLOOKUP(J2866,错误mRNA总表!D:J,7,FALSE)</f>
        <v>纠后正确</v>
      </c>
      <c r="L2866" s="41" t="s">
        <v>3763</v>
      </c>
      <c r="M2866" s="41">
        <f>VLOOKUP(I2866,错误mRNA总表!D:I,6,FALSE)</f>
        <v>0</v>
      </c>
    </row>
    <row r="2867" spans="1:13" x14ac:dyDescent="0.2">
      <c r="A2867" s="12" t="s">
        <v>5368</v>
      </c>
      <c r="B2867" s="12" t="s">
        <v>3957</v>
      </c>
      <c r="C2867" s="12">
        <v>67777790</v>
      </c>
      <c r="D2867" s="12">
        <v>67789294</v>
      </c>
      <c r="E2867" s="12" t="s">
        <v>3940</v>
      </c>
      <c r="F2867" s="12">
        <v>1</v>
      </c>
      <c r="G2867" s="41" t="s">
        <v>36</v>
      </c>
      <c r="H2867" s="12" t="s">
        <v>959</v>
      </c>
      <c r="I2867" s="41" t="s">
        <v>2268</v>
      </c>
      <c r="J2867" s="41" t="s">
        <v>2268</v>
      </c>
      <c r="K2867" s="41" t="str">
        <f>VLOOKUP(J2867,错误mRNA总表!D:J,7,FALSE)</f>
        <v>纠后正确</v>
      </c>
      <c r="L2867" s="41" t="s">
        <v>3763</v>
      </c>
      <c r="M2867" s="41">
        <f>VLOOKUP(I2867,错误mRNA总表!D:I,6,FALSE)</f>
        <v>0</v>
      </c>
    </row>
    <row r="2868" spans="1:13" x14ac:dyDescent="0.2">
      <c r="A2868" s="12" t="s">
        <v>5368</v>
      </c>
      <c r="B2868" s="12" t="s">
        <v>3957</v>
      </c>
      <c r="C2868" s="12">
        <v>67777790</v>
      </c>
      <c r="D2868" s="12">
        <v>67795380</v>
      </c>
      <c r="E2868" s="12" t="s">
        <v>3940</v>
      </c>
      <c r="F2868" s="12">
        <v>1</v>
      </c>
      <c r="G2868" s="41" t="s">
        <v>36</v>
      </c>
      <c r="H2868" s="12" t="s">
        <v>959</v>
      </c>
      <c r="I2868" s="41" t="s">
        <v>2268</v>
      </c>
      <c r="J2868" s="41" t="s">
        <v>2268</v>
      </c>
      <c r="K2868" s="41" t="str">
        <f>VLOOKUP(J2868,错误mRNA总表!D:J,7,FALSE)</f>
        <v>纠后正确</v>
      </c>
      <c r="L2868" s="41" t="s">
        <v>3763</v>
      </c>
      <c r="M2868" s="41">
        <f>VLOOKUP(I2868,错误mRNA总表!D:I,6,FALSE)</f>
        <v>0</v>
      </c>
    </row>
    <row r="2869" spans="1:13" x14ac:dyDescent="0.2">
      <c r="A2869" s="12" t="s">
        <v>3951</v>
      </c>
      <c r="B2869" s="12" t="s">
        <v>4273</v>
      </c>
      <c r="C2869" s="12">
        <v>134946</v>
      </c>
      <c r="D2869" s="12">
        <v>135009</v>
      </c>
      <c r="E2869" s="12" t="s">
        <v>3940</v>
      </c>
      <c r="F2869" s="12">
        <v>1</v>
      </c>
      <c r="H2869" s="12" t="s">
        <v>3649</v>
      </c>
      <c r="I2869" s="41" t="s">
        <v>6633</v>
      </c>
      <c r="M2869" s="41" t="e">
        <f>VLOOKUP(I2869,错误mRNA总表!D:I,6,FALSE)</f>
        <v>#N/A</v>
      </c>
    </row>
    <row r="2870" spans="1:13" x14ac:dyDescent="0.2">
      <c r="A2870" s="12" t="s">
        <v>5369</v>
      </c>
      <c r="B2870" s="12" t="s">
        <v>4004</v>
      </c>
      <c r="C2870" s="12">
        <v>86126288</v>
      </c>
      <c r="D2870" s="12">
        <v>86126827</v>
      </c>
      <c r="E2870" s="12" t="s">
        <v>3940</v>
      </c>
      <c r="F2870" s="12">
        <v>6</v>
      </c>
      <c r="G2870" s="41" t="s">
        <v>103</v>
      </c>
      <c r="H2870" s="12" t="s">
        <v>787</v>
      </c>
      <c r="I2870" s="41" t="s">
        <v>2218</v>
      </c>
      <c r="J2870" s="41" t="s">
        <v>2218</v>
      </c>
      <c r="K2870" s="41" t="str">
        <f>VLOOKUP(J2870,错误mRNA总表!D:J,7,FALSE)</f>
        <v>纠后正确，加2个氨基酸chr8:86126795-86126826</v>
      </c>
      <c r="L2870" s="41" t="s">
        <v>8335</v>
      </c>
      <c r="M2870" s="41">
        <f>VLOOKUP(I2870,错误mRNA总表!D:I,6,FALSE)</f>
        <v>0</v>
      </c>
    </row>
    <row r="2871" spans="1:13" x14ac:dyDescent="0.2">
      <c r="A2871" s="12" t="s">
        <v>4019</v>
      </c>
      <c r="B2871" s="12" t="s">
        <v>3989</v>
      </c>
      <c r="C2871" s="12">
        <v>2467051</v>
      </c>
      <c r="D2871" s="12">
        <v>2469389</v>
      </c>
      <c r="E2871" s="12" t="s">
        <v>3940</v>
      </c>
      <c r="F2871" s="12">
        <v>1</v>
      </c>
      <c r="H2871" s="12" t="s">
        <v>670</v>
      </c>
      <c r="I2871" s="41" t="s">
        <v>7862</v>
      </c>
      <c r="J2871" s="41" t="s">
        <v>2607</v>
      </c>
      <c r="K2871" s="41" t="str">
        <f>VLOOKUP(J2871,错误mRNA总表!D:J,7,FALSE)</f>
        <v/>
      </c>
      <c r="M2871" s="41" t="e">
        <f>VLOOKUP(I2871,错误mRNA总表!D:I,6,FALSE)</f>
        <v>#N/A</v>
      </c>
    </row>
    <row r="2872" spans="1:13" x14ac:dyDescent="0.2">
      <c r="A2872" s="12" t="s">
        <v>4019</v>
      </c>
      <c r="B2872" s="12" t="s">
        <v>3989</v>
      </c>
      <c r="C2872" s="12">
        <v>2467051</v>
      </c>
      <c r="D2872" s="12">
        <v>2469670</v>
      </c>
      <c r="E2872" s="12" t="s">
        <v>3943</v>
      </c>
      <c r="F2872" s="12">
        <v>3</v>
      </c>
      <c r="H2872" s="12" t="s">
        <v>670</v>
      </c>
      <c r="I2872" s="41" t="s">
        <v>7862</v>
      </c>
      <c r="J2872" s="41" t="s">
        <v>2607</v>
      </c>
      <c r="K2872" s="41" t="str">
        <f>VLOOKUP(J2872,错误mRNA总表!D:J,7,FALSE)</f>
        <v/>
      </c>
      <c r="M2872" s="41" t="e">
        <f>VLOOKUP(I2872,错误mRNA总表!D:I,6,FALSE)</f>
        <v>#N/A</v>
      </c>
    </row>
    <row r="2873" spans="1:13" x14ac:dyDescent="0.2">
      <c r="A2873" s="12" t="s">
        <v>5370</v>
      </c>
      <c r="B2873" s="12" t="s">
        <v>3939</v>
      </c>
      <c r="C2873" s="12">
        <v>148622175</v>
      </c>
      <c r="D2873" s="12">
        <v>148629238</v>
      </c>
      <c r="E2873" s="12" t="s">
        <v>3940</v>
      </c>
      <c r="F2873" s="12">
        <v>1</v>
      </c>
      <c r="G2873" s="41" t="s">
        <v>73</v>
      </c>
      <c r="H2873" s="12" t="s">
        <v>6221</v>
      </c>
      <c r="I2873" s="41" t="s">
        <v>7938</v>
      </c>
      <c r="M2873" s="41" t="e">
        <f>VLOOKUP(I2873,错误mRNA总表!D:I,6,FALSE)</f>
        <v>#N/A</v>
      </c>
    </row>
    <row r="2874" spans="1:13" x14ac:dyDescent="0.2">
      <c r="A2874" s="12" t="s">
        <v>5371</v>
      </c>
      <c r="B2874" s="12" t="s">
        <v>4042</v>
      </c>
      <c r="C2874" s="12">
        <v>67458493</v>
      </c>
      <c r="D2874" s="12">
        <v>67485936</v>
      </c>
      <c r="E2874" s="12" t="s">
        <v>3943</v>
      </c>
      <c r="F2874" s="12">
        <v>3</v>
      </c>
      <c r="G2874" s="41" t="s">
        <v>113</v>
      </c>
      <c r="H2874" s="12" t="s">
        <v>6222</v>
      </c>
      <c r="I2874" s="41" t="s">
        <v>7939</v>
      </c>
      <c r="M2874" s="41" t="e">
        <f>VLOOKUP(I2874,错误mRNA总表!D:I,6,FALSE)</f>
        <v>#N/A</v>
      </c>
    </row>
    <row r="2875" spans="1:13" x14ac:dyDescent="0.2">
      <c r="A2875" s="12" t="s">
        <v>5372</v>
      </c>
      <c r="B2875" s="12" t="s">
        <v>3957</v>
      </c>
      <c r="C2875" s="12">
        <v>46638826</v>
      </c>
      <c r="D2875" s="12">
        <v>46694313</v>
      </c>
      <c r="E2875" s="12" t="s">
        <v>3943</v>
      </c>
      <c r="F2875" s="12">
        <v>2</v>
      </c>
      <c r="G2875" s="41" t="s">
        <v>36</v>
      </c>
      <c r="H2875" s="12" t="s">
        <v>6223</v>
      </c>
      <c r="I2875" s="41" t="s">
        <v>7940</v>
      </c>
      <c r="M2875" s="41" t="e">
        <f>VLOOKUP(I2875,错误mRNA总表!D:I,6,FALSE)</f>
        <v>#N/A</v>
      </c>
    </row>
    <row r="2876" spans="1:13" x14ac:dyDescent="0.2">
      <c r="A2876" s="12" t="s">
        <v>5373</v>
      </c>
      <c r="B2876" s="12" t="s">
        <v>4035</v>
      </c>
      <c r="C2876" s="12">
        <v>114426046</v>
      </c>
      <c r="D2876" s="12">
        <v>114438499</v>
      </c>
      <c r="E2876" s="12" t="s">
        <v>3943</v>
      </c>
      <c r="F2876" s="12">
        <v>1</v>
      </c>
      <c r="G2876" s="41" t="s">
        <v>106</v>
      </c>
      <c r="H2876" s="12" t="s">
        <v>258</v>
      </c>
      <c r="I2876" s="41" t="s">
        <v>2274</v>
      </c>
      <c r="J2876" s="41" t="s">
        <v>2274</v>
      </c>
      <c r="K2876" s="41" t="str">
        <f>VLOOKUP(J2876,错误mRNA总表!D:J,7,FALSE)</f>
        <v>无变化</v>
      </c>
      <c r="L2876" s="41" t="s">
        <v>3762</v>
      </c>
      <c r="M2876" s="41">
        <f>VLOOKUP(I2876,错误mRNA总表!D:I,6,FALSE)</f>
        <v>0</v>
      </c>
    </row>
    <row r="2877" spans="1:13" x14ac:dyDescent="0.2">
      <c r="A2877" s="12" t="s">
        <v>5374</v>
      </c>
      <c r="B2877" s="12" t="s">
        <v>3939</v>
      </c>
      <c r="C2877" s="12">
        <v>122318096</v>
      </c>
      <c r="D2877" s="12">
        <v>122318386</v>
      </c>
      <c r="E2877" s="12" t="s">
        <v>3940</v>
      </c>
      <c r="F2877" s="12">
        <v>1</v>
      </c>
      <c r="G2877" s="41" t="s">
        <v>73</v>
      </c>
      <c r="H2877" s="12" t="s">
        <v>83</v>
      </c>
      <c r="I2877" s="41" t="s">
        <v>2098</v>
      </c>
      <c r="J2877" s="41" t="s">
        <v>2098</v>
      </c>
      <c r="K2877" s="41" t="str">
        <f>VLOOKUP(J2877,错误mRNA总表!D:J,7,FALSE)</f>
        <v>纠后正确</v>
      </c>
      <c r="L2877" s="41" t="s">
        <v>3763</v>
      </c>
      <c r="M2877" s="41">
        <f>VLOOKUP(I2877,错误mRNA总表!D:I,6,FALSE)</f>
        <v>0</v>
      </c>
    </row>
    <row r="2878" spans="1:13" x14ac:dyDescent="0.2">
      <c r="A2878" s="12" t="s">
        <v>5374</v>
      </c>
      <c r="B2878" s="12" t="s">
        <v>3939</v>
      </c>
      <c r="C2878" s="12">
        <v>122318096</v>
      </c>
      <c r="D2878" s="12">
        <v>122336603</v>
      </c>
      <c r="E2878" s="12" t="s">
        <v>3940</v>
      </c>
      <c r="F2878" s="12">
        <v>1</v>
      </c>
      <c r="G2878" s="41" t="s">
        <v>73</v>
      </c>
      <c r="H2878" s="12" t="s">
        <v>83</v>
      </c>
      <c r="I2878" s="41" t="s">
        <v>2098</v>
      </c>
      <c r="J2878" s="41" t="s">
        <v>2098</v>
      </c>
      <c r="K2878" s="41" t="str">
        <f>VLOOKUP(J2878,错误mRNA总表!D:J,7,FALSE)</f>
        <v>纠后正确</v>
      </c>
      <c r="L2878" s="41" t="s">
        <v>3763</v>
      </c>
      <c r="M2878" s="41">
        <f>VLOOKUP(I2878,错误mRNA总表!D:I,6,FALSE)</f>
        <v>0</v>
      </c>
    </row>
    <row r="2879" spans="1:13" x14ac:dyDescent="0.2">
      <c r="A2879" s="12" t="s">
        <v>4837</v>
      </c>
      <c r="B2879" s="12" t="s">
        <v>3969</v>
      </c>
      <c r="C2879" s="12">
        <v>4074733</v>
      </c>
      <c r="D2879" s="12">
        <v>4077049</v>
      </c>
      <c r="E2879" s="12" t="s">
        <v>3940</v>
      </c>
      <c r="F2879" s="12">
        <v>177</v>
      </c>
      <c r="H2879" s="12" t="s">
        <v>672</v>
      </c>
      <c r="I2879" s="41" t="s">
        <v>7941</v>
      </c>
      <c r="J2879" s="41" t="s">
        <v>3234</v>
      </c>
      <c r="K2879" s="41" t="str">
        <f>VLOOKUP(J2879,错误mRNA总表!D:J,7,FALSE)</f>
        <v/>
      </c>
      <c r="M2879" s="41" t="e">
        <f>VLOOKUP(I2879,错误mRNA总表!D:I,6,FALSE)</f>
        <v>#N/A</v>
      </c>
    </row>
    <row r="2880" spans="1:13" x14ac:dyDescent="0.2">
      <c r="A2880" s="12" t="s">
        <v>4837</v>
      </c>
      <c r="B2880" s="12" t="s">
        <v>3969</v>
      </c>
      <c r="C2880" s="12">
        <v>4074733</v>
      </c>
      <c r="D2880" s="12">
        <v>4077822</v>
      </c>
      <c r="E2880" s="12" t="s">
        <v>3943</v>
      </c>
      <c r="F2880" s="12">
        <v>10</v>
      </c>
      <c r="H2880" s="12" t="s">
        <v>672</v>
      </c>
      <c r="I2880" s="41" t="s">
        <v>7941</v>
      </c>
      <c r="J2880" s="41" t="s">
        <v>3234</v>
      </c>
      <c r="K2880" s="41" t="str">
        <f>VLOOKUP(J2880,错误mRNA总表!D:J,7,FALSE)</f>
        <v/>
      </c>
      <c r="M2880" s="41" t="e">
        <f>VLOOKUP(I2880,错误mRNA总表!D:I,6,FALSE)</f>
        <v>#N/A</v>
      </c>
    </row>
    <row r="2881" spans="1:13" x14ac:dyDescent="0.2">
      <c r="A2881" s="12" t="s">
        <v>5375</v>
      </c>
      <c r="B2881" s="12" t="s">
        <v>5376</v>
      </c>
      <c r="C2881" s="12">
        <v>147803</v>
      </c>
      <c r="D2881" s="12">
        <v>162655</v>
      </c>
      <c r="E2881" s="12" t="s">
        <v>3940</v>
      </c>
      <c r="F2881" s="12">
        <v>133</v>
      </c>
      <c r="H2881" s="12" t="s">
        <v>3617</v>
      </c>
      <c r="I2881" s="41" t="s">
        <v>7942</v>
      </c>
      <c r="M2881" s="41" t="e">
        <f>VLOOKUP(I2881,错误mRNA总表!D:I,6,FALSE)</f>
        <v>#N/A</v>
      </c>
    </row>
    <row r="2882" spans="1:13" x14ac:dyDescent="0.2">
      <c r="A2882" s="12" t="s">
        <v>5375</v>
      </c>
      <c r="B2882" s="12" t="s">
        <v>5376</v>
      </c>
      <c r="C2882" s="12">
        <v>147803</v>
      </c>
      <c r="D2882" s="12">
        <v>160823</v>
      </c>
      <c r="E2882" s="12" t="s">
        <v>3940</v>
      </c>
      <c r="F2882" s="12">
        <v>303</v>
      </c>
      <c r="H2882" s="12" t="s">
        <v>3617</v>
      </c>
      <c r="I2882" s="41" t="s">
        <v>7942</v>
      </c>
      <c r="M2882" s="41" t="e">
        <f>VLOOKUP(I2882,错误mRNA总表!D:I,6,FALSE)</f>
        <v>#N/A</v>
      </c>
    </row>
    <row r="2883" spans="1:13" x14ac:dyDescent="0.2">
      <c r="A2883" s="12" t="s">
        <v>5377</v>
      </c>
      <c r="B2883" s="12" t="s">
        <v>3948</v>
      </c>
      <c r="C2883" s="12">
        <v>100331249</v>
      </c>
      <c r="D2883" s="12">
        <v>100371476</v>
      </c>
      <c r="E2883" s="12" t="s">
        <v>3940</v>
      </c>
      <c r="F2883" s="12">
        <v>1</v>
      </c>
      <c r="G2883" s="41" t="s">
        <v>40</v>
      </c>
      <c r="H2883" s="12" t="s">
        <v>6224</v>
      </c>
      <c r="I2883" s="41" t="s">
        <v>7943</v>
      </c>
      <c r="M2883" s="41" t="e">
        <f>VLOOKUP(I2883,错误mRNA总表!D:I,6,FALSE)</f>
        <v>#N/A</v>
      </c>
    </row>
    <row r="2884" spans="1:13" x14ac:dyDescent="0.2">
      <c r="A2884" s="12" t="s">
        <v>5378</v>
      </c>
      <c r="B2884" s="12" t="s">
        <v>3957</v>
      </c>
      <c r="C2884" s="12">
        <v>46638826</v>
      </c>
      <c r="D2884" s="12">
        <v>46694313</v>
      </c>
      <c r="E2884" s="12" t="s">
        <v>3943</v>
      </c>
      <c r="F2884" s="12">
        <v>2</v>
      </c>
      <c r="G2884" s="41" t="s">
        <v>36</v>
      </c>
      <c r="H2884" s="12" t="s">
        <v>6225</v>
      </c>
      <c r="I2884" s="41" t="s">
        <v>7944</v>
      </c>
      <c r="M2884" s="41" t="e">
        <f>VLOOKUP(I2884,错误mRNA总表!D:I,6,FALSE)</f>
        <v>#N/A</v>
      </c>
    </row>
    <row r="2885" spans="1:13" x14ac:dyDescent="0.2">
      <c r="A2885" s="12" t="s">
        <v>5379</v>
      </c>
      <c r="B2885" s="12" t="s">
        <v>3948</v>
      </c>
      <c r="C2885" s="12">
        <v>50348276</v>
      </c>
      <c r="D2885" s="12">
        <v>50367354</v>
      </c>
      <c r="E2885" s="12" t="s">
        <v>3943</v>
      </c>
      <c r="F2885" s="12">
        <v>2</v>
      </c>
      <c r="G2885" s="41" t="s">
        <v>40</v>
      </c>
      <c r="H2885" s="12" t="s">
        <v>6226</v>
      </c>
      <c r="I2885" s="41" t="s">
        <v>7945</v>
      </c>
      <c r="M2885" s="41" t="e">
        <f>VLOOKUP(I2885,错误mRNA总表!D:I,6,FALSE)</f>
        <v>#N/A</v>
      </c>
    </row>
    <row r="2886" spans="1:13" x14ac:dyDescent="0.2">
      <c r="A2886" s="12" t="s">
        <v>4997</v>
      </c>
      <c r="B2886" s="12" t="s">
        <v>4066</v>
      </c>
      <c r="C2886" s="12">
        <v>7033830</v>
      </c>
      <c r="D2886" s="12">
        <v>7035675</v>
      </c>
      <c r="E2886" s="12" t="s">
        <v>3943</v>
      </c>
      <c r="F2886" s="12">
        <v>1</v>
      </c>
      <c r="H2886" s="12" t="s">
        <v>3503</v>
      </c>
      <c r="I2886" s="41" t="s">
        <v>7946</v>
      </c>
      <c r="M2886" s="41" t="e">
        <f>VLOOKUP(I2886,错误mRNA总表!D:I,6,FALSE)</f>
        <v>#N/A</v>
      </c>
    </row>
    <row r="2887" spans="1:13" x14ac:dyDescent="0.2">
      <c r="A2887" s="12" t="s">
        <v>5380</v>
      </c>
      <c r="B2887" s="12" t="s">
        <v>4001</v>
      </c>
      <c r="C2887" s="12">
        <v>546441</v>
      </c>
      <c r="D2887" s="12">
        <v>546467</v>
      </c>
      <c r="E2887" s="12" t="s">
        <v>3940</v>
      </c>
      <c r="F2887" s="12">
        <v>12</v>
      </c>
      <c r="H2887" s="12" t="s">
        <v>6227</v>
      </c>
      <c r="I2887" s="41" t="s">
        <v>7947</v>
      </c>
      <c r="M2887" s="41" t="e">
        <f>VLOOKUP(I2887,错误mRNA总表!D:I,6,FALSE)</f>
        <v>#N/A</v>
      </c>
    </row>
    <row r="2888" spans="1:13" x14ac:dyDescent="0.2">
      <c r="A2888" s="12" t="s">
        <v>5380</v>
      </c>
      <c r="B2888" s="12" t="s">
        <v>4001</v>
      </c>
      <c r="C2888" s="12">
        <v>546441</v>
      </c>
      <c r="D2888" s="12">
        <v>546464</v>
      </c>
      <c r="E2888" s="12" t="s">
        <v>3940</v>
      </c>
      <c r="F2888" s="12">
        <v>1</v>
      </c>
      <c r="H2888" s="12" t="s">
        <v>6227</v>
      </c>
      <c r="I2888" s="41" t="s">
        <v>7947</v>
      </c>
      <c r="M2888" s="41" t="e">
        <f>VLOOKUP(I2888,错误mRNA总表!D:I,6,FALSE)</f>
        <v>#N/A</v>
      </c>
    </row>
    <row r="2889" spans="1:13" x14ac:dyDescent="0.2">
      <c r="A2889" s="12" t="s">
        <v>4267</v>
      </c>
      <c r="B2889" s="12" t="s">
        <v>3964</v>
      </c>
      <c r="C2889" s="12">
        <v>927947</v>
      </c>
      <c r="D2889" s="12">
        <v>943295</v>
      </c>
      <c r="E2889" s="12" t="s">
        <v>3940</v>
      </c>
      <c r="F2889" s="12">
        <v>4</v>
      </c>
      <c r="H2889" s="12" t="s">
        <v>3528</v>
      </c>
      <c r="I2889" s="41" t="s">
        <v>7948</v>
      </c>
      <c r="M2889" s="41" t="e">
        <f>VLOOKUP(I2889,错误mRNA总表!D:I,6,FALSE)</f>
        <v>#N/A</v>
      </c>
    </row>
    <row r="2890" spans="1:13" x14ac:dyDescent="0.2">
      <c r="A2890" s="12" t="s">
        <v>5381</v>
      </c>
      <c r="B2890" s="12" t="s">
        <v>4052</v>
      </c>
      <c r="C2890" s="12">
        <v>89623195</v>
      </c>
      <c r="D2890" s="12">
        <v>89623860</v>
      </c>
      <c r="E2890" s="12" t="s">
        <v>3943</v>
      </c>
      <c r="F2890" s="12">
        <v>1</v>
      </c>
      <c r="G2890" s="41" t="s">
        <v>93</v>
      </c>
      <c r="H2890" s="12" t="s">
        <v>5830</v>
      </c>
      <c r="I2890" s="41" t="s">
        <v>6815</v>
      </c>
      <c r="M2890" s="41" t="e">
        <f>VLOOKUP(I2890,错误mRNA总表!D:I,6,FALSE)</f>
        <v>#N/A</v>
      </c>
    </row>
    <row r="2891" spans="1:13" x14ac:dyDescent="0.2">
      <c r="A2891" s="12" t="s">
        <v>5382</v>
      </c>
      <c r="B2891" s="12" t="s">
        <v>3939</v>
      </c>
      <c r="C2891" s="12">
        <v>16606122</v>
      </c>
      <c r="D2891" s="12">
        <v>16606679</v>
      </c>
      <c r="E2891" s="12" t="s">
        <v>3943</v>
      </c>
      <c r="F2891" s="12">
        <v>1</v>
      </c>
      <c r="G2891" s="41" t="s">
        <v>73</v>
      </c>
      <c r="H2891" s="12" t="s">
        <v>6547</v>
      </c>
      <c r="I2891" s="41" t="s">
        <v>7949</v>
      </c>
      <c r="M2891" s="41" t="e">
        <f>VLOOKUP(I2891,错误mRNA总表!D:I,6,FALSE)</f>
        <v>#N/A</v>
      </c>
    </row>
    <row r="2892" spans="1:13" x14ac:dyDescent="0.2">
      <c r="A2892" s="12" t="s">
        <v>5383</v>
      </c>
      <c r="B2892" s="12" t="s">
        <v>4066</v>
      </c>
      <c r="C2892" s="12">
        <v>2734426</v>
      </c>
      <c r="D2892" s="12">
        <v>2736306</v>
      </c>
      <c r="E2892" s="12" t="s">
        <v>3943</v>
      </c>
      <c r="F2892" s="12">
        <v>3</v>
      </c>
      <c r="H2892" s="12" t="s">
        <v>6544</v>
      </c>
      <c r="I2892" s="41" t="s">
        <v>7950</v>
      </c>
      <c r="M2892" s="41" t="e">
        <f>VLOOKUP(I2892,错误mRNA总表!D:I,6,FALSE)</f>
        <v>#N/A</v>
      </c>
    </row>
    <row r="2893" spans="1:13" x14ac:dyDescent="0.2">
      <c r="A2893" s="12" t="s">
        <v>5383</v>
      </c>
      <c r="B2893" s="12" t="s">
        <v>4066</v>
      </c>
      <c r="C2893" s="12">
        <v>2734426</v>
      </c>
      <c r="D2893" s="12">
        <v>2738708</v>
      </c>
      <c r="E2893" s="12" t="s">
        <v>3943</v>
      </c>
      <c r="F2893" s="12">
        <v>1</v>
      </c>
      <c r="H2893" s="12" t="s">
        <v>6544</v>
      </c>
      <c r="I2893" s="41" t="s">
        <v>7950</v>
      </c>
      <c r="M2893" s="41" t="e">
        <f>VLOOKUP(I2893,错误mRNA总表!D:I,6,FALSE)</f>
        <v>#N/A</v>
      </c>
    </row>
    <row r="2894" spans="1:13" x14ac:dyDescent="0.2">
      <c r="A2894" s="12" t="s">
        <v>5384</v>
      </c>
      <c r="B2894" s="12" t="s">
        <v>4012</v>
      </c>
      <c r="C2894" s="12">
        <v>135800</v>
      </c>
      <c r="D2894" s="12">
        <v>138772</v>
      </c>
      <c r="E2894" s="12" t="s">
        <v>3940</v>
      </c>
      <c r="F2894" s="12">
        <v>1</v>
      </c>
      <c r="G2894" s="41" t="s">
        <v>121</v>
      </c>
      <c r="H2894" s="12" t="s">
        <v>199</v>
      </c>
      <c r="I2894" s="41" t="s">
        <v>2183</v>
      </c>
      <c r="J2894" s="41" t="s">
        <v>2183</v>
      </c>
      <c r="K2894" s="41" t="str">
        <f>VLOOKUP(J2894,错误mRNA总表!D:J,7,FALSE)</f>
        <v>纠后正确</v>
      </c>
      <c r="L2894" s="41" t="s">
        <v>3763</v>
      </c>
      <c r="M2894" s="41">
        <f>VLOOKUP(I2894,错误mRNA总表!D:I,6,FALSE)</f>
        <v>0</v>
      </c>
    </row>
    <row r="2895" spans="1:13" x14ac:dyDescent="0.2">
      <c r="A2895" s="12" t="s">
        <v>5385</v>
      </c>
      <c r="B2895" s="12" t="s">
        <v>3939</v>
      </c>
      <c r="C2895" s="12">
        <v>153639854</v>
      </c>
      <c r="D2895" s="12">
        <v>153640060</v>
      </c>
      <c r="E2895" s="12" t="s">
        <v>3943</v>
      </c>
      <c r="F2895" s="12">
        <v>1</v>
      </c>
      <c r="G2895" s="41" t="s">
        <v>73</v>
      </c>
      <c r="H2895" s="12" t="s">
        <v>3690</v>
      </c>
      <c r="I2895" s="41" t="s">
        <v>7951</v>
      </c>
      <c r="M2895" s="41" t="e">
        <f>VLOOKUP(I2895,错误mRNA总表!D:I,6,FALSE)</f>
        <v>#N/A</v>
      </c>
    </row>
    <row r="2896" spans="1:13" x14ac:dyDescent="0.2">
      <c r="A2896" s="12" t="s">
        <v>4007</v>
      </c>
      <c r="B2896" s="12" t="s">
        <v>3989</v>
      </c>
      <c r="C2896" s="12">
        <v>2796643</v>
      </c>
      <c r="D2896" s="12">
        <v>2808573</v>
      </c>
      <c r="E2896" s="12" t="s">
        <v>3940</v>
      </c>
      <c r="F2896" s="12">
        <v>2</v>
      </c>
      <c r="H2896" s="12" t="s">
        <v>3426</v>
      </c>
      <c r="I2896" s="41" t="s">
        <v>7952</v>
      </c>
      <c r="M2896" s="41" t="e">
        <f>VLOOKUP(I2896,错误mRNA总表!D:I,6,FALSE)</f>
        <v>#N/A</v>
      </c>
    </row>
    <row r="2897" spans="1:13" x14ac:dyDescent="0.2">
      <c r="A2897" s="12" t="s">
        <v>4007</v>
      </c>
      <c r="B2897" s="12" t="s">
        <v>3989</v>
      </c>
      <c r="C2897" s="12">
        <v>2796643</v>
      </c>
      <c r="D2897" s="12">
        <v>2809142</v>
      </c>
      <c r="E2897" s="12" t="s">
        <v>3943</v>
      </c>
      <c r="F2897" s="12">
        <v>6</v>
      </c>
      <c r="H2897" s="12" t="s">
        <v>3426</v>
      </c>
      <c r="I2897" s="41" t="s">
        <v>7952</v>
      </c>
      <c r="M2897" s="41" t="e">
        <f>VLOOKUP(I2897,错误mRNA总表!D:I,6,FALSE)</f>
        <v>#N/A</v>
      </c>
    </row>
    <row r="2898" spans="1:13" x14ac:dyDescent="0.2">
      <c r="A2898" s="12" t="s">
        <v>5386</v>
      </c>
      <c r="B2898" s="12" t="s">
        <v>4098</v>
      </c>
      <c r="C2898" s="12">
        <v>340900</v>
      </c>
      <c r="D2898" s="12">
        <v>340916</v>
      </c>
      <c r="E2898" s="12" t="s">
        <v>3940</v>
      </c>
      <c r="F2898" s="12">
        <v>245</v>
      </c>
      <c r="H2898" s="12" t="s">
        <v>6264</v>
      </c>
      <c r="I2898" s="41" t="s">
        <v>7953</v>
      </c>
      <c r="M2898" s="41" t="e">
        <f>VLOOKUP(I2898,错误mRNA总表!D:I,6,FALSE)</f>
        <v>#N/A</v>
      </c>
    </row>
    <row r="2899" spans="1:13" x14ac:dyDescent="0.2">
      <c r="A2899" s="12" t="s">
        <v>5386</v>
      </c>
      <c r="B2899" s="12" t="s">
        <v>4098</v>
      </c>
      <c r="C2899" s="12">
        <v>340900</v>
      </c>
      <c r="D2899" s="12">
        <v>344479</v>
      </c>
      <c r="E2899" s="12" t="s">
        <v>3940</v>
      </c>
      <c r="F2899" s="12">
        <v>929</v>
      </c>
      <c r="H2899" s="12" t="s">
        <v>6264</v>
      </c>
      <c r="I2899" s="41" t="s">
        <v>7953</v>
      </c>
      <c r="M2899" s="41" t="e">
        <f>VLOOKUP(I2899,错误mRNA总表!D:I,6,FALSE)</f>
        <v>#N/A</v>
      </c>
    </row>
    <row r="2900" spans="1:13" x14ac:dyDescent="0.2">
      <c r="A2900" s="12" t="s">
        <v>5387</v>
      </c>
      <c r="B2900" s="12" t="s">
        <v>4098</v>
      </c>
      <c r="C2900" s="12">
        <v>340900</v>
      </c>
      <c r="D2900" s="12">
        <v>340916</v>
      </c>
      <c r="E2900" s="12" t="s">
        <v>3940</v>
      </c>
      <c r="F2900" s="12">
        <v>245</v>
      </c>
      <c r="H2900" s="12" t="s">
        <v>3474</v>
      </c>
      <c r="I2900" s="41" t="s">
        <v>7954</v>
      </c>
      <c r="M2900" s="41" t="e">
        <f>VLOOKUP(I2900,错误mRNA总表!D:I,6,FALSE)</f>
        <v>#N/A</v>
      </c>
    </row>
    <row r="2901" spans="1:13" x14ac:dyDescent="0.2">
      <c r="A2901" s="12" t="s">
        <v>5387</v>
      </c>
      <c r="B2901" s="12" t="s">
        <v>4098</v>
      </c>
      <c r="C2901" s="12">
        <v>340900</v>
      </c>
      <c r="D2901" s="12">
        <v>344479</v>
      </c>
      <c r="E2901" s="12" t="s">
        <v>3940</v>
      </c>
      <c r="F2901" s="12">
        <v>582</v>
      </c>
      <c r="H2901" s="12" t="s">
        <v>3474</v>
      </c>
      <c r="I2901" s="41" t="s">
        <v>7954</v>
      </c>
      <c r="M2901" s="41" t="e">
        <f>VLOOKUP(I2901,错误mRNA总表!D:I,6,FALSE)</f>
        <v>#N/A</v>
      </c>
    </row>
    <row r="2902" spans="1:13" x14ac:dyDescent="0.2">
      <c r="A2902" s="12" t="s">
        <v>5387</v>
      </c>
      <c r="B2902" s="12" t="s">
        <v>4098</v>
      </c>
      <c r="C2902" s="12">
        <v>340900</v>
      </c>
      <c r="D2902" s="12">
        <v>356942</v>
      </c>
      <c r="E2902" s="12" t="s">
        <v>3940</v>
      </c>
      <c r="F2902" s="12">
        <v>410</v>
      </c>
      <c r="H2902" s="12" t="s">
        <v>3474</v>
      </c>
      <c r="I2902" s="41" t="s">
        <v>7954</v>
      </c>
      <c r="M2902" s="41" t="e">
        <f>VLOOKUP(I2902,错误mRNA总表!D:I,6,FALSE)</f>
        <v>#N/A</v>
      </c>
    </row>
    <row r="2903" spans="1:13" x14ac:dyDescent="0.2">
      <c r="A2903" s="12" t="s">
        <v>5388</v>
      </c>
      <c r="B2903" s="12" t="s">
        <v>3984</v>
      </c>
      <c r="C2903" s="12">
        <v>1322018</v>
      </c>
      <c r="D2903" s="12">
        <v>1322175</v>
      </c>
      <c r="E2903" s="12" t="s">
        <v>3943</v>
      </c>
      <c r="F2903" s="12">
        <v>1</v>
      </c>
      <c r="H2903" s="12" t="s">
        <v>3534</v>
      </c>
      <c r="I2903" s="41" t="s">
        <v>7955</v>
      </c>
      <c r="M2903" s="41" t="e">
        <f>VLOOKUP(I2903,错误mRNA总表!D:I,6,FALSE)</f>
        <v>#N/A</v>
      </c>
    </row>
    <row r="2904" spans="1:13" x14ac:dyDescent="0.2">
      <c r="A2904" s="12" t="s">
        <v>5389</v>
      </c>
      <c r="B2904" s="12" t="s">
        <v>3939</v>
      </c>
      <c r="C2904" s="12">
        <v>153639854</v>
      </c>
      <c r="D2904" s="12">
        <v>153640060</v>
      </c>
      <c r="E2904" s="12" t="s">
        <v>3943</v>
      </c>
      <c r="F2904" s="12">
        <v>1</v>
      </c>
      <c r="G2904" s="41" t="s">
        <v>73</v>
      </c>
      <c r="H2904" s="12" t="s">
        <v>3692</v>
      </c>
      <c r="I2904" s="41" t="s">
        <v>7956</v>
      </c>
      <c r="M2904" s="41" t="e">
        <f>VLOOKUP(I2904,错误mRNA总表!D:I,6,FALSE)</f>
        <v>#N/A</v>
      </c>
    </row>
    <row r="2905" spans="1:13" x14ac:dyDescent="0.2">
      <c r="A2905" s="12" t="s">
        <v>5189</v>
      </c>
      <c r="B2905" s="12" t="s">
        <v>4098</v>
      </c>
      <c r="C2905" s="12">
        <v>248816</v>
      </c>
      <c r="D2905" s="12">
        <v>248851</v>
      </c>
      <c r="E2905" s="12" t="s">
        <v>3940</v>
      </c>
      <c r="F2905" s="12">
        <v>2</v>
      </c>
      <c r="H2905" s="12" t="s">
        <v>3471</v>
      </c>
      <c r="I2905" s="41" t="s">
        <v>6915</v>
      </c>
      <c r="M2905" s="41" t="e">
        <f>VLOOKUP(I2905,错误mRNA总表!D:I,6,FALSE)</f>
        <v>#N/A</v>
      </c>
    </row>
    <row r="2906" spans="1:13" x14ac:dyDescent="0.2">
      <c r="A2906" s="12" t="s">
        <v>5390</v>
      </c>
      <c r="B2906" s="12" t="s">
        <v>3946</v>
      </c>
      <c r="C2906" s="12">
        <v>43189008</v>
      </c>
      <c r="D2906" s="12">
        <v>43192549</v>
      </c>
      <c r="E2906" s="12" t="s">
        <v>3940</v>
      </c>
      <c r="F2906" s="12">
        <v>1</v>
      </c>
      <c r="G2906" s="41" t="s">
        <v>47</v>
      </c>
      <c r="H2906" s="12" t="s">
        <v>123</v>
      </c>
      <c r="I2906" s="41" t="s">
        <v>2120</v>
      </c>
      <c r="J2906" s="41" t="s">
        <v>2120</v>
      </c>
      <c r="K2906" s="41" t="str">
        <f>VLOOKUP(J2906,错误mRNA总表!D:J,7,FALSE)</f>
        <v>纠后正确</v>
      </c>
      <c r="L2906" s="41" t="s">
        <v>3763</v>
      </c>
      <c r="M2906" s="41">
        <f>VLOOKUP(I2906,错误mRNA总表!D:I,6,FALSE)</f>
        <v>0</v>
      </c>
    </row>
    <row r="2907" spans="1:13" x14ac:dyDescent="0.2">
      <c r="A2907" s="12" t="s">
        <v>5391</v>
      </c>
      <c r="B2907" s="12" t="s">
        <v>3964</v>
      </c>
      <c r="C2907" s="12">
        <v>1013144</v>
      </c>
      <c r="D2907" s="12">
        <v>1013155</v>
      </c>
      <c r="E2907" s="12" t="s">
        <v>3940</v>
      </c>
      <c r="F2907" s="12">
        <v>27</v>
      </c>
      <c r="H2907" s="12" t="s">
        <v>6228</v>
      </c>
      <c r="I2907" s="41" t="s">
        <v>7957</v>
      </c>
      <c r="M2907" s="41" t="e">
        <f>VLOOKUP(I2907,错误mRNA总表!D:I,6,FALSE)</f>
        <v>#N/A</v>
      </c>
    </row>
    <row r="2908" spans="1:13" x14ac:dyDescent="0.2">
      <c r="A2908" s="12" t="s">
        <v>4951</v>
      </c>
      <c r="B2908" s="12" t="s">
        <v>3952</v>
      </c>
      <c r="C2908" s="12">
        <v>248805</v>
      </c>
      <c r="D2908" s="12">
        <v>248840</v>
      </c>
      <c r="E2908" s="12" t="s">
        <v>3940</v>
      </c>
      <c r="F2908" s="12">
        <v>2</v>
      </c>
      <c r="H2908" s="12" t="s">
        <v>3655</v>
      </c>
      <c r="I2908" s="41" t="s">
        <v>7729</v>
      </c>
      <c r="M2908" s="41" t="e">
        <f>VLOOKUP(I2908,错误mRNA总表!D:I,6,FALSE)</f>
        <v>#N/A</v>
      </c>
    </row>
    <row r="2909" spans="1:13" x14ac:dyDescent="0.2">
      <c r="A2909" s="12" t="s">
        <v>5392</v>
      </c>
      <c r="B2909" s="12" t="s">
        <v>3957</v>
      </c>
      <c r="C2909" s="12">
        <v>27676440</v>
      </c>
      <c r="D2909" s="12">
        <v>27676545</v>
      </c>
      <c r="E2909" s="12" t="s">
        <v>3943</v>
      </c>
      <c r="F2909" s="12">
        <v>1</v>
      </c>
      <c r="G2909" s="41" t="s">
        <v>36</v>
      </c>
      <c r="H2909" s="12" t="s">
        <v>6229</v>
      </c>
      <c r="I2909" s="41" t="s">
        <v>7958</v>
      </c>
      <c r="M2909" s="41" t="e">
        <f>VLOOKUP(I2909,错误mRNA总表!D:I,6,FALSE)</f>
        <v>#N/A</v>
      </c>
    </row>
    <row r="2910" spans="1:13" x14ac:dyDescent="0.2">
      <c r="A2910" s="12" t="s">
        <v>5392</v>
      </c>
      <c r="B2910" s="12" t="s">
        <v>3957</v>
      </c>
      <c r="C2910" s="12">
        <v>27676440</v>
      </c>
      <c r="D2910" s="12">
        <v>27679010</v>
      </c>
      <c r="E2910" s="12" t="s">
        <v>3943</v>
      </c>
      <c r="F2910" s="12">
        <v>1</v>
      </c>
      <c r="G2910" s="41" t="s">
        <v>36</v>
      </c>
      <c r="H2910" s="12" t="s">
        <v>6229</v>
      </c>
      <c r="I2910" s="41" t="s">
        <v>7958</v>
      </c>
      <c r="M2910" s="41" t="e">
        <f>VLOOKUP(I2910,错误mRNA总表!D:I,6,FALSE)</f>
        <v>#N/A</v>
      </c>
    </row>
    <row r="2911" spans="1:13" x14ac:dyDescent="0.2">
      <c r="A2911" s="12" t="s">
        <v>5393</v>
      </c>
      <c r="B2911" s="12" t="s">
        <v>3986</v>
      </c>
      <c r="C2911" s="12">
        <v>58694356</v>
      </c>
      <c r="D2911" s="12">
        <v>58718361</v>
      </c>
      <c r="E2911" s="12" t="s">
        <v>3940</v>
      </c>
      <c r="F2911" s="12">
        <v>1</v>
      </c>
      <c r="G2911" s="41" t="s">
        <v>50</v>
      </c>
      <c r="H2911" s="12" t="s">
        <v>3478</v>
      </c>
      <c r="I2911" s="41" t="s">
        <v>7959</v>
      </c>
      <c r="M2911" s="41" t="e">
        <f>VLOOKUP(I2911,错误mRNA总表!D:I,6,FALSE)</f>
        <v>#N/A</v>
      </c>
    </row>
    <row r="2912" spans="1:13" x14ac:dyDescent="0.2">
      <c r="A2912" s="12" t="s">
        <v>5394</v>
      </c>
      <c r="B2912" s="12" t="s">
        <v>3973</v>
      </c>
      <c r="C2912" s="12">
        <v>17698741</v>
      </c>
      <c r="D2912" s="12">
        <v>17718673</v>
      </c>
      <c r="E2912" s="12" t="s">
        <v>3943</v>
      </c>
      <c r="F2912" s="12">
        <v>1</v>
      </c>
      <c r="G2912" s="41" t="s">
        <v>139</v>
      </c>
      <c r="H2912" s="12" t="s">
        <v>243</v>
      </c>
      <c r="I2912" s="41" t="s">
        <v>2186</v>
      </c>
      <c r="J2912" s="41" t="s">
        <v>2186</v>
      </c>
      <c r="K2912" s="41" t="str">
        <f>VLOOKUP(J2912,错误mRNA总表!D:J,7,FALSE)</f>
        <v>纠后正确</v>
      </c>
      <c r="L2912" s="41" t="s">
        <v>3763</v>
      </c>
      <c r="M2912" s="41">
        <f>VLOOKUP(I2912,错误mRNA总表!D:I,6,FALSE)</f>
        <v>0</v>
      </c>
    </row>
    <row r="2913" spans="1:13" x14ac:dyDescent="0.2">
      <c r="A2913" s="12" t="s">
        <v>4007</v>
      </c>
      <c r="B2913" s="12" t="s">
        <v>3984</v>
      </c>
      <c r="C2913" s="12">
        <v>2759546</v>
      </c>
      <c r="D2913" s="12">
        <v>2771475</v>
      </c>
      <c r="E2913" s="12" t="s">
        <v>3940</v>
      </c>
      <c r="F2913" s="12">
        <v>2</v>
      </c>
      <c r="H2913" s="12" t="s">
        <v>3426</v>
      </c>
      <c r="I2913" s="41" t="s">
        <v>7960</v>
      </c>
      <c r="M2913" s="41" t="e">
        <f>VLOOKUP(I2913,错误mRNA总表!D:I,6,FALSE)</f>
        <v>#N/A</v>
      </c>
    </row>
    <row r="2914" spans="1:13" x14ac:dyDescent="0.2">
      <c r="A2914" s="12" t="s">
        <v>4007</v>
      </c>
      <c r="B2914" s="12" t="s">
        <v>3984</v>
      </c>
      <c r="C2914" s="12">
        <v>2759546</v>
      </c>
      <c r="D2914" s="12">
        <v>2772038</v>
      </c>
      <c r="E2914" s="12" t="s">
        <v>3940</v>
      </c>
      <c r="F2914" s="12">
        <v>6</v>
      </c>
      <c r="H2914" s="12" t="s">
        <v>3426</v>
      </c>
      <c r="I2914" s="41" t="s">
        <v>7960</v>
      </c>
      <c r="M2914" s="41" t="e">
        <f>VLOOKUP(I2914,错误mRNA总表!D:I,6,FALSE)</f>
        <v>#N/A</v>
      </c>
    </row>
    <row r="2915" spans="1:13" x14ac:dyDescent="0.2">
      <c r="A2915" s="12" t="s">
        <v>5395</v>
      </c>
      <c r="B2915" s="12" t="s">
        <v>3957</v>
      </c>
      <c r="C2915" s="12">
        <v>46638826</v>
      </c>
      <c r="D2915" s="12">
        <v>46694313</v>
      </c>
      <c r="E2915" s="12" t="s">
        <v>3943</v>
      </c>
      <c r="F2915" s="12">
        <v>2</v>
      </c>
      <c r="G2915" s="41" t="s">
        <v>36</v>
      </c>
      <c r="H2915" s="12" t="s">
        <v>6230</v>
      </c>
      <c r="I2915" s="41" t="s">
        <v>7961</v>
      </c>
      <c r="M2915" s="41" t="e">
        <f>VLOOKUP(I2915,错误mRNA总表!D:I,6,FALSE)</f>
        <v>#N/A</v>
      </c>
    </row>
    <row r="2916" spans="1:13" x14ac:dyDescent="0.2">
      <c r="A2916" s="12" t="s">
        <v>4568</v>
      </c>
      <c r="B2916" s="12" t="s">
        <v>3969</v>
      </c>
      <c r="C2916" s="12">
        <v>3905878</v>
      </c>
      <c r="D2916" s="12">
        <v>3913058</v>
      </c>
      <c r="E2916" s="12" t="s">
        <v>3943</v>
      </c>
      <c r="F2916" s="12">
        <v>3</v>
      </c>
      <c r="H2916" s="12" t="s">
        <v>3581</v>
      </c>
      <c r="I2916" s="41" t="s">
        <v>7962</v>
      </c>
      <c r="M2916" s="41" t="e">
        <f>VLOOKUP(I2916,错误mRNA总表!D:I,6,FALSE)</f>
        <v>#N/A</v>
      </c>
    </row>
    <row r="2917" spans="1:13" x14ac:dyDescent="0.2">
      <c r="A2917" s="12" t="s">
        <v>4568</v>
      </c>
      <c r="B2917" s="12" t="s">
        <v>3969</v>
      </c>
      <c r="C2917" s="12">
        <v>3905878</v>
      </c>
      <c r="D2917" s="12">
        <v>3906551</v>
      </c>
      <c r="E2917" s="12" t="s">
        <v>3940</v>
      </c>
      <c r="F2917" s="12">
        <v>1</v>
      </c>
      <c r="H2917" s="12" t="s">
        <v>3581</v>
      </c>
      <c r="I2917" s="41" t="s">
        <v>7962</v>
      </c>
      <c r="M2917" s="41" t="e">
        <f>VLOOKUP(I2917,错误mRNA总表!D:I,6,FALSE)</f>
        <v>#N/A</v>
      </c>
    </row>
    <row r="2918" spans="1:13" x14ac:dyDescent="0.2">
      <c r="A2918" s="12" t="s">
        <v>5396</v>
      </c>
      <c r="B2918" s="12" t="s">
        <v>5397</v>
      </c>
      <c r="C2918" s="12">
        <v>13278</v>
      </c>
      <c r="D2918" s="12">
        <v>46756</v>
      </c>
      <c r="E2918" s="12" t="s">
        <v>3940</v>
      </c>
      <c r="F2918" s="12">
        <v>1</v>
      </c>
      <c r="H2918" s="12" t="s">
        <v>6231</v>
      </c>
      <c r="I2918" s="41" t="s">
        <v>7963</v>
      </c>
      <c r="M2918" s="41" t="e">
        <f>VLOOKUP(I2918,错误mRNA总表!D:I,6,FALSE)</f>
        <v>#N/A</v>
      </c>
    </row>
    <row r="2919" spans="1:13" x14ac:dyDescent="0.2">
      <c r="A2919" s="12" t="s">
        <v>5398</v>
      </c>
      <c r="B2919" s="12" t="s">
        <v>3946</v>
      </c>
      <c r="C2919" s="12">
        <v>48211099</v>
      </c>
      <c r="D2919" s="12">
        <v>48227384</v>
      </c>
      <c r="E2919" s="12" t="s">
        <v>3940</v>
      </c>
      <c r="F2919" s="12">
        <v>2</v>
      </c>
      <c r="G2919" s="41" t="s">
        <v>47</v>
      </c>
      <c r="H2919" s="12" t="s">
        <v>1187</v>
      </c>
      <c r="I2919" s="41" t="s">
        <v>7964</v>
      </c>
      <c r="J2919" s="41" t="s">
        <v>3388</v>
      </c>
      <c r="K2919" s="41" t="str">
        <f>VLOOKUP(J2919,错误mRNA总表!D:J,7,FALSE)</f>
        <v>纠后正确</v>
      </c>
      <c r="M2919" s="41" t="e">
        <f>VLOOKUP(I2919,错误mRNA总表!D:I,6,FALSE)</f>
        <v>#N/A</v>
      </c>
    </row>
    <row r="2920" spans="1:13" x14ac:dyDescent="0.2">
      <c r="A2920" s="12" t="s">
        <v>5398</v>
      </c>
      <c r="B2920" s="12" t="s">
        <v>3946</v>
      </c>
      <c r="C2920" s="12">
        <v>48211099</v>
      </c>
      <c r="D2920" s="12">
        <v>48227403</v>
      </c>
      <c r="E2920" s="12" t="s">
        <v>3940</v>
      </c>
      <c r="F2920" s="12">
        <v>2</v>
      </c>
      <c r="G2920" s="41" t="s">
        <v>47</v>
      </c>
      <c r="H2920" s="12" t="s">
        <v>1187</v>
      </c>
      <c r="I2920" s="41" t="s">
        <v>7964</v>
      </c>
      <c r="J2920" s="41" t="s">
        <v>3388</v>
      </c>
      <c r="K2920" s="41" t="str">
        <f>VLOOKUP(J2920,错误mRNA总表!D:J,7,FALSE)</f>
        <v>纠后正确</v>
      </c>
      <c r="M2920" s="41" t="e">
        <f>VLOOKUP(I2920,错误mRNA总表!D:I,6,FALSE)</f>
        <v>#N/A</v>
      </c>
    </row>
    <row r="2921" spans="1:13" x14ac:dyDescent="0.2">
      <c r="A2921" s="12" t="s">
        <v>5398</v>
      </c>
      <c r="B2921" s="12" t="s">
        <v>3946</v>
      </c>
      <c r="C2921" s="12">
        <v>48211099</v>
      </c>
      <c r="D2921" s="12">
        <v>48212647</v>
      </c>
      <c r="E2921" s="12" t="s">
        <v>3943</v>
      </c>
      <c r="F2921" s="12">
        <v>1</v>
      </c>
      <c r="G2921" s="41" t="s">
        <v>47</v>
      </c>
      <c r="H2921" s="12" t="s">
        <v>1187</v>
      </c>
      <c r="I2921" s="41" t="s">
        <v>7964</v>
      </c>
      <c r="J2921" s="41" t="s">
        <v>3388</v>
      </c>
      <c r="K2921" s="41" t="str">
        <f>VLOOKUP(J2921,错误mRNA总表!D:J,7,FALSE)</f>
        <v>纠后正确</v>
      </c>
      <c r="M2921" s="41" t="e">
        <f>VLOOKUP(I2921,错误mRNA总表!D:I,6,FALSE)</f>
        <v>#N/A</v>
      </c>
    </row>
    <row r="2922" spans="1:13" x14ac:dyDescent="0.2">
      <c r="A2922" s="12" t="s">
        <v>5399</v>
      </c>
      <c r="B2922" s="12" t="s">
        <v>3942</v>
      </c>
      <c r="C2922" s="12">
        <v>68900156</v>
      </c>
      <c r="D2922" s="12">
        <v>68903041</v>
      </c>
      <c r="E2922" s="12" t="s">
        <v>3940</v>
      </c>
      <c r="F2922" s="12">
        <v>192</v>
      </c>
      <c r="G2922" s="41" t="s">
        <v>186</v>
      </c>
      <c r="H2922" s="12" t="s">
        <v>6232</v>
      </c>
      <c r="I2922" s="41" t="s">
        <v>7965</v>
      </c>
      <c r="M2922" s="41" t="e">
        <f>VLOOKUP(I2922,错误mRNA总表!D:I,6,FALSE)</f>
        <v>#N/A</v>
      </c>
    </row>
    <row r="2923" spans="1:13" x14ac:dyDescent="0.2">
      <c r="A2923" s="12" t="s">
        <v>5399</v>
      </c>
      <c r="B2923" s="12" t="s">
        <v>3942</v>
      </c>
      <c r="C2923" s="12">
        <v>68900156</v>
      </c>
      <c r="D2923" s="12">
        <v>68905613</v>
      </c>
      <c r="E2923" s="12" t="s">
        <v>3940</v>
      </c>
      <c r="F2923" s="12">
        <v>459</v>
      </c>
      <c r="G2923" s="41" t="s">
        <v>186</v>
      </c>
      <c r="H2923" s="12" t="s">
        <v>6232</v>
      </c>
      <c r="I2923" s="41" t="s">
        <v>7965</v>
      </c>
      <c r="M2923" s="41" t="e">
        <f>VLOOKUP(I2923,错误mRNA总表!D:I,6,FALSE)</f>
        <v>#N/A</v>
      </c>
    </row>
    <row r="2924" spans="1:13" x14ac:dyDescent="0.2">
      <c r="A2924" s="12" t="s">
        <v>5399</v>
      </c>
      <c r="B2924" s="12" t="s">
        <v>3942</v>
      </c>
      <c r="C2924" s="12">
        <v>68900156</v>
      </c>
      <c r="D2924" s="12">
        <v>68905605</v>
      </c>
      <c r="E2924" s="12" t="s">
        <v>3943</v>
      </c>
      <c r="F2924" s="12">
        <v>1</v>
      </c>
      <c r="G2924" s="41" t="s">
        <v>186</v>
      </c>
      <c r="H2924" s="12" t="s">
        <v>6232</v>
      </c>
      <c r="I2924" s="41" t="s">
        <v>7965</v>
      </c>
      <c r="M2924" s="41" t="e">
        <f>VLOOKUP(I2924,错误mRNA总表!D:I,6,FALSE)</f>
        <v>#N/A</v>
      </c>
    </row>
    <row r="2925" spans="1:13" x14ac:dyDescent="0.2">
      <c r="A2925" s="12" t="s">
        <v>5400</v>
      </c>
      <c r="B2925" s="12" t="s">
        <v>3957</v>
      </c>
      <c r="C2925" s="12">
        <v>35453374</v>
      </c>
      <c r="D2925" s="12">
        <v>35453796</v>
      </c>
      <c r="E2925" s="12" t="s">
        <v>3943</v>
      </c>
      <c r="F2925" s="12">
        <v>1</v>
      </c>
      <c r="G2925" s="41" t="s">
        <v>36</v>
      </c>
      <c r="H2925" s="12" t="s">
        <v>6233</v>
      </c>
      <c r="I2925" s="41" t="s">
        <v>7966</v>
      </c>
      <c r="M2925" s="41" t="e">
        <f>VLOOKUP(I2925,错误mRNA总表!D:I,6,FALSE)</f>
        <v>#N/A</v>
      </c>
    </row>
    <row r="2926" spans="1:13" x14ac:dyDescent="0.2">
      <c r="A2926" s="12" t="s">
        <v>4592</v>
      </c>
      <c r="B2926" s="12" t="s">
        <v>4382</v>
      </c>
      <c r="C2926" s="12">
        <v>65785</v>
      </c>
      <c r="D2926" s="12">
        <v>66646</v>
      </c>
      <c r="E2926" s="12" t="s">
        <v>3943</v>
      </c>
      <c r="F2926" s="12">
        <v>1</v>
      </c>
      <c r="H2926" s="12" t="s">
        <v>3614</v>
      </c>
      <c r="I2926" s="41" t="s">
        <v>7967</v>
      </c>
      <c r="M2926" s="41" t="e">
        <f>VLOOKUP(I2926,错误mRNA总表!D:I,6,FALSE)</f>
        <v>#N/A</v>
      </c>
    </row>
    <row r="2927" spans="1:13" x14ac:dyDescent="0.2">
      <c r="A2927" s="12" t="s">
        <v>5401</v>
      </c>
      <c r="B2927" s="12" t="s">
        <v>4052</v>
      </c>
      <c r="C2927" s="12">
        <v>116853124</v>
      </c>
      <c r="D2927" s="12">
        <v>116931102</v>
      </c>
      <c r="E2927" s="12" t="s">
        <v>3940</v>
      </c>
      <c r="F2927" s="12">
        <v>2</v>
      </c>
      <c r="G2927" s="41" t="s">
        <v>93</v>
      </c>
      <c r="H2927" s="12" t="s">
        <v>6289</v>
      </c>
      <c r="I2927" s="41" t="s">
        <v>7968</v>
      </c>
      <c r="M2927" s="41" t="e">
        <f>VLOOKUP(I2927,错误mRNA总表!D:I,6,FALSE)</f>
        <v>#N/A</v>
      </c>
    </row>
    <row r="2928" spans="1:13" x14ac:dyDescent="0.2">
      <c r="A2928" s="12" t="s">
        <v>5402</v>
      </c>
      <c r="B2928" s="12" t="s">
        <v>3957</v>
      </c>
      <c r="C2928" s="12">
        <v>46638826</v>
      </c>
      <c r="D2928" s="12">
        <v>46694313</v>
      </c>
      <c r="E2928" s="12" t="s">
        <v>3943</v>
      </c>
      <c r="F2928" s="12">
        <v>2</v>
      </c>
      <c r="G2928" s="41" t="s">
        <v>36</v>
      </c>
      <c r="H2928" s="12" t="s">
        <v>6234</v>
      </c>
      <c r="I2928" s="41" t="s">
        <v>7969</v>
      </c>
      <c r="M2928" s="41" t="e">
        <f>VLOOKUP(I2928,错误mRNA总表!D:I,6,FALSE)</f>
        <v>#N/A</v>
      </c>
    </row>
    <row r="2929" spans="1:13" x14ac:dyDescent="0.2">
      <c r="A2929" s="12" t="s">
        <v>5403</v>
      </c>
      <c r="B2929" s="12" t="s">
        <v>3984</v>
      </c>
      <c r="C2929" s="12">
        <v>1266664</v>
      </c>
      <c r="D2929" s="12">
        <v>1268890</v>
      </c>
      <c r="E2929" s="12" t="s">
        <v>3940</v>
      </c>
      <c r="F2929" s="12">
        <v>1</v>
      </c>
      <c r="H2929" s="12" t="s">
        <v>6235</v>
      </c>
      <c r="I2929" s="41" t="s">
        <v>7970</v>
      </c>
      <c r="M2929" s="41" t="e">
        <f>VLOOKUP(I2929,错误mRNA总表!D:I,6,FALSE)</f>
        <v>#N/A</v>
      </c>
    </row>
    <row r="2930" spans="1:13" x14ac:dyDescent="0.2">
      <c r="A2930" s="12" t="s">
        <v>5403</v>
      </c>
      <c r="B2930" s="12" t="s">
        <v>3984</v>
      </c>
      <c r="C2930" s="12">
        <v>1266664</v>
      </c>
      <c r="D2930" s="12">
        <v>1268914</v>
      </c>
      <c r="E2930" s="12" t="s">
        <v>3943</v>
      </c>
      <c r="F2930" s="12">
        <v>2</v>
      </c>
      <c r="H2930" s="12" t="s">
        <v>6235</v>
      </c>
      <c r="I2930" s="41" t="s">
        <v>7970</v>
      </c>
      <c r="M2930" s="41" t="e">
        <f>VLOOKUP(I2930,错误mRNA总表!D:I,6,FALSE)</f>
        <v>#N/A</v>
      </c>
    </row>
    <row r="2931" spans="1:13" x14ac:dyDescent="0.2">
      <c r="A2931" s="12" t="s">
        <v>5404</v>
      </c>
      <c r="B2931" s="12" t="s">
        <v>3957</v>
      </c>
      <c r="C2931" s="12">
        <v>76745385</v>
      </c>
      <c r="D2931" s="12">
        <v>76751541</v>
      </c>
      <c r="E2931" s="12" t="s">
        <v>3943</v>
      </c>
      <c r="F2931" s="12">
        <v>1</v>
      </c>
      <c r="G2931" s="41" t="s">
        <v>36</v>
      </c>
      <c r="H2931" s="12" t="s">
        <v>966</v>
      </c>
      <c r="I2931" s="41" t="s">
        <v>7971</v>
      </c>
      <c r="J2931" s="41" t="s">
        <v>2269</v>
      </c>
      <c r="K2931" s="41" t="str">
        <f>VLOOKUP(J2931,错误mRNA总表!D:J,7,FALSE)</f>
        <v>纠后正确,版本不一致，utr略有变化，少1个氨基酸chr11:76751589-76751753</v>
      </c>
      <c r="M2931" s="41" t="e">
        <f>VLOOKUP(I2931,错误mRNA总表!D:I,6,FALSE)</f>
        <v>#N/A</v>
      </c>
    </row>
    <row r="2932" spans="1:13" x14ac:dyDescent="0.2">
      <c r="A2932" s="12" t="s">
        <v>5404</v>
      </c>
      <c r="B2932" s="12" t="s">
        <v>3957</v>
      </c>
      <c r="C2932" s="12">
        <v>76745385</v>
      </c>
      <c r="D2932" s="12">
        <v>76751584</v>
      </c>
      <c r="E2932" s="12" t="s">
        <v>3943</v>
      </c>
      <c r="F2932" s="12">
        <v>1</v>
      </c>
      <c r="G2932" s="41" t="s">
        <v>36</v>
      </c>
      <c r="H2932" s="12" t="s">
        <v>966</v>
      </c>
      <c r="I2932" s="41" t="s">
        <v>7971</v>
      </c>
      <c r="J2932" s="41" t="s">
        <v>2269</v>
      </c>
      <c r="K2932" s="41" t="str">
        <f>VLOOKUP(J2932,错误mRNA总表!D:J,7,FALSE)</f>
        <v>纠后正确,版本不一致，utr略有变化，少1个氨基酸chr11:76751589-76751753</v>
      </c>
      <c r="M2932" s="41" t="e">
        <f>VLOOKUP(I2932,错误mRNA总表!D:I,6,FALSE)</f>
        <v>#N/A</v>
      </c>
    </row>
    <row r="2933" spans="1:13" x14ac:dyDescent="0.2">
      <c r="A2933" s="12" t="s">
        <v>5404</v>
      </c>
      <c r="B2933" s="12" t="s">
        <v>3957</v>
      </c>
      <c r="C2933" s="12">
        <v>76745385</v>
      </c>
      <c r="D2933" s="12">
        <v>76751603</v>
      </c>
      <c r="E2933" s="12" t="s">
        <v>3943</v>
      </c>
      <c r="F2933" s="12">
        <v>1</v>
      </c>
      <c r="G2933" s="41" t="s">
        <v>36</v>
      </c>
      <c r="H2933" s="12" t="s">
        <v>966</v>
      </c>
      <c r="I2933" s="41" t="s">
        <v>7971</v>
      </c>
      <c r="J2933" s="41" t="s">
        <v>2269</v>
      </c>
      <c r="K2933" s="41" t="str">
        <f>VLOOKUP(J2933,错误mRNA总表!D:J,7,FALSE)</f>
        <v>纠后正确,版本不一致，utr略有变化，少1个氨基酸chr11:76751589-76751753</v>
      </c>
      <c r="M2933" s="41" t="e">
        <f>VLOOKUP(I2933,错误mRNA总表!D:I,6,FALSE)</f>
        <v>#N/A</v>
      </c>
    </row>
    <row r="2934" spans="1:13" x14ac:dyDescent="0.2">
      <c r="A2934" s="12" t="s">
        <v>4091</v>
      </c>
      <c r="B2934" s="12" t="s">
        <v>3989</v>
      </c>
      <c r="C2934" s="12">
        <v>3500238</v>
      </c>
      <c r="D2934" s="12">
        <v>3501033</v>
      </c>
      <c r="E2934" s="12" t="s">
        <v>3940</v>
      </c>
      <c r="F2934" s="12">
        <v>3</v>
      </c>
      <c r="H2934" s="12" t="s">
        <v>3578</v>
      </c>
      <c r="I2934" s="41" t="s">
        <v>7972</v>
      </c>
      <c r="M2934" s="41" t="e">
        <f>VLOOKUP(I2934,错误mRNA总表!D:I,6,FALSE)</f>
        <v>#N/A</v>
      </c>
    </row>
    <row r="2935" spans="1:13" x14ac:dyDescent="0.2">
      <c r="A2935" s="12" t="s">
        <v>4091</v>
      </c>
      <c r="B2935" s="12" t="s">
        <v>3989</v>
      </c>
      <c r="C2935" s="12">
        <v>3500238</v>
      </c>
      <c r="D2935" s="12">
        <v>3501200</v>
      </c>
      <c r="E2935" s="12" t="s">
        <v>3943</v>
      </c>
      <c r="F2935" s="12">
        <v>1</v>
      </c>
      <c r="H2935" s="12" t="s">
        <v>3578</v>
      </c>
      <c r="I2935" s="41" t="s">
        <v>7972</v>
      </c>
      <c r="M2935" s="41" t="e">
        <f>VLOOKUP(I2935,错误mRNA总表!D:I,6,FALSE)</f>
        <v>#N/A</v>
      </c>
    </row>
    <row r="2936" spans="1:13" x14ac:dyDescent="0.2">
      <c r="A2936" s="12" t="s">
        <v>5405</v>
      </c>
      <c r="B2936" s="12" t="s">
        <v>3957</v>
      </c>
      <c r="C2936" s="12">
        <v>111807927</v>
      </c>
      <c r="D2936" s="12">
        <v>111853108</v>
      </c>
      <c r="E2936" s="12" t="s">
        <v>3940</v>
      </c>
      <c r="F2936" s="12">
        <v>1</v>
      </c>
      <c r="G2936" s="41" t="s">
        <v>36</v>
      </c>
      <c r="H2936" s="12" t="s">
        <v>68</v>
      </c>
      <c r="I2936" s="41" t="s">
        <v>2091</v>
      </c>
      <c r="J2936" s="41" t="s">
        <v>2091</v>
      </c>
      <c r="K2936" s="41" t="str">
        <f>VLOOKUP(J2936,错误mRNA总表!D:J,7,FALSE)</f>
        <v>纠后正确，utr略有变化，版本不一致</v>
      </c>
      <c r="L2936" s="41" t="s">
        <v>3899</v>
      </c>
      <c r="M2936" s="41">
        <f>VLOOKUP(I2936,错误mRNA总表!D:I,6,FALSE)</f>
        <v>0</v>
      </c>
    </row>
    <row r="2937" spans="1:13" x14ac:dyDescent="0.2">
      <c r="A2937" s="12" t="s">
        <v>4186</v>
      </c>
      <c r="B2937" s="12" t="s">
        <v>3989</v>
      </c>
      <c r="C2937" s="12">
        <v>1186707</v>
      </c>
      <c r="D2937" s="12">
        <v>1186936</v>
      </c>
      <c r="E2937" s="12" t="s">
        <v>3940</v>
      </c>
      <c r="F2937" s="12">
        <v>12</v>
      </c>
      <c r="H2937" s="12" t="s">
        <v>6398</v>
      </c>
      <c r="I2937" s="41" t="s">
        <v>7973</v>
      </c>
      <c r="M2937" s="41" t="e">
        <f>VLOOKUP(I2937,错误mRNA总表!D:I,6,FALSE)</f>
        <v>#N/A</v>
      </c>
    </row>
    <row r="2938" spans="1:13" x14ac:dyDescent="0.2">
      <c r="A2938" s="12" t="s">
        <v>4186</v>
      </c>
      <c r="B2938" s="12" t="s">
        <v>3989</v>
      </c>
      <c r="C2938" s="12">
        <v>1186707</v>
      </c>
      <c r="D2938" s="12">
        <v>1188457</v>
      </c>
      <c r="E2938" s="12" t="s">
        <v>3940</v>
      </c>
      <c r="F2938" s="12">
        <v>1</v>
      </c>
      <c r="H2938" s="12" t="s">
        <v>6398</v>
      </c>
      <c r="I2938" s="41" t="s">
        <v>7973</v>
      </c>
      <c r="M2938" s="41" t="e">
        <f>VLOOKUP(I2938,错误mRNA总表!D:I,6,FALSE)</f>
        <v>#N/A</v>
      </c>
    </row>
    <row r="2939" spans="1:13" x14ac:dyDescent="0.2">
      <c r="A2939" s="12" t="s">
        <v>4186</v>
      </c>
      <c r="B2939" s="12" t="s">
        <v>3989</v>
      </c>
      <c r="C2939" s="12">
        <v>1186707</v>
      </c>
      <c r="D2939" s="12">
        <v>1188580</v>
      </c>
      <c r="E2939" s="12" t="s">
        <v>3940</v>
      </c>
      <c r="F2939" s="12">
        <v>1</v>
      </c>
      <c r="H2939" s="12" t="s">
        <v>6398</v>
      </c>
      <c r="I2939" s="41" t="s">
        <v>7973</v>
      </c>
      <c r="M2939" s="41" t="e">
        <f>VLOOKUP(I2939,错误mRNA总表!D:I,6,FALSE)</f>
        <v>#N/A</v>
      </c>
    </row>
    <row r="2940" spans="1:13" x14ac:dyDescent="0.2">
      <c r="A2940" s="12" t="s">
        <v>4186</v>
      </c>
      <c r="B2940" s="12" t="s">
        <v>3989</v>
      </c>
      <c r="C2940" s="12">
        <v>1186707</v>
      </c>
      <c r="D2940" s="12">
        <v>1189856</v>
      </c>
      <c r="E2940" s="12" t="s">
        <v>3940</v>
      </c>
      <c r="F2940" s="12">
        <v>4</v>
      </c>
      <c r="H2940" s="12" t="s">
        <v>6398</v>
      </c>
      <c r="I2940" s="41" t="s">
        <v>7973</v>
      </c>
      <c r="M2940" s="41" t="e">
        <f>VLOOKUP(I2940,错误mRNA总表!D:I,6,FALSE)</f>
        <v>#N/A</v>
      </c>
    </row>
    <row r="2941" spans="1:13" x14ac:dyDescent="0.2">
      <c r="A2941" s="12" t="s">
        <v>4947</v>
      </c>
      <c r="B2941" s="12" t="s">
        <v>3964</v>
      </c>
      <c r="C2941" s="12">
        <v>2508260</v>
      </c>
      <c r="D2941" s="12">
        <v>2513533</v>
      </c>
      <c r="E2941" s="12" t="s">
        <v>3943</v>
      </c>
      <c r="F2941" s="12">
        <v>1</v>
      </c>
      <c r="H2941" s="12" t="s">
        <v>3553</v>
      </c>
      <c r="I2941" s="41" t="s">
        <v>7974</v>
      </c>
      <c r="M2941" s="41" t="e">
        <f>VLOOKUP(I2941,错误mRNA总表!D:I,6,FALSE)</f>
        <v>#N/A</v>
      </c>
    </row>
    <row r="2942" spans="1:13" x14ac:dyDescent="0.2">
      <c r="A2942" s="12" t="s">
        <v>4019</v>
      </c>
      <c r="B2942" s="12" t="s">
        <v>3969</v>
      </c>
      <c r="C2942" s="12">
        <v>2429238</v>
      </c>
      <c r="D2942" s="12">
        <v>2431576</v>
      </c>
      <c r="E2942" s="12" t="s">
        <v>3940</v>
      </c>
      <c r="F2942" s="12">
        <v>1</v>
      </c>
      <c r="H2942" s="12" t="s">
        <v>670</v>
      </c>
      <c r="I2942" s="41" t="s">
        <v>7675</v>
      </c>
      <c r="J2942" s="41" t="s">
        <v>2607</v>
      </c>
      <c r="K2942" s="41" t="str">
        <f>VLOOKUP(J2942,错误mRNA总表!D:J,7,FALSE)</f>
        <v/>
      </c>
      <c r="M2942" s="41" t="e">
        <f>VLOOKUP(I2942,错误mRNA总表!D:I,6,FALSE)</f>
        <v>#N/A</v>
      </c>
    </row>
    <row r="2943" spans="1:13" x14ac:dyDescent="0.2">
      <c r="A2943" s="12" t="s">
        <v>4019</v>
      </c>
      <c r="B2943" s="12" t="s">
        <v>3969</v>
      </c>
      <c r="C2943" s="12">
        <v>2429238</v>
      </c>
      <c r="D2943" s="12">
        <v>2431857</v>
      </c>
      <c r="E2943" s="12" t="s">
        <v>3943</v>
      </c>
      <c r="F2943" s="12">
        <v>3</v>
      </c>
      <c r="H2943" s="12" t="s">
        <v>670</v>
      </c>
      <c r="I2943" s="41" t="s">
        <v>7675</v>
      </c>
      <c r="J2943" s="41" t="s">
        <v>2607</v>
      </c>
      <c r="K2943" s="41" t="str">
        <f>VLOOKUP(J2943,错误mRNA总表!D:J,7,FALSE)</f>
        <v/>
      </c>
      <c r="M2943" s="41" t="e">
        <f>VLOOKUP(I2943,错误mRNA总表!D:I,6,FALSE)</f>
        <v>#N/A</v>
      </c>
    </row>
    <row r="2944" spans="1:13" x14ac:dyDescent="0.2">
      <c r="A2944" s="12" t="s">
        <v>5406</v>
      </c>
      <c r="B2944" s="12" t="s">
        <v>5407</v>
      </c>
      <c r="C2944" s="12">
        <v>82188</v>
      </c>
      <c r="D2944" s="12">
        <v>137841</v>
      </c>
      <c r="E2944" s="12" t="s">
        <v>3940</v>
      </c>
      <c r="F2944" s="12">
        <v>21</v>
      </c>
      <c r="H2944" s="12" t="s">
        <v>6236</v>
      </c>
      <c r="I2944" s="41" t="s">
        <v>7975</v>
      </c>
      <c r="M2944" s="41" t="e">
        <f>VLOOKUP(I2944,错误mRNA总表!D:I,6,FALSE)</f>
        <v>#N/A</v>
      </c>
    </row>
    <row r="2945" spans="1:13" x14ac:dyDescent="0.2">
      <c r="A2945" s="12" t="s">
        <v>5406</v>
      </c>
      <c r="B2945" s="12" t="s">
        <v>5407</v>
      </c>
      <c r="C2945" s="12">
        <v>82188</v>
      </c>
      <c r="D2945" s="12">
        <v>151358</v>
      </c>
      <c r="E2945" s="12" t="s">
        <v>3943</v>
      </c>
      <c r="F2945" s="12">
        <v>2</v>
      </c>
      <c r="H2945" s="12" t="s">
        <v>6236</v>
      </c>
      <c r="I2945" s="41" t="s">
        <v>7975</v>
      </c>
      <c r="M2945" s="41" t="e">
        <f>VLOOKUP(I2945,错误mRNA总表!D:I,6,FALSE)</f>
        <v>#N/A</v>
      </c>
    </row>
    <row r="2946" spans="1:13" x14ac:dyDescent="0.2">
      <c r="A2946" s="12" t="s">
        <v>5406</v>
      </c>
      <c r="B2946" s="12" t="s">
        <v>5407</v>
      </c>
      <c r="C2946" s="12">
        <v>82188</v>
      </c>
      <c r="D2946" s="12">
        <v>123275</v>
      </c>
      <c r="E2946" s="12" t="s">
        <v>3940</v>
      </c>
      <c r="F2946" s="12">
        <v>140</v>
      </c>
      <c r="H2946" s="12" t="s">
        <v>6236</v>
      </c>
      <c r="I2946" s="41" t="s">
        <v>7975</v>
      </c>
      <c r="M2946" s="41" t="e">
        <f>VLOOKUP(I2946,错误mRNA总表!D:I,6,FALSE)</f>
        <v>#N/A</v>
      </c>
    </row>
    <row r="2947" spans="1:13" x14ac:dyDescent="0.2">
      <c r="A2947" s="12" t="s">
        <v>5406</v>
      </c>
      <c r="B2947" s="12" t="s">
        <v>5407</v>
      </c>
      <c r="C2947" s="12">
        <v>82188</v>
      </c>
      <c r="D2947" s="12">
        <v>120826</v>
      </c>
      <c r="E2947" s="12" t="s">
        <v>3940</v>
      </c>
      <c r="F2947" s="12">
        <v>26</v>
      </c>
      <c r="H2947" s="12" t="s">
        <v>6236</v>
      </c>
      <c r="I2947" s="41" t="s">
        <v>7975</v>
      </c>
      <c r="M2947" s="41" t="e">
        <f>VLOOKUP(I2947,错误mRNA总表!D:I,6,FALSE)</f>
        <v>#N/A</v>
      </c>
    </row>
    <row r="2948" spans="1:13" x14ac:dyDescent="0.2">
      <c r="A2948" s="12" t="s">
        <v>5406</v>
      </c>
      <c r="B2948" s="12" t="s">
        <v>5407</v>
      </c>
      <c r="C2948" s="12">
        <v>82188</v>
      </c>
      <c r="D2948" s="12">
        <v>123263</v>
      </c>
      <c r="E2948" s="12" t="s">
        <v>3943</v>
      </c>
      <c r="F2948" s="12">
        <v>2</v>
      </c>
      <c r="H2948" s="12" t="s">
        <v>6236</v>
      </c>
      <c r="I2948" s="41" t="s">
        <v>7975</v>
      </c>
      <c r="M2948" s="41" t="e">
        <f>VLOOKUP(I2948,错误mRNA总表!D:I,6,FALSE)</f>
        <v>#N/A</v>
      </c>
    </row>
    <row r="2949" spans="1:13" x14ac:dyDescent="0.2">
      <c r="A2949" s="12" t="s">
        <v>5406</v>
      </c>
      <c r="B2949" s="12" t="s">
        <v>5407</v>
      </c>
      <c r="C2949" s="12">
        <v>82188</v>
      </c>
      <c r="D2949" s="12">
        <v>118286</v>
      </c>
      <c r="E2949" s="12" t="s">
        <v>3940</v>
      </c>
      <c r="F2949" s="12">
        <v>17</v>
      </c>
      <c r="H2949" s="12" t="s">
        <v>6236</v>
      </c>
      <c r="I2949" s="41" t="s">
        <v>7975</v>
      </c>
      <c r="M2949" s="41" t="e">
        <f>VLOOKUP(I2949,错误mRNA总表!D:I,6,FALSE)</f>
        <v>#N/A</v>
      </c>
    </row>
    <row r="2950" spans="1:13" x14ac:dyDescent="0.2">
      <c r="A2950" s="12" t="s">
        <v>5406</v>
      </c>
      <c r="B2950" s="12" t="s">
        <v>5407</v>
      </c>
      <c r="C2950" s="12">
        <v>82188</v>
      </c>
      <c r="D2950" s="12">
        <v>120817</v>
      </c>
      <c r="E2950" s="12" t="s">
        <v>3943</v>
      </c>
      <c r="F2950" s="12">
        <v>2</v>
      </c>
      <c r="H2950" s="12" t="s">
        <v>6236</v>
      </c>
      <c r="I2950" s="41" t="s">
        <v>7975</v>
      </c>
      <c r="M2950" s="41" t="e">
        <f>VLOOKUP(I2950,错误mRNA总表!D:I,6,FALSE)</f>
        <v>#N/A</v>
      </c>
    </row>
    <row r="2951" spans="1:13" x14ac:dyDescent="0.2">
      <c r="A2951" s="12" t="s">
        <v>4499</v>
      </c>
      <c r="B2951" s="12" t="s">
        <v>3952</v>
      </c>
      <c r="C2951" s="12">
        <v>165232</v>
      </c>
      <c r="D2951" s="12">
        <v>169304</v>
      </c>
      <c r="E2951" s="12" t="s">
        <v>3940</v>
      </c>
      <c r="F2951" s="12">
        <v>3</v>
      </c>
      <c r="H2951" s="12" t="s">
        <v>3650</v>
      </c>
      <c r="I2951" s="41" t="s">
        <v>6637</v>
      </c>
      <c r="M2951" s="41" t="e">
        <f>VLOOKUP(I2951,错误mRNA总表!D:I,6,FALSE)</f>
        <v>#N/A</v>
      </c>
    </row>
    <row r="2952" spans="1:13" x14ac:dyDescent="0.2">
      <c r="A2952" s="12" t="s">
        <v>5408</v>
      </c>
      <c r="B2952" s="12" t="s">
        <v>3986</v>
      </c>
      <c r="C2952" s="12">
        <v>21264953</v>
      </c>
      <c r="D2952" s="12">
        <v>21299776</v>
      </c>
      <c r="E2952" s="12" t="s">
        <v>3940</v>
      </c>
      <c r="F2952" s="12">
        <v>3</v>
      </c>
      <c r="G2952" s="41" t="s">
        <v>50</v>
      </c>
      <c r="H2952" s="12" t="s">
        <v>6237</v>
      </c>
      <c r="I2952" s="41" t="s">
        <v>7976</v>
      </c>
      <c r="M2952" s="41" t="e">
        <f>VLOOKUP(I2952,错误mRNA总表!D:I,6,FALSE)</f>
        <v>#N/A</v>
      </c>
    </row>
    <row r="2953" spans="1:13" x14ac:dyDescent="0.2">
      <c r="A2953" s="12" t="s">
        <v>5409</v>
      </c>
      <c r="B2953" s="12" t="s">
        <v>3939</v>
      </c>
      <c r="C2953" s="12">
        <v>52780281</v>
      </c>
      <c r="D2953" s="12">
        <v>52790461</v>
      </c>
      <c r="E2953" s="12" t="s">
        <v>3943</v>
      </c>
      <c r="F2953" s="12">
        <v>4</v>
      </c>
      <c r="G2953" s="41" t="s">
        <v>73</v>
      </c>
      <c r="H2953" s="12" t="s">
        <v>3696</v>
      </c>
      <c r="I2953" s="41" t="s">
        <v>7977</v>
      </c>
      <c r="M2953" s="41" t="e">
        <f>VLOOKUP(I2953,错误mRNA总表!D:I,6,FALSE)</f>
        <v>#N/A</v>
      </c>
    </row>
    <row r="2954" spans="1:13" x14ac:dyDescent="0.2">
      <c r="A2954" s="12" t="s">
        <v>5090</v>
      </c>
      <c r="B2954" s="12" t="s">
        <v>3969</v>
      </c>
      <c r="C2954" s="12">
        <v>928111</v>
      </c>
      <c r="D2954" s="12">
        <v>943463</v>
      </c>
      <c r="E2954" s="12" t="s">
        <v>3943</v>
      </c>
      <c r="F2954" s="12">
        <v>4</v>
      </c>
      <c r="H2954" s="12" t="s">
        <v>3523</v>
      </c>
      <c r="I2954" s="41" t="s">
        <v>7978</v>
      </c>
      <c r="M2954" s="41" t="e">
        <f>VLOOKUP(I2954,错误mRNA总表!D:I,6,FALSE)</f>
        <v>#N/A</v>
      </c>
    </row>
    <row r="2955" spans="1:13" x14ac:dyDescent="0.2">
      <c r="A2955" s="12" t="s">
        <v>3959</v>
      </c>
      <c r="B2955" s="12" t="s">
        <v>4942</v>
      </c>
      <c r="C2955" s="12">
        <v>165232</v>
      </c>
      <c r="D2955" s="12">
        <v>169309</v>
      </c>
      <c r="E2955" s="12" t="s">
        <v>3943</v>
      </c>
      <c r="F2955" s="12">
        <v>3</v>
      </c>
      <c r="H2955" s="12" t="s">
        <v>3650</v>
      </c>
      <c r="I2955" s="41" t="s">
        <v>6637</v>
      </c>
      <c r="M2955" s="41" t="e">
        <f>VLOOKUP(I2955,错误mRNA总表!D:I,6,FALSE)</f>
        <v>#N/A</v>
      </c>
    </row>
    <row r="2956" spans="1:13" x14ac:dyDescent="0.2">
      <c r="A2956" s="12" t="s">
        <v>5410</v>
      </c>
      <c r="B2956" s="12" t="s">
        <v>3994</v>
      </c>
      <c r="C2956" s="12">
        <v>2307538</v>
      </c>
      <c r="D2956" s="12">
        <v>2307663</v>
      </c>
      <c r="E2956" s="12" t="s">
        <v>3943</v>
      </c>
      <c r="F2956" s="12">
        <v>1</v>
      </c>
      <c r="H2956" s="12" t="s">
        <v>3551</v>
      </c>
      <c r="I2956" s="41" t="s">
        <v>7979</v>
      </c>
      <c r="M2956" s="41" t="e">
        <f>VLOOKUP(I2956,错误mRNA总表!D:I,6,FALSE)</f>
        <v>#N/A</v>
      </c>
    </row>
    <row r="2957" spans="1:13" x14ac:dyDescent="0.2">
      <c r="A2957" s="12" t="s">
        <v>5411</v>
      </c>
      <c r="B2957" s="12" t="s">
        <v>4124</v>
      </c>
      <c r="C2957" s="12">
        <v>79740060</v>
      </c>
      <c r="D2957" s="12">
        <v>79740208</v>
      </c>
      <c r="E2957" s="12" t="s">
        <v>3940</v>
      </c>
      <c r="F2957" s="12">
        <v>1</v>
      </c>
      <c r="G2957" s="41" t="s">
        <v>1</v>
      </c>
      <c r="H2957" s="12" t="s">
        <v>6238</v>
      </c>
      <c r="I2957" s="41" t="s">
        <v>7980</v>
      </c>
      <c r="M2957" s="41" t="e">
        <f>VLOOKUP(I2957,错误mRNA总表!D:I,6,FALSE)</f>
        <v>#N/A</v>
      </c>
    </row>
    <row r="2958" spans="1:13" x14ac:dyDescent="0.2">
      <c r="A2958" s="12" t="s">
        <v>5412</v>
      </c>
      <c r="B2958" s="12" t="s">
        <v>3946</v>
      </c>
      <c r="C2958" s="12">
        <v>26673654</v>
      </c>
      <c r="D2958" s="12">
        <v>26684390</v>
      </c>
      <c r="E2958" s="12" t="s">
        <v>3940</v>
      </c>
      <c r="F2958" s="12">
        <v>1</v>
      </c>
      <c r="G2958" s="41" t="s">
        <v>47</v>
      </c>
      <c r="H2958" s="12" t="s">
        <v>6239</v>
      </c>
      <c r="I2958" s="41" t="s">
        <v>7981</v>
      </c>
      <c r="M2958" s="41" t="e">
        <f>VLOOKUP(I2958,错误mRNA总表!D:I,6,FALSE)</f>
        <v>#N/A</v>
      </c>
    </row>
    <row r="2959" spans="1:13" x14ac:dyDescent="0.2">
      <c r="A2959" s="12" t="s">
        <v>5412</v>
      </c>
      <c r="B2959" s="12" t="s">
        <v>3946</v>
      </c>
      <c r="C2959" s="12">
        <v>26673654</v>
      </c>
      <c r="D2959" s="12">
        <v>26684529</v>
      </c>
      <c r="E2959" s="12" t="s">
        <v>3940</v>
      </c>
      <c r="F2959" s="12">
        <v>2</v>
      </c>
      <c r="G2959" s="41" t="s">
        <v>47</v>
      </c>
      <c r="H2959" s="12" t="s">
        <v>6239</v>
      </c>
      <c r="I2959" s="41" t="s">
        <v>7981</v>
      </c>
      <c r="M2959" s="41" t="e">
        <f>VLOOKUP(I2959,错误mRNA总表!D:I,6,FALSE)</f>
        <v>#N/A</v>
      </c>
    </row>
    <row r="2960" spans="1:13" x14ac:dyDescent="0.2">
      <c r="A2960" s="12" t="s">
        <v>5413</v>
      </c>
      <c r="B2960" s="12" t="s">
        <v>4012</v>
      </c>
      <c r="C2960" s="12">
        <v>135800</v>
      </c>
      <c r="D2960" s="12">
        <v>138772</v>
      </c>
      <c r="E2960" s="12" t="s">
        <v>3940</v>
      </c>
      <c r="F2960" s="12">
        <v>1</v>
      </c>
      <c r="G2960" s="41" t="s">
        <v>121</v>
      </c>
      <c r="H2960" s="12" t="s">
        <v>192</v>
      </c>
      <c r="I2960" s="41" t="s">
        <v>2179</v>
      </c>
      <c r="J2960" s="41" t="s">
        <v>2179</v>
      </c>
      <c r="K2960" s="41" t="str">
        <f>VLOOKUP(J2960,错误mRNA总表!D:J,7,FALSE)</f>
        <v>纠后正确</v>
      </c>
      <c r="L2960" s="41" t="s">
        <v>3763</v>
      </c>
      <c r="M2960" s="41">
        <f>VLOOKUP(I2960,错误mRNA总表!D:I,6,FALSE)</f>
        <v>0</v>
      </c>
    </row>
    <row r="2961" spans="1:13" x14ac:dyDescent="0.2">
      <c r="A2961" s="12" t="s">
        <v>5414</v>
      </c>
      <c r="B2961" s="12" t="s">
        <v>3978</v>
      </c>
      <c r="C2961" s="12">
        <v>52870772</v>
      </c>
      <c r="D2961" s="12">
        <v>52872000</v>
      </c>
      <c r="E2961" s="12" t="s">
        <v>3943</v>
      </c>
      <c r="F2961" s="12">
        <v>18</v>
      </c>
      <c r="G2961" s="41" t="s">
        <v>86</v>
      </c>
      <c r="H2961" s="12" t="s">
        <v>6463</v>
      </c>
      <c r="I2961" s="41" t="s">
        <v>7982</v>
      </c>
      <c r="M2961" s="41" t="e">
        <f>VLOOKUP(I2961,错误mRNA总表!D:I,6,FALSE)</f>
        <v>#N/A</v>
      </c>
    </row>
    <row r="2962" spans="1:13" x14ac:dyDescent="0.2">
      <c r="A2962" s="12" t="s">
        <v>5414</v>
      </c>
      <c r="B2962" s="12" t="s">
        <v>3978</v>
      </c>
      <c r="C2962" s="12">
        <v>52870772</v>
      </c>
      <c r="D2962" s="12">
        <v>52872823</v>
      </c>
      <c r="E2962" s="12" t="s">
        <v>3940</v>
      </c>
      <c r="F2962" s="12">
        <v>1</v>
      </c>
      <c r="G2962" s="41" t="s">
        <v>86</v>
      </c>
      <c r="H2962" s="12" t="s">
        <v>6463</v>
      </c>
      <c r="I2962" s="41" t="s">
        <v>7982</v>
      </c>
      <c r="M2962" s="41" t="e">
        <f>VLOOKUP(I2962,错误mRNA总表!D:I,6,FALSE)</f>
        <v>#N/A</v>
      </c>
    </row>
    <row r="2963" spans="1:13" x14ac:dyDescent="0.2">
      <c r="A2963" s="12" t="s">
        <v>5414</v>
      </c>
      <c r="B2963" s="12" t="s">
        <v>3978</v>
      </c>
      <c r="C2963" s="12">
        <v>52870772</v>
      </c>
      <c r="D2963" s="12">
        <v>52873075</v>
      </c>
      <c r="E2963" s="12" t="s">
        <v>3943</v>
      </c>
      <c r="F2963" s="12">
        <v>2</v>
      </c>
      <c r="G2963" s="41" t="s">
        <v>86</v>
      </c>
      <c r="H2963" s="12" t="s">
        <v>6463</v>
      </c>
      <c r="I2963" s="41" t="s">
        <v>7982</v>
      </c>
      <c r="M2963" s="41" t="e">
        <f>VLOOKUP(I2963,错误mRNA总表!D:I,6,FALSE)</f>
        <v>#N/A</v>
      </c>
    </row>
    <row r="2964" spans="1:13" x14ac:dyDescent="0.2">
      <c r="A2964" s="12" t="s">
        <v>5415</v>
      </c>
      <c r="B2964" s="12" t="s">
        <v>4052</v>
      </c>
      <c r="C2964" s="12">
        <v>49893518</v>
      </c>
      <c r="D2964" s="12">
        <v>50190934</v>
      </c>
      <c r="E2964" s="12" t="s">
        <v>3940</v>
      </c>
      <c r="F2964" s="12">
        <v>1</v>
      </c>
      <c r="G2964" s="41" t="s">
        <v>93</v>
      </c>
      <c r="H2964" s="12" t="s">
        <v>6240</v>
      </c>
      <c r="I2964" s="41" t="s">
        <v>7983</v>
      </c>
      <c r="M2964" s="41" t="e">
        <f>VLOOKUP(I2964,错误mRNA总表!D:I,6,FALSE)</f>
        <v>#N/A</v>
      </c>
    </row>
    <row r="2965" spans="1:13" x14ac:dyDescent="0.2">
      <c r="A2965" s="12" t="s">
        <v>5416</v>
      </c>
      <c r="B2965" s="12" t="s">
        <v>4004</v>
      </c>
      <c r="C2965" s="12">
        <v>144939492</v>
      </c>
      <c r="D2965" s="12">
        <v>144940300</v>
      </c>
      <c r="E2965" s="12" t="s">
        <v>3940</v>
      </c>
      <c r="F2965" s="12">
        <v>8004</v>
      </c>
      <c r="G2965" s="41" t="s">
        <v>103</v>
      </c>
      <c r="H2965" s="12" t="s">
        <v>803</v>
      </c>
      <c r="I2965" s="41" t="s">
        <v>7226</v>
      </c>
      <c r="J2965" s="41" t="s">
        <v>2258</v>
      </c>
      <c r="K2965" s="41" t="str">
        <f>VLOOKUP(J2965,错误mRNA总表!D:J,7,FALSE)</f>
        <v>纠后正确，版本不一致，区间有变化，加2668个氨基酸chr8:144940159-144940299</v>
      </c>
      <c r="M2965" s="41" t="e">
        <f>VLOOKUP(I2965,错误mRNA总表!D:I,6,FALSE)</f>
        <v>#N/A</v>
      </c>
    </row>
    <row r="2966" spans="1:13" x14ac:dyDescent="0.2">
      <c r="A2966" s="12" t="s">
        <v>5416</v>
      </c>
      <c r="B2966" s="12" t="s">
        <v>4004</v>
      </c>
      <c r="C2966" s="12">
        <v>144939492</v>
      </c>
      <c r="D2966" s="12">
        <v>144940069</v>
      </c>
      <c r="E2966" s="12" t="s">
        <v>3940</v>
      </c>
      <c r="F2966" s="12">
        <v>1</v>
      </c>
      <c r="G2966" s="41" t="s">
        <v>103</v>
      </c>
      <c r="H2966" s="12" t="s">
        <v>803</v>
      </c>
      <c r="I2966" s="41" t="s">
        <v>7226</v>
      </c>
      <c r="J2966" s="41" t="s">
        <v>2258</v>
      </c>
      <c r="K2966" s="41" t="str">
        <f>VLOOKUP(J2966,错误mRNA总表!D:J,7,FALSE)</f>
        <v>纠后正确，版本不一致，区间有变化，加2668个氨基酸chr8:144940159-144940299</v>
      </c>
      <c r="M2966" s="41" t="e">
        <f>VLOOKUP(I2966,错误mRNA总表!D:I,6,FALSE)</f>
        <v>#N/A</v>
      </c>
    </row>
    <row r="2967" spans="1:13" x14ac:dyDescent="0.2">
      <c r="A2967" s="12" t="s">
        <v>5417</v>
      </c>
      <c r="B2967" s="12" t="s">
        <v>4004</v>
      </c>
      <c r="C2967" s="12">
        <v>104311059</v>
      </c>
      <c r="D2967" s="12">
        <v>104343941</v>
      </c>
      <c r="E2967" s="12" t="s">
        <v>3943</v>
      </c>
      <c r="F2967" s="12">
        <v>1</v>
      </c>
      <c r="G2967" s="41" t="s">
        <v>103</v>
      </c>
      <c r="H2967" s="12" t="s">
        <v>6545</v>
      </c>
      <c r="I2967" s="41" t="s">
        <v>7984</v>
      </c>
      <c r="M2967" s="41" t="e">
        <f>VLOOKUP(I2967,错误mRNA总表!D:I,6,FALSE)</f>
        <v>#N/A</v>
      </c>
    </row>
    <row r="2968" spans="1:13" x14ac:dyDescent="0.2">
      <c r="A2968" s="12" t="s">
        <v>5418</v>
      </c>
      <c r="B2968" s="12" t="s">
        <v>3939</v>
      </c>
      <c r="C2968" s="12">
        <v>148626066</v>
      </c>
      <c r="D2968" s="12">
        <v>148636745</v>
      </c>
      <c r="E2968" s="12" t="s">
        <v>3940</v>
      </c>
      <c r="F2968" s="12">
        <v>1</v>
      </c>
      <c r="G2968" s="41" t="s">
        <v>73</v>
      </c>
      <c r="H2968" s="12" t="s">
        <v>1402</v>
      </c>
      <c r="I2968" s="41" t="s">
        <v>3204</v>
      </c>
      <c r="J2968" s="41" t="s">
        <v>3204</v>
      </c>
      <c r="K2968" s="41" t="str">
        <f>VLOOKUP(J2968,错误mRNA总表!D:J,7,FALSE)</f>
        <v/>
      </c>
      <c r="M2968" s="41">
        <f>VLOOKUP(I2968,错误mRNA总表!D:I,6,FALSE)</f>
        <v>0</v>
      </c>
    </row>
    <row r="2969" spans="1:13" x14ac:dyDescent="0.2">
      <c r="A2969" s="12" t="s">
        <v>4484</v>
      </c>
      <c r="B2969" s="12" t="s">
        <v>4098</v>
      </c>
      <c r="C2969" s="12">
        <v>248816</v>
      </c>
      <c r="D2969" s="12">
        <v>248851</v>
      </c>
      <c r="E2969" s="12" t="s">
        <v>3940</v>
      </c>
      <c r="F2969" s="12">
        <v>2</v>
      </c>
      <c r="H2969" s="12" t="s">
        <v>3654</v>
      </c>
      <c r="I2969" s="41" t="s">
        <v>7753</v>
      </c>
      <c r="M2969" s="41" t="e">
        <f>VLOOKUP(I2969,错误mRNA总表!D:I,6,FALSE)</f>
        <v>#N/A</v>
      </c>
    </row>
    <row r="2970" spans="1:13" x14ac:dyDescent="0.2">
      <c r="A2970" s="12" t="s">
        <v>5419</v>
      </c>
      <c r="B2970" s="12" t="s">
        <v>4066</v>
      </c>
      <c r="C2970" s="12">
        <v>5899965</v>
      </c>
      <c r="D2970" s="12">
        <v>5900210</v>
      </c>
      <c r="E2970" s="12" t="s">
        <v>3943</v>
      </c>
      <c r="F2970" s="12">
        <v>1</v>
      </c>
      <c r="H2970" s="12" t="s">
        <v>6464</v>
      </c>
      <c r="I2970" s="41" t="s">
        <v>7985</v>
      </c>
      <c r="M2970" s="41" t="e">
        <f>VLOOKUP(I2970,错误mRNA总表!D:I,6,FALSE)</f>
        <v>#N/A</v>
      </c>
    </row>
    <row r="2971" spans="1:13" x14ac:dyDescent="0.2">
      <c r="A2971" s="12" t="s">
        <v>5419</v>
      </c>
      <c r="B2971" s="12" t="s">
        <v>4066</v>
      </c>
      <c r="C2971" s="12">
        <v>5899965</v>
      </c>
      <c r="D2971" s="12">
        <v>5900631</v>
      </c>
      <c r="E2971" s="12" t="s">
        <v>3940</v>
      </c>
      <c r="F2971" s="12">
        <v>3</v>
      </c>
      <c r="H2971" s="12" t="s">
        <v>6464</v>
      </c>
      <c r="I2971" s="41" t="s">
        <v>7985</v>
      </c>
      <c r="M2971" s="41" t="e">
        <f>VLOOKUP(I2971,错误mRNA总表!D:I,6,FALSE)</f>
        <v>#N/A</v>
      </c>
    </row>
    <row r="2972" spans="1:13" x14ac:dyDescent="0.2">
      <c r="A2972" s="12" t="s">
        <v>5419</v>
      </c>
      <c r="B2972" s="12" t="s">
        <v>4066</v>
      </c>
      <c r="C2972" s="12">
        <v>5899965</v>
      </c>
      <c r="D2972" s="12">
        <v>5900674</v>
      </c>
      <c r="E2972" s="12" t="s">
        <v>3943</v>
      </c>
      <c r="F2972" s="12">
        <v>1</v>
      </c>
      <c r="H2972" s="12" t="s">
        <v>6464</v>
      </c>
      <c r="I2972" s="41" t="s">
        <v>7985</v>
      </c>
      <c r="M2972" s="41" t="e">
        <f>VLOOKUP(I2972,错误mRNA总表!D:I,6,FALSE)</f>
        <v>#N/A</v>
      </c>
    </row>
    <row r="2973" spans="1:13" x14ac:dyDescent="0.2">
      <c r="A2973" s="12" t="s">
        <v>5420</v>
      </c>
      <c r="B2973" s="12" t="s">
        <v>3973</v>
      </c>
      <c r="C2973" s="12">
        <v>60280533</v>
      </c>
      <c r="D2973" s="12">
        <v>60280749</v>
      </c>
      <c r="E2973" s="12" t="s">
        <v>3943</v>
      </c>
      <c r="F2973" s="12">
        <v>1</v>
      </c>
      <c r="G2973" s="41" t="s">
        <v>139</v>
      </c>
      <c r="H2973" s="12" t="s">
        <v>6590</v>
      </c>
      <c r="I2973" s="41" t="s">
        <v>7986</v>
      </c>
      <c r="M2973" s="41" t="e">
        <f>VLOOKUP(I2973,错误mRNA总表!D:I,6,FALSE)</f>
        <v>#N/A</v>
      </c>
    </row>
    <row r="2974" spans="1:13" x14ac:dyDescent="0.2">
      <c r="A2974" s="12" t="s">
        <v>5421</v>
      </c>
      <c r="B2974" s="12" t="s">
        <v>3954</v>
      </c>
      <c r="C2974" s="12">
        <v>53179</v>
      </c>
      <c r="D2974" s="12">
        <v>85997</v>
      </c>
      <c r="E2974" s="12" t="s">
        <v>3940</v>
      </c>
      <c r="F2974" s="12">
        <v>1</v>
      </c>
      <c r="G2974" s="41" t="s">
        <v>569</v>
      </c>
      <c r="H2974" s="12" t="s">
        <v>6241</v>
      </c>
      <c r="I2974" s="41" t="s">
        <v>7987</v>
      </c>
      <c r="M2974" s="41" t="e">
        <f>VLOOKUP(I2974,错误mRNA总表!D:I,6,FALSE)</f>
        <v>#N/A</v>
      </c>
    </row>
    <row r="2975" spans="1:13" x14ac:dyDescent="0.2">
      <c r="A2975" s="12" t="s">
        <v>5421</v>
      </c>
      <c r="B2975" s="12" t="s">
        <v>3954</v>
      </c>
      <c r="C2975" s="12">
        <v>53179</v>
      </c>
      <c r="D2975" s="12">
        <v>86017</v>
      </c>
      <c r="E2975" s="12" t="s">
        <v>3940</v>
      </c>
      <c r="F2975" s="12">
        <v>1</v>
      </c>
      <c r="G2975" s="41" t="s">
        <v>569</v>
      </c>
      <c r="H2975" s="12" t="s">
        <v>6241</v>
      </c>
      <c r="I2975" s="41" t="s">
        <v>7987</v>
      </c>
      <c r="M2975" s="41" t="e">
        <f>VLOOKUP(I2975,错误mRNA总表!D:I,6,FALSE)</f>
        <v>#N/A</v>
      </c>
    </row>
    <row r="2976" spans="1:13" x14ac:dyDescent="0.2">
      <c r="A2976" s="12" t="s">
        <v>5421</v>
      </c>
      <c r="B2976" s="12" t="s">
        <v>3954</v>
      </c>
      <c r="C2976" s="12">
        <v>53179</v>
      </c>
      <c r="D2976" s="12">
        <v>86032</v>
      </c>
      <c r="E2976" s="12" t="s">
        <v>3943</v>
      </c>
      <c r="F2976" s="12">
        <v>2</v>
      </c>
      <c r="G2976" s="41" t="s">
        <v>569</v>
      </c>
      <c r="H2976" s="12" t="s">
        <v>6241</v>
      </c>
      <c r="I2976" s="41" t="s">
        <v>7987</v>
      </c>
      <c r="M2976" s="41" t="e">
        <f>VLOOKUP(I2976,错误mRNA总表!D:I,6,FALSE)</f>
        <v>#N/A</v>
      </c>
    </row>
    <row r="2977" spans="1:13" x14ac:dyDescent="0.2">
      <c r="A2977" s="12" t="s">
        <v>5421</v>
      </c>
      <c r="B2977" s="12" t="s">
        <v>3954</v>
      </c>
      <c r="C2977" s="12">
        <v>53179</v>
      </c>
      <c r="D2977" s="12">
        <v>86102</v>
      </c>
      <c r="E2977" s="12" t="s">
        <v>3940</v>
      </c>
      <c r="F2977" s="12">
        <v>1</v>
      </c>
      <c r="G2977" s="41" t="s">
        <v>569</v>
      </c>
      <c r="H2977" s="12" t="s">
        <v>6241</v>
      </c>
      <c r="I2977" s="41" t="s">
        <v>7987</v>
      </c>
      <c r="M2977" s="41" t="e">
        <f>VLOOKUP(I2977,错误mRNA总表!D:I,6,FALSE)</f>
        <v>#N/A</v>
      </c>
    </row>
    <row r="2978" spans="1:13" x14ac:dyDescent="0.2">
      <c r="A2978" s="12" t="s">
        <v>5421</v>
      </c>
      <c r="B2978" s="12" t="s">
        <v>3954</v>
      </c>
      <c r="C2978" s="12">
        <v>53179</v>
      </c>
      <c r="D2978" s="12">
        <v>87314</v>
      </c>
      <c r="E2978" s="12" t="s">
        <v>3940</v>
      </c>
      <c r="F2978" s="12">
        <v>1</v>
      </c>
      <c r="G2978" s="41" t="s">
        <v>569</v>
      </c>
      <c r="H2978" s="12" t="s">
        <v>6241</v>
      </c>
      <c r="I2978" s="41" t="s">
        <v>7987</v>
      </c>
      <c r="M2978" s="41" t="e">
        <f>VLOOKUP(I2978,错误mRNA总表!D:I,6,FALSE)</f>
        <v>#N/A</v>
      </c>
    </row>
    <row r="2979" spans="1:13" x14ac:dyDescent="0.2">
      <c r="A2979" s="12" t="s">
        <v>5421</v>
      </c>
      <c r="B2979" s="12" t="s">
        <v>3954</v>
      </c>
      <c r="C2979" s="12">
        <v>53179</v>
      </c>
      <c r="D2979" s="12">
        <v>87626</v>
      </c>
      <c r="E2979" s="12" t="s">
        <v>3940</v>
      </c>
      <c r="F2979" s="12">
        <v>1</v>
      </c>
      <c r="G2979" s="41" t="s">
        <v>569</v>
      </c>
      <c r="H2979" s="12" t="s">
        <v>6241</v>
      </c>
      <c r="I2979" s="41" t="s">
        <v>7987</v>
      </c>
      <c r="M2979" s="41" t="e">
        <f>VLOOKUP(I2979,错误mRNA总表!D:I,6,FALSE)</f>
        <v>#N/A</v>
      </c>
    </row>
    <row r="2980" spans="1:13" x14ac:dyDescent="0.2">
      <c r="A2980" s="12" t="s">
        <v>5422</v>
      </c>
      <c r="B2980" s="12" t="s">
        <v>3939</v>
      </c>
      <c r="C2980" s="12">
        <v>103343898</v>
      </c>
      <c r="D2980" s="12">
        <v>103348397</v>
      </c>
      <c r="E2980" s="12" t="s">
        <v>3940</v>
      </c>
      <c r="F2980" s="12">
        <v>1</v>
      </c>
      <c r="G2980" s="41" t="s">
        <v>73</v>
      </c>
      <c r="H2980" s="12" t="s">
        <v>3670</v>
      </c>
      <c r="I2980" s="41" t="s">
        <v>7988</v>
      </c>
      <c r="M2980" s="41" t="e">
        <f>VLOOKUP(I2980,错误mRNA总表!D:I,6,FALSE)</f>
        <v>#N/A</v>
      </c>
    </row>
    <row r="2981" spans="1:13" x14ac:dyDescent="0.2">
      <c r="A2981" s="12" t="s">
        <v>5423</v>
      </c>
      <c r="B2981" s="12" t="s">
        <v>4012</v>
      </c>
      <c r="C2981" s="12">
        <v>29789561</v>
      </c>
      <c r="D2981" s="12">
        <v>29791825</v>
      </c>
      <c r="E2981" s="12" t="s">
        <v>3943</v>
      </c>
      <c r="F2981" s="12">
        <v>1</v>
      </c>
      <c r="G2981" s="41" t="s">
        <v>121</v>
      </c>
      <c r="H2981" s="12" t="s">
        <v>1131</v>
      </c>
      <c r="I2981" s="41" t="s">
        <v>3265</v>
      </c>
      <c r="J2981" s="41" t="s">
        <v>3265</v>
      </c>
      <c r="K2981" s="41" t="str">
        <f>VLOOKUP(J2981,错误mRNA总表!D:J,7,FALSE)</f>
        <v/>
      </c>
      <c r="L2981" s="41" t="s">
        <v>3762</v>
      </c>
      <c r="M2981" s="41">
        <f>VLOOKUP(I2981,错误mRNA总表!D:I,6,FALSE)</f>
        <v>0</v>
      </c>
    </row>
    <row r="2982" spans="1:13" x14ac:dyDescent="0.2">
      <c r="A2982" s="12" t="s">
        <v>5424</v>
      </c>
      <c r="B2982" s="12" t="s">
        <v>4124</v>
      </c>
      <c r="C2982" s="12">
        <v>88747726</v>
      </c>
      <c r="D2982" s="12">
        <v>88751751</v>
      </c>
      <c r="E2982" s="12" t="s">
        <v>3940</v>
      </c>
      <c r="F2982" s="12">
        <v>1</v>
      </c>
      <c r="G2982" s="41" t="s">
        <v>1</v>
      </c>
      <c r="H2982" s="12" t="s">
        <v>78</v>
      </c>
      <c r="I2982" s="41" t="s">
        <v>2096</v>
      </c>
      <c r="J2982" s="41" t="s">
        <v>2096</v>
      </c>
      <c r="K2982" s="41" t="str">
        <f>VLOOKUP(J2982,错误mRNA总表!D:J,7,FALSE)</f>
        <v>纠后正确</v>
      </c>
      <c r="L2982" s="41" t="s">
        <v>3763</v>
      </c>
      <c r="M2982" s="41">
        <f>VLOOKUP(I2982,错误mRNA总表!D:I,6,FALSE)</f>
        <v>0</v>
      </c>
    </row>
    <row r="2983" spans="1:13" x14ac:dyDescent="0.2">
      <c r="A2983" s="12" t="s">
        <v>5425</v>
      </c>
      <c r="B2983" s="12" t="s">
        <v>3966</v>
      </c>
      <c r="C2983" s="12">
        <v>49808173</v>
      </c>
      <c r="D2983" s="12">
        <v>49834861</v>
      </c>
      <c r="E2983" s="12" t="s">
        <v>3940</v>
      </c>
      <c r="F2983" s="12">
        <v>4</v>
      </c>
      <c r="G2983" s="41" t="s">
        <v>43</v>
      </c>
      <c r="H2983" s="12" t="s">
        <v>6242</v>
      </c>
      <c r="I2983" s="41" t="s">
        <v>7989</v>
      </c>
      <c r="M2983" s="41" t="e">
        <f>VLOOKUP(I2983,错误mRNA总表!D:I,6,FALSE)</f>
        <v>#N/A</v>
      </c>
    </row>
    <row r="2984" spans="1:13" x14ac:dyDescent="0.2">
      <c r="A2984" s="12" t="s">
        <v>5426</v>
      </c>
      <c r="B2984" s="12" t="s">
        <v>3946</v>
      </c>
      <c r="C2984" s="12">
        <v>41363846</v>
      </c>
      <c r="D2984" s="12">
        <v>41371770</v>
      </c>
      <c r="E2984" s="12" t="s">
        <v>3943</v>
      </c>
      <c r="F2984" s="12">
        <v>1</v>
      </c>
      <c r="G2984" s="41" t="s">
        <v>47</v>
      </c>
      <c r="H2984" s="12" t="s">
        <v>6243</v>
      </c>
      <c r="I2984" s="41" t="s">
        <v>7990</v>
      </c>
      <c r="M2984" s="41" t="e">
        <f>VLOOKUP(I2984,错误mRNA总表!D:I,6,FALSE)</f>
        <v>#N/A</v>
      </c>
    </row>
    <row r="2985" spans="1:13" x14ac:dyDescent="0.2">
      <c r="A2985" s="12" t="s">
        <v>5427</v>
      </c>
      <c r="B2985" s="12" t="s">
        <v>3999</v>
      </c>
      <c r="C2985" s="12">
        <v>327807</v>
      </c>
      <c r="D2985" s="12">
        <v>327905</v>
      </c>
      <c r="E2985" s="12" t="s">
        <v>3940</v>
      </c>
      <c r="F2985" s="12">
        <v>1</v>
      </c>
      <c r="H2985" s="12" t="s">
        <v>3513</v>
      </c>
      <c r="I2985" s="41" t="s">
        <v>7991</v>
      </c>
      <c r="M2985" s="41" t="e">
        <f>VLOOKUP(I2985,错误mRNA总表!D:I,6,FALSE)</f>
        <v>#N/A</v>
      </c>
    </row>
    <row r="2986" spans="1:13" x14ac:dyDescent="0.2">
      <c r="A2986" s="12" t="s">
        <v>5428</v>
      </c>
      <c r="B2986" s="12" t="s">
        <v>3994</v>
      </c>
      <c r="C2986" s="12">
        <v>2713997</v>
      </c>
      <c r="D2986" s="12">
        <v>2726589</v>
      </c>
      <c r="E2986" s="12" t="s">
        <v>3943</v>
      </c>
      <c r="F2986" s="12">
        <v>2</v>
      </c>
      <c r="H2986" s="12" t="s">
        <v>6244</v>
      </c>
      <c r="I2986" s="41" t="s">
        <v>7992</v>
      </c>
      <c r="M2986" s="41" t="e">
        <f>VLOOKUP(I2986,错误mRNA总表!D:I,6,FALSE)</f>
        <v>#N/A</v>
      </c>
    </row>
    <row r="2987" spans="1:13" x14ac:dyDescent="0.2">
      <c r="A2987" s="12" t="s">
        <v>5429</v>
      </c>
      <c r="B2987" s="12" t="s">
        <v>4149</v>
      </c>
      <c r="C2987" s="12">
        <v>1845520</v>
      </c>
      <c r="D2987" s="12">
        <v>1845703</v>
      </c>
      <c r="E2987" s="12" t="s">
        <v>3940</v>
      </c>
      <c r="F2987" s="12">
        <v>1</v>
      </c>
      <c r="H2987" s="12" t="s">
        <v>3691</v>
      </c>
      <c r="I2987" s="41" t="s">
        <v>7993</v>
      </c>
      <c r="M2987" s="41" t="e">
        <f>VLOOKUP(I2987,错误mRNA总表!D:I,6,FALSE)</f>
        <v>#N/A</v>
      </c>
    </row>
    <row r="2988" spans="1:13" x14ac:dyDescent="0.2">
      <c r="A2988" s="12" t="s">
        <v>5430</v>
      </c>
      <c r="B2988" s="12" t="s">
        <v>3973</v>
      </c>
      <c r="C2988" s="12">
        <v>150547027</v>
      </c>
      <c r="D2988" s="12">
        <v>150548887</v>
      </c>
      <c r="E2988" s="12" t="s">
        <v>3940</v>
      </c>
      <c r="F2988" s="12">
        <v>4</v>
      </c>
      <c r="G2988" s="41" t="s">
        <v>139</v>
      </c>
      <c r="H2988" s="12" t="s">
        <v>6591</v>
      </c>
      <c r="I2988" s="41" t="s">
        <v>7994</v>
      </c>
      <c r="M2988" s="41" t="e">
        <f>VLOOKUP(I2988,错误mRNA总表!D:I,6,FALSE)</f>
        <v>#N/A</v>
      </c>
    </row>
    <row r="2989" spans="1:13" x14ac:dyDescent="0.2">
      <c r="A2989" s="12" t="s">
        <v>5431</v>
      </c>
      <c r="B2989" s="12" t="s">
        <v>4124</v>
      </c>
      <c r="C2989" s="12">
        <v>110259067</v>
      </c>
      <c r="D2989" s="12">
        <v>110259077</v>
      </c>
      <c r="E2989" s="12" t="s">
        <v>3940</v>
      </c>
      <c r="F2989" s="12">
        <v>5</v>
      </c>
      <c r="G2989" s="41" t="s">
        <v>1</v>
      </c>
      <c r="H2989" s="12" t="s">
        <v>247</v>
      </c>
      <c r="I2989" s="41" t="s">
        <v>3314</v>
      </c>
      <c r="J2989" s="41" t="s">
        <v>3313</v>
      </c>
      <c r="K2989" s="41" t="str">
        <f>VLOOKUP(J2989,错误mRNA总表!D:J,7,FALSE)</f>
        <v/>
      </c>
      <c r="L2989" s="41" t="s">
        <v>3762</v>
      </c>
      <c r="M2989" s="41">
        <f>VLOOKUP(I2989,错误mRNA总表!D:I,6,FALSE)</f>
        <v>0</v>
      </c>
    </row>
    <row r="2990" spans="1:13" x14ac:dyDescent="0.2">
      <c r="A2990" s="12" t="s">
        <v>4044</v>
      </c>
      <c r="B2990" s="12" t="s">
        <v>4942</v>
      </c>
      <c r="C2990" s="12">
        <v>134946</v>
      </c>
      <c r="D2990" s="12">
        <v>135009</v>
      </c>
      <c r="E2990" s="12" t="s">
        <v>3940</v>
      </c>
      <c r="F2990" s="12">
        <v>1</v>
      </c>
      <c r="H2990" s="12" t="s">
        <v>3648</v>
      </c>
      <c r="I2990" s="41" t="s">
        <v>6693</v>
      </c>
      <c r="M2990" s="41" t="e">
        <f>VLOOKUP(I2990,错误mRNA总表!D:I,6,FALSE)</f>
        <v>#N/A</v>
      </c>
    </row>
    <row r="2991" spans="1:13" x14ac:dyDescent="0.2">
      <c r="A2991" s="12" t="s">
        <v>5432</v>
      </c>
      <c r="B2991" s="12" t="s">
        <v>3969</v>
      </c>
      <c r="C2991" s="12">
        <v>4226965</v>
      </c>
      <c r="D2991" s="12">
        <v>4227045</v>
      </c>
      <c r="E2991" s="12" t="s">
        <v>3940</v>
      </c>
      <c r="F2991" s="12">
        <v>3</v>
      </c>
      <c r="H2991" s="12" t="s">
        <v>3435</v>
      </c>
      <c r="I2991" s="41" t="s">
        <v>7995</v>
      </c>
      <c r="M2991" s="41" t="e">
        <f>VLOOKUP(I2991,错误mRNA总表!D:I,6,FALSE)</f>
        <v>#N/A</v>
      </c>
    </row>
    <row r="2992" spans="1:13" x14ac:dyDescent="0.2">
      <c r="A2992" s="12" t="s">
        <v>5432</v>
      </c>
      <c r="B2992" s="12" t="s">
        <v>3969</v>
      </c>
      <c r="C2992" s="12">
        <v>4226965</v>
      </c>
      <c r="D2992" s="12">
        <v>4229948</v>
      </c>
      <c r="E2992" s="12" t="s">
        <v>3943</v>
      </c>
      <c r="F2992" s="12">
        <v>1</v>
      </c>
      <c r="H2992" s="12" t="s">
        <v>3435</v>
      </c>
      <c r="I2992" s="41" t="s">
        <v>7995</v>
      </c>
      <c r="M2992" s="41" t="e">
        <f>VLOOKUP(I2992,错误mRNA总表!D:I,6,FALSE)</f>
        <v>#N/A</v>
      </c>
    </row>
    <row r="2993" spans="1:13" x14ac:dyDescent="0.2">
      <c r="A2993" s="12" t="s">
        <v>5433</v>
      </c>
      <c r="B2993" s="12" t="s">
        <v>3939</v>
      </c>
      <c r="C2993" s="12">
        <v>72161568</v>
      </c>
      <c r="D2993" s="12">
        <v>72161931</v>
      </c>
      <c r="E2993" s="12" t="s">
        <v>3940</v>
      </c>
      <c r="F2993" s="12">
        <v>1</v>
      </c>
      <c r="G2993" s="41" t="s">
        <v>73</v>
      </c>
      <c r="H2993" s="12" t="s">
        <v>5818</v>
      </c>
      <c r="I2993" s="41" t="s">
        <v>7996</v>
      </c>
      <c r="M2993" s="41" t="e">
        <f>VLOOKUP(I2993,错误mRNA总表!D:I,6,FALSE)</f>
        <v>#N/A</v>
      </c>
    </row>
    <row r="2994" spans="1:13" x14ac:dyDescent="0.2">
      <c r="A2994" s="12" t="s">
        <v>5434</v>
      </c>
      <c r="B2994" s="12" t="s">
        <v>3986</v>
      </c>
      <c r="C2994" s="12">
        <v>44930423</v>
      </c>
      <c r="D2994" s="12">
        <v>44931670</v>
      </c>
      <c r="E2994" s="12" t="s">
        <v>3943</v>
      </c>
      <c r="F2994" s="12">
        <v>3</v>
      </c>
      <c r="G2994" s="41" t="s">
        <v>50</v>
      </c>
      <c r="H2994" s="12" t="s">
        <v>6546</v>
      </c>
      <c r="I2994" s="41" t="s">
        <v>7997</v>
      </c>
      <c r="M2994" s="41" t="e">
        <f>VLOOKUP(I2994,错误mRNA总表!D:I,6,FALSE)</f>
        <v>#N/A</v>
      </c>
    </row>
    <row r="2995" spans="1:13" x14ac:dyDescent="0.2">
      <c r="A2995" s="12" t="s">
        <v>4438</v>
      </c>
      <c r="B2995" s="12" t="s">
        <v>3984</v>
      </c>
      <c r="C2995" s="12">
        <v>928077</v>
      </c>
      <c r="D2995" s="12">
        <v>943429</v>
      </c>
      <c r="E2995" s="12" t="s">
        <v>3943</v>
      </c>
      <c r="F2995" s="12">
        <v>4</v>
      </c>
      <c r="H2995" s="12" t="s">
        <v>3522</v>
      </c>
      <c r="I2995" s="41" t="s">
        <v>7998</v>
      </c>
      <c r="M2995" s="41" t="e">
        <f>VLOOKUP(I2995,错误mRNA总表!D:I,6,FALSE)</f>
        <v>#N/A</v>
      </c>
    </row>
    <row r="2996" spans="1:13" x14ac:dyDescent="0.2">
      <c r="A2996" s="12" t="s">
        <v>5435</v>
      </c>
      <c r="B2996" s="12" t="s">
        <v>3942</v>
      </c>
      <c r="C2996" s="12">
        <v>77656327</v>
      </c>
      <c r="D2996" s="12">
        <v>77745854</v>
      </c>
      <c r="E2996" s="12" t="s">
        <v>3940</v>
      </c>
      <c r="F2996" s="12">
        <v>1</v>
      </c>
      <c r="G2996" s="41" t="s">
        <v>186</v>
      </c>
      <c r="H2996" s="12" t="s">
        <v>6245</v>
      </c>
      <c r="I2996" s="41" t="s">
        <v>7999</v>
      </c>
      <c r="M2996" s="41" t="e">
        <f>VLOOKUP(I2996,错误mRNA总表!D:I,6,FALSE)</f>
        <v>#N/A</v>
      </c>
    </row>
    <row r="2997" spans="1:13" x14ac:dyDescent="0.2">
      <c r="A2997" s="12" t="s">
        <v>5436</v>
      </c>
      <c r="B2997" s="12" t="s">
        <v>3986</v>
      </c>
      <c r="C2997" s="12">
        <v>45010211</v>
      </c>
      <c r="D2997" s="12">
        <v>45016990</v>
      </c>
      <c r="E2997" s="12" t="s">
        <v>3943</v>
      </c>
      <c r="F2997" s="12">
        <v>1</v>
      </c>
      <c r="G2997" s="41" t="s">
        <v>50</v>
      </c>
      <c r="H2997" s="12" t="s">
        <v>57</v>
      </c>
      <c r="I2997" s="41" t="s">
        <v>2084</v>
      </c>
      <c r="J2997" s="41" t="s">
        <v>2084</v>
      </c>
      <c r="K2997" s="41" t="str">
        <f>VLOOKUP(J2997,错误mRNA总表!D:J,7,FALSE)</f>
        <v>纠后正确</v>
      </c>
      <c r="L2997" s="41" t="s">
        <v>3763</v>
      </c>
      <c r="M2997" s="41">
        <f>VLOOKUP(I2997,错误mRNA总表!D:I,6,FALSE)</f>
        <v>0</v>
      </c>
    </row>
    <row r="2998" spans="1:13" x14ac:dyDescent="0.2">
      <c r="A2998" s="12" t="s">
        <v>5437</v>
      </c>
      <c r="B2998" s="12" t="s">
        <v>3939</v>
      </c>
      <c r="C2998" s="12">
        <v>16606122</v>
      </c>
      <c r="D2998" s="12">
        <v>16606679</v>
      </c>
      <c r="E2998" s="12" t="s">
        <v>3943</v>
      </c>
      <c r="F2998" s="12">
        <v>1</v>
      </c>
      <c r="G2998" s="41" t="s">
        <v>73</v>
      </c>
      <c r="H2998" s="12" t="s">
        <v>6547</v>
      </c>
      <c r="I2998" s="41" t="s">
        <v>7949</v>
      </c>
      <c r="M2998" s="41" t="e">
        <f>VLOOKUP(I2998,错误mRNA总表!D:I,6,FALSE)</f>
        <v>#N/A</v>
      </c>
    </row>
    <row r="2999" spans="1:13" x14ac:dyDescent="0.2">
      <c r="A2999" s="12" t="s">
        <v>5438</v>
      </c>
      <c r="B2999" s="12" t="s">
        <v>3948</v>
      </c>
      <c r="C2999" s="12">
        <v>36552549</v>
      </c>
      <c r="D2999" s="12">
        <v>36552729</v>
      </c>
      <c r="E2999" s="12" t="s">
        <v>3940</v>
      </c>
      <c r="F2999" s="12">
        <v>1</v>
      </c>
      <c r="G2999" s="41" t="s">
        <v>40</v>
      </c>
      <c r="H2999" s="12" t="s">
        <v>6246</v>
      </c>
      <c r="I2999" s="41" t="s">
        <v>8000</v>
      </c>
      <c r="M2999" s="41" t="e">
        <f>VLOOKUP(I2999,错误mRNA总表!D:I,6,FALSE)</f>
        <v>#N/A</v>
      </c>
    </row>
    <row r="3000" spans="1:13" x14ac:dyDescent="0.2">
      <c r="A3000" s="12" t="s">
        <v>5438</v>
      </c>
      <c r="B3000" s="12" t="s">
        <v>3948</v>
      </c>
      <c r="C3000" s="12">
        <v>36552549</v>
      </c>
      <c r="D3000" s="12">
        <v>36552790</v>
      </c>
      <c r="E3000" s="12" t="s">
        <v>3940</v>
      </c>
      <c r="F3000" s="12">
        <v>1</v>
      </c>
      <c r="G3000" s="41" t="s">
        <v>40</v>
      </c>
      <c r="H3000" s="12" t="s">
        <v>6246</v>
      </c>
      <c r="I3000" s="41" t="s">
        <v>8000</v>
      </c>
      <c r="M3000" s="41" t="e">
        <f>VLOOKUP(I3000,错误mRNA总表!D:I,6,FALSE)</f>
        <v>#N/A</v>
      </c>
    </row>
    <row r="3001" spans="1:13" x14ac:dyDescent="0.2">
      <c r="A3001" s="12" t="s">
        <v>5439</v>
      </c>
      <c r="B3001" s="12" t="s">
        <v>4052</v>
      </c>
      <c r="C3001" s="12">
        <v>51026321</v>
      </c>
      <c r="D3001" s="12">
        <v>51371103</v>
      </c>
      <c r="E3001" s="12" t="s">
        <v>3943</v>
      </c>
      <c r="F3001" s="12">
        <v>1</v>
      </c>
      <c r="G3001" s="41" t="s">
        <v>93</v>
      </c>
      <c r="H3001" s="12" t="s">
        <v>6247</v>
      </c>
      <c r="I3001" s="41" t="s">
        <v>8001</v>
      </c>
      <c r="M3001" s="41" t="e">
        <f>VLOOKUP(I3001,错误mRNA总表!D:I,6,FALSE)</f>
        <v>#N/A</v>
      </c>
    </row>
    <row r="3002" spans="1:13" x14ac:dyDescent="0.2">
      <c r="A3002" s="12" t="s">
        <v>5439</v>
      </c>
      <c r="B3002" s="12" t="s">
        <v>4052</v>
      </c>
      <c r="C3002" s="12">
        <v>51026321</v>
      </c>
      <c r="D3002" s="12">
        <v>51371122</v>
      </c>
      <c r="E3002" s="12" t="s">
        <v>3943</v>
      </c>
      <c r="F3002" s="12">
        <v>1</v>
      </c>
      <c r="G3002" s="41" t="s">
        <v>93</v>
      </c>
      <c r="H3002" s="12" t="s">
        <v>6247</v>
      </c>
      <c r="I3002" s="41" t="s">
        <v>8001</v>
      </c>
      <c r="M3002" s="41" t="e">
        <f>VLOOKUP(I3002,错误mRNA总表!D:I,6,FALSE)</f>
        <v>#N/A</v>
      </c>
    </row>
    <row r="3003" spans="1:13" x14ac:dyDescent="0.2">
      <c r="A3003" s="12" t="s">
        <v>5439</v>
      </c>
      <c r="B3003" s="12" t="s">
        <v>4052</v>
      </c>
      <c r="C3003" s="12">
        <v>51026321</v>
      </c>
      <c r="D3003" s="12">
        <v>51371131</v>
      </c>
      <c r="E3003" s="12" t="s">
        <v>3940</v>
      </c>
      <c r="F3003" s="12">
        <v>1</v>
      </c>
      <c r="G3003" s="41" t="s">
        <v>93</v>
      </c>
      <c r="H3003" s="12" t="s">
        <v>6247</v>
      </c>
      <c r="I3003" s="41" t="s">
        <v>8001</v>
      </c>
      <c r="M3003" s="41" t="e">
        <f>VLOOKUP(I3003,错误mRNA总表!D:I,6,FALSE)</f>
        <v>#N/A</v>
      </c>
    </row>
    <row r="3004" spans="1:13" x14ac:dyDescent="0.2">
      <c r="A3004" s="12" t="s">
        <v>5440</v>
      </c>
      <c r="B3004" s="12" t="s">
        <v>3986</v>
      </c>
      <c r="C3004" s="12">
        <v>7933605</v>
      </c>
      <c r="D3004" s="12">
        <v>7938306</v>
      </c>
      <c r="E3004" s="12" t="s">
        <v>3940</v>
      </c>
      <c r="F3004" s="12">
        <v>1</v>
      </c>
      <c r="G3004" s="41" t="s">
        <v>50</v>
      </c>
      <c r="H3004" s="12" t="s">
        <v>76</v>
      </c>
      <c r="I3004" s="41" t="s">
        <v>2095</v>
      </c>
      <c r="J3004" s="41" t="s">
        <v>2095</v>
      </c>
      <c r="K3004" s="41" t="str">
        <f>VLOOKUP(J3004,错误mRNA总表!D:J,7,FALSE)</f>
        <v>纠后正确</v>
      </c>
      <c r="L3004" s="41" t="s">
        <v>3763</v>
      </c>
      <c r="M3004" s="41">
        <f>VLOOKUP(I3004,错误mRNA总表!D:I,6,FALSE)</f>
        <v>0</v>
      </c>
    </row>
    <row r="3005" spans="1:13" x14ac:dyDescent="0.2">
      <c r="A3005" s="12" t="s">
        <v>4308</v>
      </c>
      <c r="B3005" s="12" t="s">
        <v>3989</v>
      </c>
      <c r="C3005" s="12">
        <v>2461237</v>
      </c>
      <c r="D3005" s="12">
        <v>2466547</v>
      </c>
      <c r="E3005" s="12" t="s">
        <v>3943</v>
      </c>
      <c r="F3005" s="12">
        <v>1</v>
      </c>
      <c r="H3005" s="12" t="s">
        <v>5862</v>
      </c>
      <c r="I3005" s="41" t="s">
        <v>8002</v>
      </c>
      <c r="M3005" s="41" t="e">
        <f>VLOOKUP(I3005,错误mRNA总表!D:I,6,FALSE)</f>
        <v>#N/A</v>
      </c>
    </row>
    <row r="3006" spans="1:13" x14ac:dyDescent="0.2">
      <c r="A3006" s="12" t="s">
        <v>5441</v>
      </c>
      <c r="B3006" s="12" t="s">
        <v>3986</v>
      </c>
      <c r="C3006" s="12">
        <v>1941161</v>
      </c>
      <c r="D3006" s="12">
        <v>1941301</v>
      </c>
      <c r="E3006" s="12" t="s">
        <v>3940</v>
      </c>
      <c r="F3006" s="12">
        <v>1</v>
      </c>
      <c r="G3006" s="41" t="s">
        <v>50</v>
      </c>
      <c r="H3006" s="12" t="s">
        <v>6625</v>
      </c>
      <c r="I3006" s="41" t="s">
        <v>8003</v>
      </c>
      <c r="M3006" s="41" t="e">
        <f>VLOOKUP(I3006,错误mRNA总表!D:I,6,FALSE)</f>
        <v>#N/A</v>
      </c>
    </row>
    <row r="3007" spans="1:13" x14ac:dyDescent="0.2">
      <c r="A3007" s="12" t="s">
        <v>5090</v>
      </c>
      <c r="B3007" s="12" t="s">
        <v>3996</v>
      </c>
      <c r="C3007" s="12">
        <v>1143559</v>
      </c>
      <c r="D3007" s="12">
        <v>1158907</v>
      </c>
      <c r="E3007" s="12" t="s">
        <v>3943</v>
      </c>
      <c r="F3007" s="12">
        <v>8</v>
      </c>
      <c r="H3007" s="12" t="s">
        <v>3523</v>
      </c>
      <c r="I3007" s="41" t="s">
        <v>8004</v>
      </c>
      <c r="M3007" s="41" t="e">
        <f>VLOOKUP(I3007,错误mRNA总表!D:I,6,FALSE)</f>
        <v>#N/A</v>
      </c>
    </row>
    <row r="3008" spans="1:13" x14ac:dyDescent="0.2">
      <c r="A3008" s="12" t="s">
        <v>5442</v>
      </c>
      <c r="B3008" s="12" t="s">
        <v>3946</v>
      </c>
      <c r="C3008" s="12">
        <v>7835442</v>
      </c>
      <c r="D3008" s="12">
        <v>7835855</v>
      </c>
      <c r="E3008" s="12" t="s">
        <v>3943</v>
      </c>
      <c r="F3008" s="12">
        <v>6</v>
      </c>
      <c r="G3008" s="41" t="s">
        <v>47</v>
      </c>
      <c r="H3008" s="12" t="s">
        <v>6548</v>
      </c>
      <c r="I3008" s="41" t="s">
        <v>8005</v>
      </c>
      <c r="M3008" s="41" t="e">
        <f>VLOOKUP(I3008,错误mRNA总表!D:I,6,FALSE)</f>
        <v>#N/A</v>
      </c>
    </row>
    <row r="3009" spans="1:13" x14ac:dyDescent="0.2">
      <c r="A3009" s="12" t="s">
        <v>5443</v>
      </c>
      <c r="B3009" s="12" t="s">
        <v>4354</v>
      </c>
      <c r="C3009" s="12">
        <v>16012</v>
      </c>
      <c r="D3009" s="12">
        <v>16016</v>
      </c>
      <c r="E3009" s="12" t="s">
        <v>3943</v>
      </c>
      <c r="F3009" s="12">
        <v>1</v>
      </c>
      <c r="H3009" s="12" t="s">
        <v>6248</v>
      </c>
      <c r="I3009" s="41" t="s">
        <v>8006</v>
      </c>
      <c r="M3009" s="41" t="e">
        <f>VLOOKUP(I3009,错误mRNA总表!D:I,6,FALSE)</f>
        <v>#N/A</v>
      </c>
    </row>
    <row r="3010" spans="1:13" x14ac:dyDescent="0.2">
      <c r="A3010" s="12" t="s">
        <v>5444</v>
      </c>
      <c r="B3010" s="12" t="s">
        <v>3948</v>
      </c>
      <c r="C3010" s="12">
        <v>20821894</v>
      </c>
      <c r="D3010" s="12">
        <v>20822304</v>
      </c>
      <c r="E3010" s="12" t="s">
        <v>3940</v>
      </c>
      <c r="F3010" s="12">
        <v>1</v>
      </c>
      <c r="G3010" s="41" t="s">
        <v>40</v>
      </c>
      <c r="H3010" s="12" t="s">
        <v>6549</v>
      </c>
      <c r="I3010" s="41" t="s">
        <v>8007</v>
      </c>
      <c r="M3010" s="41" t="e">
        <f>VLOOKUP(I3010,错误mRNA总表!D:I,6,FALSE)</f>
        <v>#N/A</v>
      </c>
    </row>
    <row r="3011" spans="1:13" x14ac:dyDescent="0.2">
      <c r="A3011" s="12" t="s">
        <v>3963</v>
      </c>
      <c r="B3011" s="12" t="s">
        <v>3969</v>
      </c>
      <c r="C3011" s="12">
        <v>4567658</v>
      </c>
      <c r="D3011" s="12">
        <v>4567711</v>
      </c>
      <c r="E3011" s="12" t="s">
        <v>3943</v>
      </c>
      <c r="F3011" s="12">
        <v>2</v>
      </c>
      <c r="H3011" s="12" t="s">
        <v>3591</v>
      </c>
      <c r="I3011" s="41" t="s">
        <v>8008</v>
      </c>
      <c r="M3011" s="41" t="e">
        <f>VLOOKUP(I3011,错误mRNA总表!D:I,6,FALSE)</f>
        <v>#N/A</v>
      </c>
    </row>
    <row r="3012" spans="1:13" x14ac:dyDescent="0.2">
      <c r="A3012" s="12" t="s">
        <v>5445</v>
      </c>
      <c r="B3012" s="12" t="s">
        <v>4059</v>
      </c>
      <c r="C3012" s="12">
        <v>961241</v>
      </c>
      <c r="D3012" s="12">
        <v>961273</v>
      </c>
      <c r="E3012" s="12" t="s">
        <v>3943</v>
      </c>
      <c r="F3012" s="12">
        <v>1</v>
      </c>
      <c r="G3012" s="41" t="s">
        <v>175</v>
      </c>
      <c r="H3012" s="12" t="s">
        <v>6465</v>
      </c>
      <c r="I3012" s="41" t="s">
        <v>8009</v>
      </c>
      <c r="M3012" s="41" t="e">
        <f>VLOOKUP(I3012,错误mRNA总表!D:I,6,FALSE)</f>
        <v>#N/A</v>
      </c>
    </row>
    <row r="3013" spans="1:13" x14ac:dyDescent="0.2">
      <c r="A3013" s="12" t="s">
        <v>3951</v>
      </c>
      <c r="B3013" s="12" t="s">
        <v>4942</v>
      </c>
      <c r="C3013" s="12">
        <v>134946</v>
      </c>
      <c r="D3013" s="12">
        <v>135009</v>
      </c>
      <c r="E3013" s="12" t="s">
        <v>3940</v>
      </c>
      <c r="F3013" s="12">
        <v>1</v>
      </c>
      <c r="H3013" s="12" t="s">
        <v>3649</v>
      </c>
      <c r="I3013" s="41" t="s">
        <v>6633</v>
      </c>
      <c r="M3013" s="41" t="e">
        <f>VLOOKUP(I3013,错误mRNA总表!D:I,6,FALSE)</f>
        <v>#N/A</v>
      </c>
    </row>
    <row r="3014" spans="1:13" x14ac:dyDescent="0.2">
      <c r="A3014" s="12" t="s">
        <v>5446</v>
      </c>
      <c r="B3014" s="12" t="s">
        <v>3948</v>
      </c>
      <c r="C3014" s="12">
        <v>100331249</v>
      </c>
      <c r="D3014" s="12">
        <v>100371476</v>
      </c>
      <c r="E3014" s="12" t="s">
        <v>3940</v>
      </c>
      <c r="F3014" s="12">
        <v>1</v>
      </c>
      <c r="G3014" s="41" t="s">
        <v>40</v>
      </c>
      <c r="H3014" s="12" t="s">
        <v>747</v>
      </c>
      <c r="I3014" s="41" t="s">
        <v>3350</v>
      </c>
      <c r="J3014" s="41" t="s">
        <v>3350</v>
      </c>
      <c r="K3014" s="41" t="str">
        <f>VLOOKUP(J3014,错误mRNA总表!D:J,7,FALSE)</f>
        <v>纠后正确</v>
      </c>
      <c r="L3014" s="41" t="s">
        <v>3763</v>
      </c>
      <c r="M3014" s="41">
        <f>VLOOKUP(I3014,错误mRNA总表!D:I,6,FALSE)</f>
        <v>0</v>
      </c>
    </row>
    <row r="3015" spans="1:13" x14ac:dyDescent="0.2">
      <c r="A3015" s="12" t="s">
        <v>4009</v>
      </c>
      <c r="B3015" s="12" t="s">
        <v>3989</v>
      </c>
      <c r="C3015" s="12">
        <v>3570720</v>
      </c>
      <c r="D3015" s="12">
        <v>3721749</v>
      </c>
      <c r="E3015" s="12" t="s">
        <v>3940</v>
      </c>
      <c r="F3015" s="12">
        <v>1</v>
      </c>
      <c r="H3015" s="12" t="s">
        <v>5784</v>
      </c>
      <c r="I3015" s="41" t="s">
        <v>8010</v>
      </c>
      <c r="M3015" s="41" t="e">
        <f>VLOOKUP(I3015,错误mRNA总表!D:I,6,FALSE)</f>
        <v>#N/A</v>
      </c>
    </row>
    <row r="3016" spans="1:13" x14ac:dyDescent="0.2">
      <c r="A3016" s="12" t="s">
        <v>5447</v>
      </c>
      <c r="B3016" s="12" t="s">
        <v>3966</v>
      </c>
      <c r="C3016" s="12">
        <v>27053446</v>
      </c>
      <c r="D3016" s="12">
        <v>27062700</v>
      </c>
      <c r="E3016" s="12" t="s">
        <v>3940</v>
      </c>
      <c r="F3016" s="12">
        <v>1</v>
      </c>
      <c r="G3016" s="41" t="s">
        <v>43</v>
      </c>
      <c r="H3016" s="12" t="s">
        <v>6466</v>
      </c>
      <c r="I3016" s="41" t="s">
        <v>8011</v>
      </c>
      <c r="M3016" s="41" t="e">
        <f>VLOOKUP(I3016,错误mRNA总表!D:I,6,FALSE)</f>
        <v>#N/A</v>
      </c>
    </row>
    <row r="3017" spans="1:13" x14ac:dyDescent="0.2">
      <c r="A3017" s="12" t="s">
        <v>5448</v>
      </c>
      <c r="B3017" s="12" t="s">
        <v>3946</v>
      </c>
      <c r="C3017" s="12">
        <v>43677483</v>
      </c>
      <c r="D3017" s="12">
        <v>43677810</v>
      </c>
      <c r="E3017" s="12" t="s">
        <v>3940</v>
      </c>
      <c r="F3017" s="12">
        <v>1</v>
      </c>
      <c r="G3017" s="41" t="s">
        <v>47</v>
      </c>
      <c r="H3017" s="12" t="s">
        <v>5925</v>
      </c>
      <c r="I3017" s="41" t="s">
        <v>8012</v>
      </c>
      <c r="M3017" s="41" t="e">
        <f>VLOOKUP(I3017,错误mRNA总表!D:I,6,FALSE)</f>
        <v>#N/A</v>
      </c>
    </row>
    <row r="3018" spans="1:13" x14ac:dyDescent="0.2">
      <c r="A3018" s="12" t="s">
        <v>4320</v>
      </c>
      <c r="B3018" s="12" t="s">
        <v>3989</v>
      </c>
      <c r="C3018" s="12">
        <v>2796643</v>
      </c>
      <c r="D3018" s="12">
        <v>2808573</v>
      </c>
      <c r="E3018" s="12" t="s">
        <v>3940</v>
      </c>
      <c r="F3018" s="12">
        <v>2</v>
      </c>
      <c r="H3018" s="12" t="s">
        <v>5867</v>
      </c>
      <c r="I3018" s="41" t="s">
        <v>8013</v>
      </c>
      <c r="M3018" s="41" t="e">
        <f>VLOOKUP(I3018,错误mRNA总表!D:I,6,FALSE)</f>
        <v>#N/A</v>
      </c>
    </row>
    <row r="3019" spans="1:13" x14ac:dyDescent="0.2">
      <c r="A3019" s="12" t="s">
        <v>4320</v>
      </c>
      <c r="B3019" s="12" t="s">
        <v>3989</v>
      </c>
      <c r="C3019" s="12">
        <v>2796643</v>
      </c>
      <c r="D3019" s="12">
        <v>2809142</v>
      </c>
      <c r="E3019" s="12" t="s">
        <v>3943</v>
      </c>
      <c r="F3019" s="12">
        <v>6</v>
      </c>
      <c r="H3019" s="12" t="s">
        <v>5867</v>
      </c>
      <c r="I3019" s="41" t="s">
        <v>8013</v>
      </c>
      <c r="M3019" s="41" t="e">
        <f>VLOOKUP(I3019,错误mRNA总表!D:I,6,FALSE)</f>
        <v>#N/A</v>
      </c>
    </row>
    <row r="3020" spans="1:13" x14ac:dyDescent="0.2">
      <c r="A3020" s="12" t="s">
        <v>4134</v>
      </c>
      <c r="B3020" s="12" t="s">
        <v>3984</v>
      </c>
      <c r="C3020" s="12">
        <v>928077</v>
      </c>
      <c r="D3020" s="12">
        <v>943429</v>
      </c>
      <c r="E3020" s="12" t="s">
        <v>3943</v>
      </c>
      <c r="F3020" s="12">
        <v>4</v>
      </c>
      <c r="H3020" s="12" t="s">
        <v>3524</v>
      </c>
      <c r="I3020" s="41" t="s">
        <v>8014</v>
      </c>
      <c r="M3020" s="41" t="e">
        <f>VLOOKUP(I3020,错误mRNA总表!D:I,6,FALSE)</f>
        <v>#N/A</v>
      </c>
    </row>
    <row r="3021" spans="1:13" x14ac:dyDescent="0.2">
      <c r="A3021" s="12" t="s">
        <v>4313</v>
      </c>
      <c r="B3021" s="12" t="s">
        <v>4199</v>
      </c>
      <c r="C3021" s="12">
        <v>429323</v>
      </c>
      <c r="D3021" s="12">
        <v>430972</v>
      </c>
      <c r="E3021" s="12" t="s">
        <v>3943</v>
      </c>
      <c r="F3021" s="12">
        <v>21</v>
      </c>
      <c r="H3021" s="12" t="s">
        <v>5864</v>
      </c>
      <c r="I3021" s="41" t="s">
        <v>8015</v>
      </c>
      <c r="M3021" s="41" t="e">
        <f>VLOOKUP(I3021,错误mRNA总表!D:I,6,FALSE)</f>
        <v>#N/A</v>
      </c>
    </row>
    <row r="3022" spans="1:13" x14ac:dyDescent="0.2">
      <c r="A3022" s="12" t="s">
        <v>5449</v>
      </c>
      <c r="B3022" s="12" t="s">
        <v>3973</v>
      </c>
      <c r="C3022" s="12">
        <v>147905097</v>
      </c>
      <c r="D3022" s="12">
        <v>147931959</v>
      </c>
      <c r="E3022" s="12" t="s">
        <v>3943</v>
      </c>
      <c r="F3022" s="12">
        <v>6</v>
      </c>
      <c r="G3022" s="41" t="s">
        <v>139</v>
      </c>
      <c r="H3022" s="12" t="s">
        <v>6467</v>
      </c>
      <c r="I3022" s="41" t="s">
        <v>8016</v>
      </c>
      <c r="M3022" s="41" t="e">
        <f>VLOOKUP(I3022,错误mRNA总表!D:I,6,FALSE)</f>
        <v>#N/A</v>
      </c>
    </row>
    <row r="3023" spans="1:13" x14ac:dyDescent="0.2">
      <c r="A3023" s="12" t="s">
        <v>4243</v>
      </c>
      <c r="B3023" s="12" t="s">
        <v>3989</v>
      </c>
      <c r="C3023" s="12">
        <v>2570005</v>
      </c>
      <c r="D3023" s="12">
        <v>2570161</v>
      </c>
      <c r="E3023" s="12" t="s">
        <v>3940</v>
      </c>
      <c r="F3023" s="12">
        <v>1</v>
      </c>
      <c r="H3023" s="12" t="s">
        <v>3555</v>
      </c>
      <c r="I3023" s="41" t="s">
        <v>8017</v>
      </c>
      <c r="M3023" s="41" t="e">
        <f>VLOOKUP(I3023,错误mRNA总表!D:I,6,FALSE)</f>
        <v>#N/A</v>
      </c>
    </row>
    <row r="3024" spans="1:13" x14ac:dyDescent="0.2">
      <c r="A3024" s="12" t="s">
        <v>4243</v>
      </c>
      <c r="B3024" s="12" t="s">
        <v>3989</v>
      </c>
      <c r="C3024" s="12">
        <v>2570005</v>
      </c>
      <c r="D3024" s="12">
        <v>2570193</v>
      </c>
      <c r="E3024" s="12" t="s">
        <v>3940</v>
      </c>
      <c r="F3024" s="12">
        <v>1</v>
      </c>
      <c r="H3024" s="12" t="s">
        <v>3555</v>
      </c>
      <c r="I3024" s="41" t="s">
        <v>8017</v>
      </c>
      <c r="M3024" s="41" t="e">
        <f>VLOOKUP(I3024,错误mRNA总表!D:I,6,FALSE)</f>
        <v>#N/A</v>
      </c>
    </row>
    <row r="3025" spans="1:13" x14ac:dyDescent="0.2">
      <c r="A3025" s="12" t="s">
        <v>4147</v>
      </c>
      <c r="B3025" s="12" t="s">
        <v>3969</v>
      </c>
      <c r="C3025" s="12">
        <v>1273221</v>
      </c>
      <c r="D3025" s="12">
        <v>1274620</v>
      </c>
      <c r="E3025" s="12" t="s">
        <v>3943</v>
      </c>
      <c r="F3025" s="12">
        <v>19</v>
      </c>
      <c r="H3025" s="12" t="s">
        <v>5814</v>
      </c>
      <c r="I3025" s="41" t="s">
        <v>8018</v>
      </c>
      <c r="M3025" s="41" t="e">
        <f>VLOOKUP(I3025,错误mRNA总表!D:I,6,FALSE)</f>
        <v>#N/A</v>
      </c>
    </row>
    <row r="3026" spans="1:13" x14ac:dyDescent="0.2">
      <c r="A3026" s="12" t="s">
        <v>5450</v>
      </c>
      <c r="B3026" s="12" t="s">
        <v>4182</v>
      </c>
      <c r="C3026" s="12">
        <v>7487</v>
      </c>
      <c r="D3026" s="12">
        <v>7610</v>
      </c>
      <c r="E3026" s="12" t="s">
        <v>3940</v>
      </c>
      <c r="F3026" s="12">
        <v>1240</v>
      </c>
      <c r="H3026" s="12" t="s">
        <v>6249</v>
      </c>
      <c r="I3026" s="41" t="s">
        <v>8019</v>
      </c>
      <c r="M3026" s="41" t="e">
        <f>VLOOKUP(I3026,错误mRNA总表!D:I,6,FALSE)</f>
        <v>#N/A</v>
      </c>
    </row>
    <row r="3027" spans="1:13" x14ac:dyDescent="0.2">
      <c r="A3027" s="12" t="s">
        <v>5450</v>
      </c>
      <c r="B3027" s="12" t="s">
        <v>4182</v>
      </c>
      <c r="C3027" s="12">
        <v>7487</v>
      </c>
      <c r="D3027" s="12">
        <v>15843</v>
      </c>
      <c r="E3027" s="12" t="s">
        <v>3940</v>
      </c>
      <c r="F3027" s="12">
        <v>172</v>
      </c>
      <c r="H3027" s="12" t="s">
        <v>6249</v>
      </c>
      <c r="I3027" s="41" t="s">
        <v>8019</v>
      </c>
      <c r="M3027" s="41" t="e">
        <f>VLOOKUP(I3027,错误mRNA总表!D:I,6,FALSE)</f>
        <v>#N/A</v>
      </c>
    </row>
    <row r="3028" spans="1:13" x14ac:dyDescent="0.2">
      <c r="A3028" s="12" t="s">
        <v>5450</v>
      </c>
      <c r="B3028" s="12" t="s">
        <v>4182</v>
      </c>
      <c r="C3028" s="12">
        <v>7487</v>
      </c>
      <c r="D3028" s="12">
        <v>15821</v>
      </c>
      <c r="E3028" s="12" t="s">
        <v>3940</v>
      </c>
      <c r="F3028" s="12">
        <v>3</v>
      </c>
      <c r="H3028" s="12" t="s">
        <v>6249</v>
      </c>
      <c r="I3028" s="41" t="s">
        <v>8019</v>
      </c>
      <c r="M3028" s="41" t="e">
        <f>VLOOKUP(I3028,错误mRNA总表!D:I,6,FALSE)</f>
        <v>#N/A</v>
      </c>
    </row>
    <row r="3029" spans="1:13" x14ac:dyDescent="0.2">
      <c r="A3029" s="12" t="s">
        <v>5412</v>
      </c>
      <c r="B3029" s="12" t="s">
        <v>4081</v>
      </c>
      <c r="C3029" s="12">
        <v>28496</v>
      </c>
      <c r="D3029" s="12">
        <v>39232</v>
      </c>
      <c r="E3029" s="12" t="s">
        <v>3940</v>
      </c>
      <c r="F3029" s="12">
        <v>1</v>
      </c>
      <c r="H3029" s="12" t="s">
        <v>6239</v>
      </c>
      <c r="I3029" s="41" t="s">
        <v>8020</v>
      </c>
      <c r="M3029" s="41" t="e">
        <f>VLOOKUP(I3029,错误mRNA总表!D:I,6,FALSE)</f>
        <v>#N/A</v>
      </c>
    </row>
    <row r="3030" spans="1:13" x14ac:dyDescent="0.2">
      <c r="A3030" s="12" t="s">
        <v>5412</v>
      </c>
      <c r="B3030" s="12" t="s">
        <v>4081</v>
      </c>
      <c r="C3030" s="12">
        <v>28496</v>
      </c>
      <c r="D3030" s="12">
        <v>39371</v>
      </c>
      <c r="E3030" s="12" t="s">
        <v>3940</v>
      </c>
      <c r="F3030" s="12">
        <v>2</v>
      </c>
      <c r="H3030" s="12" t="s">
        <v>6239</v>
      </c>
      <c r="I3030" s="41" t="s">
        <v>8020</v>
      </c>
      <c r="M3030" s="41" t="e">
        <f>VLOOKUP(I3030,错误mRNA总表!D:I,6,FALSE)</f>
        <v>#N/A</v>
      </c>
    </row>
    <row r="3031" spans="1:13" x14ac:dyDescent="0.2">
      <c r="A3031" s="12" t="s">
        <v>5451</v>
      </c>
      <c r="B3031" s="12" t="s">
        <v>3942</v>
      </c>
      <c r="C3031" s="12">
        <v>35055802</v>
      </c>
      <c r="D3031" s="12">
        <v>35058665</v>
      </c>
      <c r="E3031" s="12" t="s">
        <v>3940</v>
      </c>
      <c r="F3031" s="12">
        <v>1</v>
      </c>
      <c r="G3031" s="41" t="s">
        <v>186</v>
      </c>
      <c r="H3031" s="12" t="s">
        <v>6626</v>
      </c>
      <c r="I3031" s="41" t="s">
        <v>8021</v>
      </c>
      <c r="M3031" s="41" t="e">
        <f>VLOOKUP(I3031,错误mRNA总表!D:I,6,FALSE)</f>
        <v>#N/A</v>
      </c>
    </row>
    <row r="3032" spans="1:13" x14ac:dyDescent="0.2">
      <c r="A3032" s="12" t="s">
        <v>5451</v>
      </c>
      <c r="B3032" s="12" t="s">
        <v>3942</v>
      </c>
      <c r="C3032" s="12">
        <v>35055802</v>
      </c>
      <c r="D3032" s="12">
        <v>35058727</v>
      </c>
      <c r="E3032" s="12" t="s">
        <v>3940</v>
      </c>
      <c r="F3032" s="12">
        <v>1</v>
      </c>
      <c r="G3032" s="41" t="s">
        <v>186</v>
      </c>
      <c r="H3032" s="12" t="s">
        <v>6626</v>
      </c>
      <c r="I3032" s="41" t="s">
        <v>8021</v>
      </c>
      <c r="M3032" s="41" t="e">
        <f>VLOOKUP(I3032,错误mRNA总表!D:I,6,FALSE)</f>
        <v>#N/A</v>
      </c>
    </row>
    <row r="3033" spans="1:13" x14ac:dyDescent="0.2">
      <c r="A3033" s="12" t="s">
        <v>5451</v>
      </c>
      <c r="B3033" s="12" t="s">
        <v>3942</v>
      </c>
      <c r="C3033" s="12">
        <v>35055802</v>
      </c>
      <c r="D3033" s="12">
        <v>35058804</v>
      </c>
      <c r="E3033" s="12" t="s">
        <v>3940</v>
      </c>
      <c r="F3033" s="12">
        <v>1</v>
      </c>
      <c r="G3033" s="41" t="s">
        <v>186</v>
      </c>
      <c r="H3033" s="12" t="s">
        <v>6626</v>
      </c>
      <c r="I3033" s="41" t="s">
        <v>8021</v>
      </c>
      <c r="M3033" s="41" t="e">
        <f>VLOOKUP(I3033,错误mRNA总表!D:I,6,FALSE)</f>
        <v>#N/A</v>
      </c>
    </row>
    <row r="3034" spans="1:13" x14ac:dyDescent="0.2">
      <c r="A3034" s="12" t="s">
        <v>4416</v>
      </c>
      <c r="B3034" s="12" t="s">
        <v>4087</v>
      </c>
      <c r="C3034" s="12">
        <v>33914</v>
      </c>
      <c r="D3034" s="12">
        <v>34584</v>
      </c>
      <c r="E3034" s="12" t="s">
        <v>3940</v>
      </c>
      <c r="F3034" s="12">
        <v>21</v>
      </c>
      <c r="H3034" s="12" t="s">
        <v>5893</v>
      </c>
      <c r="I3034" s="41" t="s">
        <v>8022</v>
      </c>
      <c r="M3034" s="41" t="e">
        <f>VLOOKUP(I3034,错误mRNA总表!D:I,6,FALSE)</f>
        <v>#N/A</v>
      </c>
    </row>
    <row r="3035" spans="1:13" x14ac:dyDescent="0.2">
      <c r="A3035" s="12" t="s">
        <v>4186</v>
      </c>
      <c r="B3035" s="12" t="s">
        <v>3984</v>
      </c>
      <c r="C3035" s="12">
        <v>1150043</v>
      </c>
      <c r="D3035" s="12">
        <v>1150282</v>
      </c>
      <c r="E3035" s="12" t="s">
        <v>3940</v>
      </c>
      <c r="F3035" s="12">
        <v>6</v>
      </c>
      <c r="H3035" s="12" t="s">
        <v>6398</v>
      </c>
      <c r="I3035" s="41" t="s">
        <v>8023</v>
      </c>
      <c r="M3035" s="41" t="e">
        <f>VLOOKUP(I3035,错误mRNA总表!D:I,6,FALSE)</f>
        <v>#N/A</v>
      </c>
    </row>
    <row r="3036" spans="1:13" x14ac:dyDescent="0.2">
      <c r="A3036" s="12" t="s">
        <v>4186</v>
      </c>
      <c r="B3036" s="12" t="s">
        <v>3984</v>
      </c>
      <c r="C3036" s="12">
        <v>1150043</v>
      </c>
      <c r="D3036" s="12">
        <v>1151798</v>
      </c>
      <c r="E3036" s="12" t="s">
        <v>3940</v>
      </c>
      <c r="F3036" s="12">
        <v>1</v>
      </c>
      <c r="H3036" s="12" t="s">
        <v>6398</v>
      </c>
      <c r="I3036" s="41" t="s">
        <v>8023</v>
      </c>
      <c r="M3036" s="41" t="e">
        <f>VLOOKUP(I3036,错误mRNA总表!D:I,6,FALSE)</f>
        <v>#N/A</v>
      </c>
    </row>
    <row r="3037" spans="1:13" x14ac:dyDescent="0.2">
      <c r="A3037" s="12" t="s">
        <v>4186</v>
      </c>
      <c r="B3037" s="12" t="s">
        <v>3984</v>
      </c>
      <c r="C3037" s="12">
        <v>1150043</v>
      </c>
      <c r="D3037" s="12">
        <v>1151921</v>
      </c>
      <c r="E3037" s="12" t="s">
        <v>3940</v>
      </c>
      <c r="F3037" s="12">
        <v>1</v>
      </c>
      <c r="H3037" s="12" t="s">
        <v>6398</v>
      </c>
      <c r="I3037" s="41" t="s">
        <v>8023</v>
      </c>
      <c r="M3037" s="41" t="e">
        <f>VLOOKUP(I3037,错误mRNA总表!D:I,6,FALSE)</f>
        <v>#N/A</v>
      </c>
    </row>
    <row r="3038" spans="1:13" x14ac:dyDescent="0.2">
      <c r="A3038" s="12" t="s">
        <v>4186</v>
      </c>
      <c r="B3038" s="12" t="s">
        <v>3984</v>
      </c>
      <c r="C3038" s="12">
        <v>1150043</v>
      </c>
      <c r="D3038" s="12">
        <v>1153197</v>
      </c>
      <c r="E3038" s="12" t="s">
        <v>3940</v>
      </c>
      <c r="F3038" s="12">
        <v>4</v>
      </c>
      <c r="H3038" s="12" t="s">
        <v>6398</v>
      </c>
      <c r="I3038" s="41" t="s">
        <v>8023</v>
      </c>
      <c r="M3038" s="41" t="e">
        <f>VLOOKUP(I3038,错误mRNA总表!D:I,6,FALSE)</f>
        <v>#N/A</v>
      </c>
    </row>
    <row r="3039" spans="1:13" x14ac:dyDescent="0.2">
      <c r="A3039" s="12" t="s">
        <v>5452</v>
      </c>
      <c r="B3039" s="12" t="s">
        <v>4052</v>
      </c>
      <c r="C3039" s="12">
        <v>64571756</v>
      </c>
      <c r="D3039" s="12">
        <v>64572037</v>
      </c>
      <c r="E3039" s="12" t="s">
        <v>3943</v>
      </c>
      <c r="F3039" s="12">
        <v>1</v>
      </c>
      <c r="G3039" s="41" t="s">
        <v>93</v>
      </c>
      <c r="H3039" s="12" t="s">
        <v>6521</v>
      </c>
      <c r="I3039" s="41" t="s">
        <v>7365</v>
      </c>
      <c r="M3039" s="41" t="e">
        <f>VLOOKUP(I3039,错误mRNA总表!D:I,6,FALSE)</f>
        <v>#N/A</v>
      </c>
    </row>
    <row r="3040" spans="1:13" x14ac:dyDescent="0.2">
      <c r="A3040" s="12" t="s">
        <v>4450</v>
      </c>
      <c r="B3040" s="12" t="s">
        <v>3964</v>
      </c>
      <c r="C3040" s="12">
        <v>2842421</v>
      </c>
      <c r="D3040" s="12">
        <v>2857527</v>
      </c>
      <c r="E3040" s="12" t="s">
        <v>3940</v>
      </c>
      <c r="F3040" s="12">
        <v>2</v>
      </c>
      <c r="H3040" s="12" t="s">
        <v>5904</v>
      </c>
      <c r="I3040" s="41" t="s">
        <v>8024</v>
      </c>
      <c r="M3040" s="41" t="e">
        <f>VLOOKUP(I3040,错误mRNA总表!D:I,6,FALSE)</f>
        <v>#N/A</v>
      </c>
    </row>
    <row r="3041" spans="1:13" x14ac:dyDescent="0.2">
      <c r="A3041" s="12" t="s">
        <v>5453</v>
      </c>
      <c r="B3041" s="12" t="s">
        <v>4052</v>
      </c>
      <c r="C3041" s="12">
        <v>116853124</v>
      </c>
      <c r="D3041" s="12">
        <v>116931102</v>
      </c>
      <c r="E3041" s="12" t="s">
        <v>3940</v>
      </c>
      <c r="F3041" s="12">
        <v>2</v>
      </c>
      <c r="G3041" s="41" t="s">
        <v>93</v>
      </c>
      <c r="H3041" s="12" t="s">
        <v>3455</v>
      </c>
      <c r="I3041" s="41" t="s">
        <v>7897</v>
      </c>
      <c r="M3041" s="41" t="e">
        <f>VLOOKUP(I3041,错误mRNA总表!D:I,6,FALSE)</f>
        <v>#N/A</v>
      </c>
    </row>
    <row r="3042" spans="1:13" x14ac:dyDescent="0.2">
      <c r="A3042" s="12" t="s">
        <v>5454</v>
      </c>
      <c r="B3042" s="12" t="s">
        <v>3946</v>
      </c>
      <c r="C3042" s="12">
        <v>72912176</v>
      </c>
      <c r="D3042" s="12">
        <v>72913088</v>
      </c>
      <c r="E3042" s="12" t="s">
        <v>3943</v>
      </c>
      <c r="F3042" s="12">
        <v>2</v>
      </c>
      <c r="G3042" s="41" t="s">
        <v>47</v>
      </c>
      <c r="H3042" s="12" t="s">
        <v>6468</v>
      </c>
      <c r="I3042" s="41" t="s">
        <v>8025</v>
      </c>
      <c r="M3042" s="41" t="e">
        <f>VLOOKUP(I3042,错误mRNA总表!D:I,6,FALSE)</f>
        <v>#N/A</v>
      </c>
    </row>
    <row r="3043" spans="1:13" x14ac:dyDescent="0.2">
      <c r="A3043" s="12" t="s">
        <v>5454</v>
      </c>
      <c r="B3043" s="12" t="s">
        <v>3946</v>
      </c>
      <c r="C3043" s="12">
        <v>72912176</v>
      </c>
      <c r="D3043" s="12">
        <v>72913796</v>
      </c>
      <c r="E3043" s="12" t="s">
        <v>3943</v>
      </c>
      <c r="F3043" s="12">
        <v>1</v>
      </c>
      <c r="G3043" s="41" t="s">
        <v>47</v>
      </c>
      <c r="H3043" s="12" t="s">
        <v>6468</v>
      </c>
      <c r="I3043" s="41" t="s">
        <v>8025</v>
      </c>
      <c r="M3043" s="41" t="e">
        <f>VLOOKUP(I3043,错误mRNA总表!D:I,6,FALSE)</f>
        <v>#N/A</v>
      </c>
    </row>
    <row r="3044" spans="1:13" x14ac:dyDescent="0.2">
      <c r="A3044" s="12" t="s">
        <v>5427</v>
      </c>
      <c r="B3044" s="12" t="s">
        <v>3954</v>
      </c>
      <c r="C3044" s="12">
        <v>331596</v>
      </c>
      <c r="D3044" s="12">
        <v>331694</v>
      </c>
      <c r="E3044" s="12" t="s">
        <v>3940</v>
      </c>
      <c r="F3044" s="12">
        <v>1</v>
      </c>
      <c r="G3044" s="41" t="s">
        <v>569</v>
      </c>
      <c r="H3044" s="12" t="s">
        <v>3513</v>
      </c>
      <c r="I3044" s="41" t="s">
        <v>8026</v>
      </c>
      <c r="M3044" s="41" t="e">
        <f>VLOOKUP(I3044,错误mRNA总表!D:I,6,FALSE)</f>
        <v>#N/A</v>
      </c>
    </row>
    <row r="3045" spans="1:13" x14ac:dyDescent="0.2">
      <c r="A3045" s="12" t="s">
        <v>5455</v>
      </c>
      <c r="B3045" s="12" t="s">
        <v>3946</v>
      </c>
      <c r="C3045" s="12">
        <v>8706041</v>
      </c>
      <c r="D3045" s="12">
        <v>8725214</v>
      </c>
      <c r="E3045" s="12" t="s">
        <v>3940</v>
      </c>
      <c r="F3045" s="12">
        <v>1</v>
      </c>
      <c r="G3045" s="41" t="s">
        <v>47</v>
      </c>
      <c r="H3045" s="12" t="s">
        <v>189</v>
      </c>
      <c r="I3045" s="41" t="s">
        <v>8027</v>
      </c>
      <c r="J3045" s="41" t="s">
        <v>2188</v>
      </c>
      <c r="K3045" s="41" t="str">
        <f>VLOOKUP(J3045,错误mRNA总表!D:J,7,FALSE)</f>
        <v>纠后正确</v>
      </c>
      <c r="M3045" s="41" t="e">
        <f>VLOOKUP(I3045,错误mRNA总表!D:I,6,FALSE)</f>
        <v>#N/A</v>
      </c>
    </row>
    <row r="3046" spans="1:13" x14ac:dyDescent="0.2">
      <c r="A3046" s="12" t="s">
        <v>5456</v>
      </c>
      <c r="B3046" s="12" t="s">
        <v>3966</v>
      </c>
      <c r="C3046" s="12">
        <v>37600277</v>
      </c>
      <c r="D3046" s="12">
        <v>37602583</v>
      </c>
      <c r="E3046" s="12" t="s">
        <v>3940</v>
      </c>
      <c r="F3046" s="12">
        <v>1</v>
      </c>
      <c r="G3046" s="41" t="s">
        <v>43</v>
      </c>
      <c r="H3046" s="12" t="s">
        <v>6592</v>
      </c>
      <c r="I3046" s="41" t="s">
        <v>8028</v>
      </c>
      <c r="M3046" s="41" t="e">
        <f>VLOOKUP(I3046,错误mRNA总表!D:I,6,FALSE)</f>
        <v>#N/A</v>
      </c>
    </row>
    <row r="3047" spans="1:13" x14ac:dyDescent="0.2">
      <c r="A3047" s="12" t="s">
        <v>5457</v>
      </c>
      <c r="B3047" s="12" t="s">
        <v>4175</v>
      </c>
      <c r="C3047" s="12">
        <v>5065372</v>
      </c>
      <c r="D3047" s="12">
        <v>5072090</v>
      </c>
      <c r="E3047" s="12" t="s">
        <v>3943</v>
      </c>
      <c r="F3047" s="12">
        <v>1</v>
      </c>
      <c r="H3047" s="12" t="s">
        <v>1399</v>
      </c>
      <c r="I3047" s="41" t="s">
        <v>8029</v>
      </c>
      <c r="J3047" s="41" t="s">
        <v>3201</v>
      </c>
      <c r="K3047" s="41" t="str">
        <f>VLOOKUP(J3047,错误mRNA总表!D:J,7,FALSE)</f>
        <v/>
      </c>
      <c r="M3047" s="41" t="e">
        <f>VLOOKUP(I3047,错误mRNA总表!D:I,6,FALSE)</f>
        <v>#N/A</v>
      </c>
    </row>
    <row r="3048" spans="1:13" x14ac:dyDescent="0.2">
      <c r="A3048" s="12" t="s">
        <v>5458</v>
      </c>
      <c r="B3048" s="12" t="s">
        <v>4004</v>
      </c>
      <c r="C3048" s="12">
        <v>104311059</v>
      </c>
      <c r="D3048" s="12">
        <v>104343941</v>
      </c>
      <c r="E3048" s="12" t="s">
        <v>3943</v>
      </c>
      <c r="F3048" s="12">
        <v>1</v>
      </c>
      <c r="G3048" s="41" t="s">
        <v>103</v>
      </c>
      <c r="H3048" s="12" t="s">
        <v>6250</v>
      </c>
      <c r="I3048" s="41" t="s">
        <v>8030</v>
      </c>
      <c r="M3048" s="41" t="e">
        <f>VLOOKUP(I3048,错误mRNA总表!D:I,6,FALSE)</f>
        <v>#N/A</v>
      </c>
    </row>
    <row r="3049" spans="1:13" x14ac:dyDescent="0.2">
      <c r="A3049" s="12" t="s">
        <v>5459</v>
      </c>
      <c r="B3049" s="12" t="s">
        <v>4042</v>
      </c>
      <c r="C3049" s="12">
        <v>82763613</v>
      </c>
      <c r="D3049" s="12">
        <v>82764724</v>
      </c>
      <c r="E3049" s="12" t="s">
        <v>3943</v>
      </c>
      <c r="F3049" s="12">
        <v>5</v>
      </c>
      <c r="G3049" s="41" t="s">
        <v>113</v>
      </c>
      <c r="H3049" s="12" t="s">
        <v>6550</v>
      </c>
      <c r="I3049" s="41" t="s">
        <v>8031</v>
      </c>
      <c r="M3049" s="41" t="e">
        <f>VLOOKUP(I3049,错误mRNA总表!D:I,6,FALSE)</f>
        <v>#N/A</v>
      </c>
    </row>
    <row r="3050" spans="1:13" x14ac:dyDescent="0.2">
      <c r="A3050" s="12" t="s">
        <v>4566</v>
      </c>
      <c r="B3050" s="12" t="s">
        <v>3952</v>
      </c>
      <c r="C3050" s="12">
        <v>166217</v>
      </c>
      <c r="D3050" s="12">
        <v>169304</v>
      </c>
      <c r="E3050" s="12" t="s">
        <v>3940</v>
      </c>
      <c r="F3050" s="12">
        <v>3</v>
      </c>
      <c r="H3050" s="12" t="s">
        <v>3651</v>
      </c>
      <c r="I3050" s="41" t="s">
        <v>8032</v>
      </c>
      <c r="M3050" s="41" t="e">
        <f>VLOOKUP(I3050,错误mRNA总表!D:I,6,FALSE)</f>
        <v>#N/A</v>
      </c>
    </row>
    <row r="3051" spans="1:13" x14ac:dyDescent="0.2">
      <c r="A3051" s="12" t="s">
        <v>5460</v>
      </c>
      <c r="B3051" s="12" t="s">
        <v>4052</v>
      </c>
      <c r="C3051" s="12">
        <v>51026321</v>
      </c>
      <c r="D3051" s="12">
        <v>51371103</v>
      </c>
      <c r="E3051" s="12" t="s">
        <v>3943</v>
      </c>
      <c r="F3051" s="12">
        <v>1</v>
      </c>
      <c r="G3051" s="41" t="s">
        <v>93</v>
      </c>
      <c r="H3051" s="12" t="s">
        <v>6251</v>
      </c>
      <c r="I3051" s="41" t="s">
        <v>8033</v>
      </c>
      <c r="M3051" s="41" t="e">
        <f>VLOOKUP(I3051,错误mRNA总表!D:I,6,FALSE)</f>
        <v>#N/A</v>
      </c>
    </row>
    <row r="3052" spans="1:13" x14ac:dyDescent="0.2">
      <c r="A3052" s="12" t="s">
        <v>5460</v>
      </c>
      <c r="B3052" s="12" t="s">
        <v>4052</v>
      </c>
      <c r="C3052" s="12">
        <v>51026321</v>
      </c>
      <c r="D3052" s="12">
        <v>51371122</v>
      </c>
      <c r="E3052" s="12" t="s">
        <v>3943</v>
      </c>
      <c r="F3052" s="12">
        <v>1</v>
      </c>
      <c r="G3052" s="41" t="s">
        <v>93</v>
      </c>
      <c r="H3052" s="12" t="s">
        <v>6251</v>
      </c>
      <c r="I3052" s="41" t="s">
        <v>8033</v>
      </c>
      <c r="M3052" s="41" t="e">
        <f>VLOOKUP(I3052,错误mRNA总表!D:I,6,FALSE)</f>
        <v>#N/A</v>
      </c>
    </row>
    <row r="3053" spans="1:13" x14ac:dyDescent="0.2">
      <c r="A3053" s="12" t="s">
        <v>5460</v>
      </c>
      <c r="B3053" s="12" t="s">
        <v>4052</v>
      </c>
      <c r="C3053" s="12">
        <v>51026321</v>
      </c>
      <c r="D3053" s="12">
        <v>51371131</v>
      </c>
      <c r="E3053" s="12" t="s">
        <v>3940</v>
      </c>
      <c r="F3053" s="12">
        <v>1</v>
      </c>
      <c r="G3053" s="41" t="s">
        <v>93</v>
      </c>
      <c r="H3053" s="12" t="s">
        <v>6251</v>
      </c>
      <c r="I3053" s="41" t="s">
        <v>8033</v>
      </c>
      <c r="M3053" s="41" t="e">
        <f>VLOOKUP(I3053,错误mRNA总表!D:I,6,FALSE)</f>
        <v>#N/A</v>
      </c>
    </row>
    <row r="3054" spans="1:13" x14ac:dyDescent="0.2">
      <c r="A3054" s="12" t="s">
        <v>4028</v>
      </c>
      <c r="B3054" s="12" t="s">
        <v>4273</v>
      </c>
      <c r="C3054" s="12">
        <v>134946</v>
      </c>
      <c r="D3054" s="12">
        <v>147927</v>
      </c>
      <c r="E3054" s="12" t="s">
        <v>3940</v>
      </c>
      <c r="F3054" s="12">
        <v>1</v>
      </c>
      <c r="H3054" s="12" t="s">
        <v>3649</v>
      </c>
      <c r="I3054" s="41" t="s">
        <v>6633</v>
      </c>
      <c r="M3054" s="41" t="e">
        <f>VLOOKUP(I3054,错误mRNA总表!D:I,6,FALSE)</f>
        <v>#N/A</v>
      </c>
    </row>
    <row r="3055" spans="1:13" x14ac:dyDescent="0.2">
      <c r="A3055" s="12" t="s">
        <v>4028</v>
      </c>
      <c r="B3055" s="12" t="s">
        <v>4273</v>
      </c>
      <c r="C3055" s="12">
        <v>134946</v>
      </c>
      <c r="D3055" s="12">
        <v>135009</v>
      </c>
      <c r="E3055" s="12" t="s">
        <v>3940</v>
      </c>
      <c r="F3055" s="12">
        <v>1</v>
      </c>
      <c r="H3055" s="12" t="s">
        <v>3649</v>
      </c>
      <c r="I3055" s="41" t="s">
        <v>6633</v>
      </c>
      <c r="M3055" s="41" t="e">
        <f>VLOOKUP(I3055,错误mRNA总表!D:I,6,FALSE)</f>
        <v>#N/A</v>
      </c>
    </row>
    <row r="3056" spans="1:13" x14ac:dyDescent="0.2">
      <c r="A3056" s="12" t="s">
        <v>5461</v>
      </c>
      <c r="B3056" s="12" t="s">
        <v>4124</v>
      </c>
      <c r="C3056" s="12">
        <v>239756673</v>
      </c>
      <c r="D3056" s="12">
        <v>239757375</v>
      </c>
      <c r="E3056" s="12" t="s">
        <v>3943</v>
      </c>
      <c r="F3056" s="12">
        <v>6</v>
      </c>
      <c r="G3056" s="41" t="s">
        <v>1</v>
      </c>
      <c r="H3056" s="12" t="s">
        <v>6252</v>
      </c>
      <c r="I3056" s="41" t="s">
        <v>7119</v>
      </c>
      <c r="M3056" s="41" t="e">
        <f>VLOOKUP(I3056,错误mRNA总表!D:I,6,FALSE)</f>
        <v>#N/A</v>
      </c>
    </row>
    <row r="3057" spans="1:13" x14ac:dyDescent="0.2">
      <c r="A3057" s="12" t="s">
        <v>5461</v>
      </c>
      <c r="B3057" s="12" t="s">
        <v>4124</v>
      </c>
      <c r="C3057" s="12">
        <v>239756673</v>
      </c>
      <c r="D3057" s="12">
        <v>239757388</v>
      </c>
      <c r="E3057" s="12" t="s">
        <v>3940</v>
      </c>
      <c r="F3057" s="12">
        <v>1</v>
      </c>
      <c r="G3057" s="41" t="s">
        <v>1</v>
      </c>
      <c r="H3057" s="12" t="s">
        <v>6252</v>
      </c>
      <c r="I3057" s="41" t="s">
        <v>7119</v>
      </c>
      <c r="M3057" s="41" t="e">
        <f>VLOOKUP(I3057,错误mRNA总表!D:I,6,FALSE)</f>
        <v>#N/A</v>
      </c>
    </row>
    <row r="3058" spans="1:13" x14ac:dyDescent="0.2">
      <c r="A3058" s="12" t="s">
        <v>5462</v>
      </c>
      <c r="B3058" s="12" t="s">
        <v>3946</v>
      </c>
      <c r="C3058" s="12">
        <v>73232694</v>
      </c>
      <c r="D3058" s="12">
        <v>73234010</v>
      </c>
      <c r="E3058" s="12" t="s">
        <v>3940</v>
      </c>
      <c r="F3058" s="12">
        <v>14</v>
      </c>
      <c r="G3058" s="41" t="s">
        <v>47</v>
      </c>
      <c r="H3058" s="12" t="s">
        <v>6469</v>
      </c>
      <c r="I3058" s="41" t="s">
        <v>8034</v>
      </c>
      <c r="M3058" s="41" t="e">
        <f>VLOOKUP(I3058,错误mRNA总表!D:I,6,FALSE)</f>
        <v>#N/A</v>
      </c>
    </row>
    <row r="3059" spans="1:13" x14ac:dyDescent="0.2">
      <c r="A3059" s="12" t="s">
        <v>5463</v>
      </c>
      <c r="B3059" s="12" t="s">
        <v>3962</v>
      </c>
      <c r="C3059" s="12">
        <v>60174817</v>
      </c>
      <c r="D3059" s="12">
        <v>60512340</v>
      </c>
      <c r="E3059" s="12" t="s">
        <v>3940</v>
      </c>
      <c r="F3059" s="12">
        <v>2</v>
      </c>
      <c r="G3059" s="41" t="s">
        <v>53</v>
      </c>
      <c r="H3059" s="12" t="s">
        <v>6470</v>
      </c>
      <c r="I3059" s="41" t="s">
        <v>8035</v>
      </c>
      <c r="M3059" s="41" t="e">
        <f>VLOOKUP(I3059,错误mRNA总表!D:I,6,FALSE)</f>
        <v>#N/A</v>
      </c>
    </row>
    <row r="3060" spans="1:13" x14ac:dyDescent="0.2">
      <c r="A3060" s="12" t="s">
        <v>5464</v>
      </c>
      <c r="B3060" s="12" t="s">
        <v>4012</v>
      </c>
      <c r="C3060" s="12">
        <v>76311115</v>
      </c>
      <c r="D3060" s="12">
        <v>76311603</v>
      </c>
      <c r="E3060" s="12" t="s">
        <v>3940</v>
      </c>
      <c r="F3060" s="12">
        <v>1</v>
      </c>
      <c r="G3060" s="41" t="s">
        <v>121</v>
      </c>
      <c r="H3060" s="12" t="s">
        <v>6253</v>
      </c>
      <c r="I3060" s="41" t="s">
        <v>8036</v>
      </c>
      <c r="M3060" s="41" t="e">
        <f>VLOOKUP(I3060,错误mRNA总表!D:I,6,FALSE)</f>
        <v>#N/A</v>
      </c>
    </row>
    <row r="3061" spans="1:13" x14ac:dyDescent="0.2">
      <c r="A3061" s="12" t="s">
        <v>5465</v>
      </c>
      <c r="B3061" s="12" t="s">
        <v>3973</v>
      </c>
      <c r="C3061" s="12">
        <v>110527387</v>
      </c>
      <c r="D3061" s="12">
        <v>110527452</v>
      </c>
      <c r="E3061" s="12" t="s">
        <v>3940</v>
      </c>
      <c r="F3061" s="12">
        <v>1</v>
      </c>
      <c r="G3061" s="41" t="s">
        <v>139</v>
      </c>
      <c r="H3061" s="12" t="s">
        <v>6614</v>
      </c>
      <c r="I3061" s="41" t="s">
        <v>8037</v>
      </c>
      <c r="M3061" s="41" t="e">
        <f>VLOOKUP(I3061,错误mRNA总表!D:I,6,FALSE)</f>
        <v>#N/A</v>
      </c>
    </row>
    <row r="3062" spans="1:13" x14ac:dyDescent="0.2">
      <c r="A3062" s="12" t="s">
        <v>4132</v>
      </c>
      <c r="B3062" s="12" t="s">
        <v>4942</v>
      </c>
      <c r="C3062" s="12">
        <v>165695</v>
      </c>
      <c r="D3062" s="12">
        <v>169309</v>
      </c>
      <c r="E3062" s="12" t="s">
        <v>3943</v>
      </c>
      <c r="F3062" s="12">
        <v>3</v>
      </c>
      <c r="H3062" s="12" t="s">
        <v>5810</v>
      </c>
      <c r="I3062" s="41" t="s">
        <v>6752</v>
      </c>
      <c r="M3062" s="41" t="e">
        <f>VLOOKUP(I3062,错误mRNA总表!D:I,6,FALSE)</f>
        <v>#N/A</v>
      </c>
    </row>
    <row r="3063" spans="1:13" x14ac:dyDescent="0.2">
      <c r="A3063" s="12" t="s">
        <v>5466</v>
      </c>
      <c r="B3063" s="12" t="s">
        <v>4052</v>
      </c>
      <c r="C3063" s="12">
        <v>51026321</v>
      </c>
      <c r="D3063" s="12">
        <v>51371103</v>
      </c>
      <c r="E3063" s="12" t="s">
        <v>3943</v>
      </c>
      <c r="F3063" s="12">
        <v>1</v>
      </c>
      <c r="G3063" s="41" t="s">
        <v>93</v>
      </c>
      <c r="H3063" s="12" t="s">
        <v>6254</v>
      </c>
      <c r="I3063" s="41" t="s">
        <v>8038</v>
      </c>
      <c r="M3063" s="41" t="e">
        <f>VLOOKUP(I3063,错误mRNA总表!D:I,6,FALSE)</f>
        <v>#N/A</v>
      </c>
    </row>
    <row r="3064" spans="1:13" x14ac:dyDescent="0.2">
      <c r="A3064" s="12" t="s">
        <v>5466</v>
      </c>
      <c r="B3064" s="12" t="s">
        <v>4052</v>
      </c>
      <c r="C3064" s="12">
        <v>51026321</v>
      </c>
      <c r="D3064" s="12">
        <v>51371122</v>
      </c>
      <c r="E3064" s="12" t="s">
        <v>3943</v>
      </c>
      <c r="F3064" s="12">
        <v>1</v>
      </c>
      <c r="G3064" s="41" t="s">
        <v>93</v>
      </c>
      <c r="H3064" s="12" t="s">
        <v>6254</v>
      </c>
      <c r="I3064" s="41" t="s">
        <v>8038</v>
      </c>
      <c r="M3064" s="41" t="e">
        <f>VLOOKUP(I3064,错误mRNA总表!D:I,6,FALSE)</f>
        <v>#N/A</v>
      </c>
    </row>
    <row r="3065" spans="1:13" x14ac:dyDescent="0.2">
      <c r="A3065" s="12" t="s">
        <v>5466</v>
      </c>
      <c r="B3065" s="12" t="s">
        <v>4052</v>
      </c>
      <c r="C3065" s="12">
        <v>51026321</v>
      </c>
      <c r="D3065" s="12">
        <v>51371131</v>
      </c>
      <c r="E3065" s="12" t="s">
        <v>3940</v>
      </c>
      <c r="F3065" s="12">
        <v>1</v>
      </c>
      <c r="G3065" s="41" t="s">
        <v>93</v>
      </c>
      <c r="H3065" s="12" t="s">
        <v>6254</v>
      </c>
      <c r="I3065" s="41" t="s">
        <v>8038</v>
      </c>
      <c r="M3065" s="41" t="e">
        <f>VLOOKUP(I3065,错误mRNA总表!D:I,6,FALSE)</f>
        <v>#N/A</v>
      </c>
    </row>
    <row r="3066" spans="1:13" x14ac:dyDescent="0.2">
      <c r="A3066" s="12" t="s">
        <v>4403</v>
      </c>
      <c r="B3066" s="12" t="s">
        <v>4001</v>
      </c>
      <c r="C3066" s="12">
        <v>2164481</v>
      </c>
      <c r="D3066" s="12">
        <v>2168855</v>
      </c>
      <c r="E3066" s="12" t="s">
        <v>3940</v>
      </c>
      <c r="F3066" s="12">
        <v>1</v>
      </c>
      <c r="H3066" s="12" t="s">
        <v>3419</v>
      </c>
      <c r="I3066" s="41" t="s">
        <v>8039</v>
      </c>
      <c r="M3066" s="41" t="e">
        <f>VLOOKUP(I3066,错误mRNA总表!D:I,6,FALSE)</f>
        <v>#N/A</v>
      </c>
    </row>
    <row r="3067" spans="1:13" x14ac:dyDescent="0.2">
      <c r="A3067" s="12" t="s">
        <v>4403</v>
      </c>
      <c r="B3067" s="12" t="s">
        <v>4001</v>
      </c>
      <c r="C3067" s="12">
        <v>2164481</v>
      </c>
      <c r="D3067" s="12">
        <v>2168864</v>
      </c>
      <c r="E3067" s="12" t="s">
        <v>3943</v>
      </c>
      <c r="F3067" s="12">
        <v>2</v>
      </c>
      <c r="H3067" s="12" t="s">
        <v>3419</v>
      </c>
      <c r="I3067" s="41" t="s">
        <v>8039</v>
      </c>
      <c r="M3067" s="41" t="e">
        <f>VLOOKUP(I3067,错误mRNA总表!D:I,6,FALSE)</f>
        <v>#N/A</v>
      </c>
    </row>
    <row r="3068" spans="1:13" x14ac:dyDescent="0.2">
      <c r="A3068" s="12" t="s">
        <v>5467</v>
      </c>
      <c r="B3068" s="12" t="s">
        <v>4004</v>
      </c>
      <c r="C3068" s="12">
        <v>145554228</v>
      </c>
      <c r="D3068" s="12">
        <v>145556063</v>
      </c>
      <c r="E3068" s="12" t="s">
        <v>3940</v>
      </c>
      <c r="F3068" s="12">
        <v>1</v>
      </c>
      <c r="G3068" s="41" t="s">
        <v>103</v>
      </c>
      <c r="H3068" s="12" t="s">
        <v>3602</v>
      </c>
      <c r="I3068" s="41" t="s">
        <v>8040</v>
      </c>
      <c r="M3068" s="41" t="e">
        <f>VLOOKUP(I3068,错误mRNA总表!D:I,6,FALSE)</f>
        <v>#N/A</v>
      </c>
    </row>
    <row r="3069" spans="1:13" x14ac:dyDescent="0.2">
      <c r="A3069" s="12" t="s">
        <v>5468</v>
      </c>
      <c r="B3069" s="12" t="s">
        <v>4004</v>
      </c>
      <c r="C3069" s="12">
        <v>144295068</v>
      </c>
      <c r="D3069" s="12">
        <v>144298159</v>
      </c>
      <c r="E3069" s="12" t="s">
        <v>3940</v>
      </c>
      <c r="F3069" s="12">
        <v>1</v>
      </c>
      <c r="G3069" s="41" t="s">
        <v>103</v>
      </c>
      <c r="H3069" s="12" t="s">
        <v>6615</v>
      </c>
      <c r="I3069" s="41" t="s">
        <v>8041</v>
      </c>
      <c r="M3069" s="41" t="e">
        <f>VLOOKUP(I3069,错误mRNA总表!D:I,6,FALSE)</f>
        <v>#N/A</v>
      </c>
    </row>
    <row r="3070" spans="1:13" x14ac:dyDescent="0.2">
      <c r="A3070" s="12" t="s">
        <v>5469</v>
      </c>
      <c r="B3070" s="12" t="s">
        <v>3942</v>
      </c>
      <c r="C3070" s="12">
        <v>175810940</v>
      </c>
      <c r="D3070" s="12">
        <v>175811094</v>
      </c>
      <c r="E3070" s="12" t="s">
        <v>3940</v>
      </c>
      <c r="F3070" s="12">
        <v>2</v>
      </c>
      <c r="G3070" s="41" t="s">
        <v>186</v>
      </c>
      <c r="H3070" s="12" t="s">
        <v>6382</v>
      </c>
      <c r="I3070" s="41" t="s">
        <v>6761</v>
      </c>
      <c r="M3070" s="41" t="e">
        <f>VLOOKUP(I3070,错误mRNA总表!D:I,6,FALSE)</f>
        <v>#N/A</v>
      </c>
    </row>
    <row r="3071" spans="1:13" x14ac:dyDescent="0.2">
      <c r="A3071" s="12" t="s">
        <v>5470</v>
      </c>
      <c r="B3071" s="12" t="s">
        <v>4018</v>
      </c>
      <c r="C3071" s="12">
        <v>17566699</v>
      </c>
      <c r="D3071" s="12">
        <v>17981988</v>
      </c>
      <c r="E3071" s="12" t="s">
        <v>3940</v>
      </c>
      <c r="F3071" s="12">
        <v>1</v>
      </c>
      <c r="G3071" s="41" t="s">
        <v>241</v>
      </c>
      <c r="H3071" s="12" t="s">
        <v>6255</v>
      </c>
      <c r="I3071" s="41" t="s">
        <v>8042</v>
      </c>
      <c r="M3071" s="41" t="e">
        <f>VLOOKUP(I3071,错误mRNA总表!D:I,6,FALSE)</f>
        <v>#N/A</v>
      </c>
    </row>
    <row r="3072" spans="1:13" x14ac:dyDescent="0.2">
      <c r="A3072" s="12" t="s">
        <v>5057</v>
      </c>
      <c r="B3072" s="12" t="s">
        <v>4047</v>
      </c>
      <c r="C3072" s="12">
        <v>1264869</v>
      </c>
      <c r="D3072" s="12">
        <v>1264883</v>
      </c>
      <c r="E3072" s="12" t="s">
        <v>3940</v>
      </c>
      <c r="F3072" s="12">
        <v>2</v>
      </c>
      <c r="G3072" s="41" t="s">
        <v>1409</v>
      </c>
      <c r="H3072" s="12" t="s">
        <v>1361</v>
      </c>
      <c r="I3072" s="41" t="s">
        <v>3301</v>
      </c>
      <c r="J3072" s="41" t="s">
        <v>3300</v>
      </c>
      <c r="K3072" s="41" t="str">
        <f>VLOOKUP(J3072,错误mRNA总表!D:J,7,FALSE)</f>
        <v>无rs号验证，氨基酸加1个chrX:1314875-1314998</v>
      </c>
      <c r="L3072" s="41" t="s">
        <v>8333</v>
      </c>
      <c r="M3072" s="41">
        <f>VLOOKUP(I3072,错误mRNA总表!D:I,6,FALSE)</f>
        <v>0</v>
      </c>
    </row>
    <row r="3073" spans="1:13" x14ac:dyDescent="0.2">
      <c r="A3073" s="12" t="s">
        <v>5057</v>
      </c>
      <c r="B3073" s="12" t="s">
        <v>4047</v>
      </c>
      <c r="C3073" s="12">
        <v>1264869</v>
      </c>
      <c r="D3073" s="12">
        <v>1264893</v>
      </c>
      <c r="E3073" s="12" t="s">
        <v>3940</v>
      </c>
      <c r="F3073" s="12">
        <v>1</v>
      </c>
      <c r="G3073" s="41" t="s">
        <v>1409</v>
      </c>
      <c r="H3073" s="12" t="s">
        <v>1361</v>
      </c>
      <c r="I3073" s="41" t="s">
        <v>3301</v>
      </c>
      <c r="J3073" s="41" t="s">
        <v>3300</v>
      </c>
      <c r="K3073" s="41" t="str">
        <f>VLOOKUP(J3073,错误mRNA总表!D:J,7,FALSE)</f>
        <v>无rs号验证，氨基酸加1个chrX:1314875-1314998</v>
      </c>
      <c r="L3073" s="41" t="s">
        <v>8333</v>
      </c>
      <c r="M3073" s="41">
        <f>VLOOKUP(I3073,错误mRNA总表!D:I,6,FALSE)</f>
        <v>0</v>
      </c>
    </row>
    <row r="3074" spans="1:13" x14ac:dyDescent="0.2">
      <c r="A3074" s="12" t="s">
        <v>5471</v>
      </c>
      <c r="B3074" s="12" t="s">
        <v>4055</v>
      </c>
      <c r="C3074" s="12">
        <v>16035288</v>
      </c>
      <c r="D3074" s="12">
        <v>16055927</v>
      </c>
      <c r="E3074" s="12" t="s">
        <v>3940</v>
      </c>
      <c r="F3074" s="12">
        <v>1</v>
      </c>
      <c r="G3074" s="41" t="s">
        <v>212</v>
      </c>
      <c r="H3074" s="12" t="s">
        <v>6551</v>
      </c>
      <c r="I3074" s="41" t="s">
        <v>8043</v>
      </c>
      <c r="M3074" s="41" t="e">
        <f>VLOOKUP(I3074,错误mRNA总表!D:I,6,FALSE)</f>
        <v>#N/A</v>
      </c>
    </row>
    <row r="3075" spans="1:13" x14ac:dyDescent="0.2">
      <c r="A3075" s="12" t="s">
        <v>5189</v>
      </c>
      <c r="B3075" s="12" t="s">
        <v>3950</v>
      </c>
      <c r="C3075" s="12">
        <v>248562</v>
      </c>
      <c r="D3075" s="12">
        <v>248597</v>
      </c>
      <c r="E3075" s="12" t="s">
        <v>3940</v>
      </c>
      <c r="F3075" s="12">
        <v>2</v>
      </c>
      <c r="H3075" s="12" t="s">
        <v>3471</v>
      </c>
      <c r="I3075" s="41" t="s">
        <v>7381</v>
      </c>
      <c r="M3075" s="41" t="e">
        <f>VLOOKUP(I3075,错误mRNA总表!D:I,6,FALSE)</f>
        <v>#N/A</v>
      </c>
    </row>
    <row r="3076" spans="1:13" x14ac:dyDescent="0.2">
      <c r="A3076" s="12" t="s">
        <v>4458</v>
      </c>
      <c r="B3076" s="12" t="s">
        <v>3969</v>
      </c>
      <c r="C3076" s="12">
        <v>1150399</v>
      </c>
      <c r="D3076" s="12">
        <v>1150605</v>
      </c>
      <c r="E3076" s="12" t="s">
        <v>3940</v>
      </c>
      <c r="F3076" s="12">
        <v>6</v>
      </c>
      <c r="H3076" s="12" t="s">
        <v>6398</v>
      </c>
      <c r="I3076" s="41" t="s">
        <v>8044</v>
      </c>
      <c r="M3076" s="41" t="e">
        <f>VLOOKUP(I3076,错误mRNA总表!D:I,6,FALSE)</f>
        <v>#N/A</v>
      </c>
    </row>
    <row r="3077" spans="1:13" x14ac:dyDescent="0.2">
      <c r="A3077" s="12" t="s">
        <v>4458</v>
      </c>
      <c r="B3077" s="12" t="s">
        <v>3969</v>
      </c>
      <c r="C3077" s="12">
        <v>1150399</v>
      </c>
      <c r="D3077" s="12">
        <v>1152122</v>
      </c>
      <c r="E3077" s="12" t="s">
        <v>3940</v>
      </c>
      <c r="F3077" s="12">
        <v>1</v>
      </c>
      <c r="H3077" s="12" t="s">
        <v>6398</v>
      </c>
      <c r="I3077" s="41" t="s">
        <v>8044</v>
      </c>
      <c r="M3077" s="41" t="e">
        <f>VLOOKUP(I3077,错误mRNA总表!D:I,6,FALSE)</f>
        <v>#N/A</v>
      </c>
    </row>
    <row r="3078" spans="1:13" x14ac:dyDescent="0.2">
      <c r="A3078" s="12" t="s">
        <v>4458</v>
      </c>
      <c r="B3078" s="12" t="s">
        <v>3969</v>
      </c>
      <c r="C3078" s="12">
        <v>1150399</v>
      </c>
      <c r="D3078" s="12">
        <v>1152245</v>
      </c>
      <c r="E3078" s="12" t="s">
        <v>3940</v>
      </c>
      <c r="F3078" s="12">
        <v>1</v>
      </c>
      <c r="H3078" s="12" t="s">
        <v>6398</v>
      </c>
      <c r="I3078" s="41" t="s">
        <v>8044</v>
      </c>
      <c r="M3078" s="41" t="e">
        <f>VLOOKUP(I3078,错误mRNA总表!D:I,6,FALSE)</f>
        <v>#N/A</v>
      </c>
    </row>
    <row r="3079" spans="1:13" x14ac:dyDescent="0.2">
      <c r="A3079" s="12" t="s">
        <v>4458</v>
      </c>
      <c r="B3079" s="12" t="s">
        <v>3969</v>
      </c>
      <c r="C3079" s="12">
        <v>1150399</v>
      </c>
      <c r="D3079" s="12">
        <v>1153521</v>
      </c>
      <c r="E3079" s="12" t="s">
        <v>3940</v>
      </c>
      <c r="F3079" s="12">
        <v>4</v>
      </c>
      <c r="H3079" s="12" t="s">
        <v>6398</v>
      </c>
      <c r="I3079" s="41" t="s">
        <v>8044</v>
      </c>
      <c r="M3079" s="41" t="e">
        <f>VLOOKUP(I3079,错误mRNA总表!D:I,6,FALSE)</f>
        <v>#N/A</v>
      </c>
    </row>
    <row r="3080" spans="1:13" x14ac:dyDescent="0.2">
      <c r="A3080" s="12" t="s">
        <v>4947</v>
      </c>
      <c r="B3080" s="12" t="s">
        <v>3984</v>
      </c>
      <c r="C3080" s="12">
        <v>2422154</v>
      </c>
      <c r="D3080" s="12">
        <v>2427462</v>
      </c>
      <c r="E3080" s="12" t="s">
        <v>3943</v>
      </c>
      <c r="F3080" s="12">
        <v>1</v>
      </c>
      <c r="H3080" s="12" t="s">
        <v>3553</v>
      </c>
      <c r="I3080" s="41" t="s">
        <v>8045</v>
      </c>
      <c r="M3080" s="41" t="e">
        <f>VLOOKUP(I3080,错误mRNA总表!D:I,6,FALSE)</f>
        <v>#N/A</v>
      </c>
    </row>
    <row r="3081" spans="1:13" x14ac:dyDescent="0.2">
      <c r="A3081" s="12" t="s">
        <v>5472</v>
      </c>
      <c r="B3081" s="12" t="s">
        <v>3966</v>
      </c>
      <c r="C3081" s="12">
        <v>51039131</v>
      </c>
      <c r="D3081" s="12">
        <v>51042513</v>
      </c>
      <c r="E3081" s="12" t="s">
        <v>3940</v>
      </c>
      <c r="F3081" s="12">
        <v>1</v>
      </c>
      <c r="G3081" s="41" t="s">
        <v>43</v>
      </c>
      <c r="H3081" s="12" t="s">
        <v>215</v>
      </c>
      <c r="I3081" s="41" t="s">
        <v>2175</v>
      </c>
      <c r="J3081" s="41" t="s">
        <v>2175</v>
      </c>
      <c r="K3081" s="41" t="str">
        <f>VLOOKUP(J3081,错误mRNA总表!D:J,7,FALSE)</f>
        <v>纠后正确</v>
      </c>
      <c r="L3081" s="41" t="s">
        <v>3763</v>
      </c>
      <c r="M3081" s="41">
        <f>VLOOKUP(I3081,错误mRNA总表!D:I,6,FALSE)</f>
        <v>0</v>
      </c>
    </row>
    <row r="3082" spans="1:13" x14ac:dyDescent="0.2">
      <c r="A3082" s="12" t="s">
        <v>5473</v>
      </c>
      <c r="B3082" s="12" t="s">
        <v>3957</v>
      </c>
      <c r="C3082" s="12">
        <v>46638826</v>
      </c>
      <c r="D3082" s="12">
        <v>46694313</v>
      </c>
      <c r="E3082" s="12" t="s">
        <v>3943</v>
      </c>
      <c r="F3082" s="12">
        <v>2</v>
      </c>
      <c r="G3082" s="41" t="s">
        <v>36</v>
      </c>
      <c r="H3082" s="12" t="s">
        <v>6256</v>
      </c>
      <c r="I3082" s="41" t="s">
        <v>8046</v>
      </c>
      <c r="M3082" s="41" t="e">
        <f>VLOOKUP(I3082,错误mRNA总表!D:I,6,FALSE)</f>
        <v>#N/A</v>
      </c>
    </row>
    <row r="3083" spans="1:13" x14ac:dyDescent="0.2">
      <c r="A3083" s="12" t="s">
        <v>4147</v>
      </c>
      <c r="B3083" s="12" t="s">
        <v>3994</v>
      </c>
      <c r="C3083" s="12">
        <v>1278452</v>
      </c>
      <c r="D3083" s="12">
        <v>1279851</v>
      </c>
      <c r="E3083" s="12" t="s">
        <v>3943</v>
      </c>
      <c r="F3083" s="12">
        <v>19</v>
      </c>
      <c r="H3083" s="12" t="s">
        <v>5814</v>
      </c>
      <c r="I3083" s="41" t="s">
        <v>8047</v>
      </c>
      <c r="M3083" s="41" t="e">
        <f>VLOOKUP(I3083,错误mRNA总表!D:I,6,FALSE)</f>
        <v>#N/A</v>
      </c>
    </row>
    <row r="3084" spans="1:13" x14ac:dyDescent="0.2">
      <c r="A3084" s="12" t="s">
        <v>5276</v>
      </c>
      <c r="B3084" s="12" t="s">
        <v>3989</v>
      </c>
      <c r="C3084" s="12">
        <v>3234092</v>
      </c>
      <c r="D3084" s="12">
        <v>3234096</v>
      </c>
      <c r="E3084" s="12" t="s">
        <v>3940</v>
      </c>
      <c r="F3084" s="12">
        <v>5</v>
      </c>
      <c r="H3084" s="12" t="s">
        <v>3431</v>
      </c>
      <c r="I3084" s="41" t="s">
        <v>7679</v>
      </c>
      <c r="M3084" s="41" t="e">
        <f>VLOOKUP(I3084,错误mRNA总表!D:I,6,FALSE)</f>
        <v>#N/A</v>
      </c>
    </row>
    <row r="3085" spans="1:13" x14ac:dyDescent="0.2">
      <c r="A3085" s="12" t="s">
        <v>5474</v>
      </c>
      <c r="B3085" s="12" t="s">
        <v>4052</v>
      </c>
      <c r="C3085" s="12">
        <v>97890037</v>
      </c>
      <c r="D3085" s="12">
        <v>97920100</v>
      </c>
      <c r="E3085" s="12" t="s">
        <v>3940</v>
      </c>
      <c r="F3085" s="12">
        <v>1</v>
      </c>
      <c r="G3085" s="41" t="s">
        <v>93</v>
      </c>
      <c r="H3085" s="12" t="s">
        <v>6257</v>
      </c>
      <c r="I3085" s="41" t="s">
        <v>8048</v>
      </c>
      <c r="M3085" s="41" t="e">
        <f>VLOOKUP(I3085,错误mRNA总表!D:I,6,FALSE)</f>
        <v>#N/A</v>
      </c>
    </row>
    <row r="3086" spans="1:13" x14ac:dyDescent="0.2">
      <c r="A3086" s="12" t="s">
        <v>4691</v>
      </c>
      <c r="B3086" s="12" t="s">
        <v>3964</v>
      </c>
      <c r="C3086" s="12">
        <v>927947</v>
      </c>
      <c r="D3086" s="12">
        <v>943295</v>
      </c>
      <c r="E3086" s="12" t="s">
        <v>3940</v>
      </c>
      <c r="F3086" s="12">
        <v>4</v>
      </c>
      <c r="H3086" s="12" t="s">
        <v>3529</v>
      </c>
      <c r="I3086" s="41" t="s">
        <v>8049</v>
      </c>
      <c r="M3086" s="41" t="e">
        <f>VLOOKUP(I3086,错误mRNA总表!D:I,6,FALSE)</f>
        <v>#N/A</v>
      </c>
    </row>
    <row r="3087" spans="1:13" x14ac:dyDescent="0.2">
      <c r="A3087" s="12" t="s">
        <v>5475</v>
      </c>
      <c r="B3087" s="12" t="s">
        <v>3973</v>
      </c>
      <c r="C3087" s="12">
        <v>1571100</v>
      </c>
      <c r="D3087" s="12">
        <v>1590440</v>
      </c>
      <c r="E3087" s="12" t="s">
        <v>3943</v>
      </c>
      <c r="F3087" s="12">
        <v>1</v>
      </c>
      <c r="G3087" s="41" t="s">
        <v>139</v>
      </c>
      <c r="H3087" s="12" t="s">
        <v>316</v>
      </c>
      <c r="I3087" s="41" t="s">
        <v>2222</v>
      </c>
      <c r="J3087" s="41" t="s">
        <v>2222</v>
      </c>
      <c r="K3087" s="41" t="str">
        <f>VLOOKUP(J3087,错误mRNA总表!D:J,7,FALSE)</f>
        <v>纠后正确，区间略有变化，加77个氨基酸chr1:1571126-1586818</v>
      </c>
      <c r="L3087" s="41" t="s">
        <v>3866</v>
      </c>
      <c r="M3087" s="41" t="str">
        <f>VLOOKUP(I3087,错误mRNA总表!D:I,6,FALSE)</f>
        <v>纠后正确，区间略有变化，加77个氨基酸chr1:1571126-1586818</v>
      </c>
    </row>
    <row r="3088" spans="1:13" x14ac:dyDescent="0.2">
      <c r="A3088" s="12" t="s">
        <v>5475</v>
      </c>
      <c r="B3088" s="12" t="s">
        <v>3973</v>
      </c>
      <c r="C3088" s="12">
        <v>1571100</v>
      </c>
      <c r="D3088" s="12">
        <v>1585972</v>
      </c>
      <c r="E3088" s="12" t="s">
        <v>3940</v>
      </c>
      <c r="F3088" s="12">
        <v>57</v>
      </c>
      <c r="G3088" s="41" t="s">
        <v>139</v>
      </c>
      <c r="H3088" s="12" t="s">
        <v>316</v>
      </c>
      <c r="I3088" s="41" t="s">
        <v>2222</v>
      </c>
      <c r="J3088" s="41" t="s">
        <v>2222</v>
      </c>
      <c r="K3088" s="41" t="str">
        <f>VLOOKUP(J3088,错误mRNA总表!D:J,7,FALSE)</f>
        <v>纠后正确，区间略有变化，加77个氨基酸chr1:1571126-1586818</v>
      </c>
      <c r="L3088" s="41" t="s">
        <v>3866</v>
      </c>
      <c r="M3088" s="41" t="str">
        <f>VLOOKUP(I3088,错误mRNA总表!D:I,6,FALSE)</f>
        <v>纠后正确，区间略有变化，加77个氨基酸chr1:1571126-1586818</v>
      </c>
    </row>
    <row r="3089" spans="1:13" x14ac:dyDescent="0.2">
      <c r="A3089" s="12" t="s">
        <v>5475</v>
      </c>
      <c r="B3089" s="12" t="s">
        <v>3973</v>
      </c>
      <c r="C3089" s="12">
        <v>1571100</v>
      </c>
      <c r="D3089" s="12">
        <v>1580623</v>
      </c>
      <c r="E3089" s="12" t="s">
        <v>3940</v>
      </c>
      <c r="F3089" s="12">
        <v>193</v>
      </c>
      <c r="G3089" s="41" t="s">
        <v>139</v>
      </c>
      <c r="H3089" s="12" t="s">
        <v>316</v>
      </c>
      <c r="I3089" s="41" t="s">
        <v>2222</v>
      </c>
      <c r="J3089" s="41" t="s">
        <v>2222</v>
      </c>
      <c r="K3089" s="41" t="str">
        <f>VLOOKUP(J3089,错误mRNA总表!D:J,7,FALSE)</f>
        <v>纠后正确，区间略有变化，加77个氨基酸chr1:1571126-1586818</v>
      </c>
      <c r="L3089" s="41" t="s">
        <v>3866</v>
      </c>
      <c r="M3089" s="41" t="str">
        <f>VLOOKUP(I3089,错误mRNA总表!D:I,6,FALSE)</f>
        <v>纠后正确，区间略有变化，加77个氨基酸chr1:1571126-1586818</v>
      </c>
    </row>
    <row r="3090" spans="1:13" x14ac:dyDescent="0.2">
      <c r="A3090" s="12" t="s">
        <v>5476</v>
      </c>
      <c r="B3090" s="12" t="s">
        <v>4052</v>
      </c>
      <c r="C3090" s="12">
        <v>102505468</v>
      </c>
      <c r="D3090" s="12">
        <v>102587331</v>
      </c>
      <c r="E3090" s="12" t="s">
        <v>3943</v>
      </c>
      <c r="F3090" s="12">
        <v>3</v>
      </c>
      <c r="G3090" s="41" t="s">
        <v>93</v>
      </c>
      <c r="H3090" s="12" t="s">
        <v>893</v>
      </c>
      <c r="I3090" s="41" t="s">
        <v>2263</v>
      </c>
      <c r="J3090" s="41" t="s">
        <v>2263</v>
      </c>
      <c r="K3090" s="41" t="str">
        <f>VLOOKUP(J3090,错误mRNA总表!D:J,7,FALSE)</f>
        <v>纠后正确，少1个氨基酸chr10:102587349-102587376</v>
      </c>
      <c r="L3090" s="41" t="s">
        <v>8342</v>
      </c>
      <c r="M3090" s="41">
        <f>VLOOKUP(I3090,错误mRNA总表!D:I,6,FALSE)</f>
        <v>0</v>
      </c>
    </row>
    <row r="3091" spans="1:13" x14ac:dyDescent="0.2">
      <c r="A3091" s="12" t="s">
        <v>4091</v>
      </c>
      <c r="B3091" s="12" t="s">
        <v>3984</v>
      </c>
      <c r="C3091" s="12">
        <v>3413530</v>
      </c>
      <c r="D3091" s="12">
        <v>3414325</v>
      </c>
      <c r="E3091" s="12" t="s">
        <v>3940</v>
      </c>
      <c r="F3091" s="12">
        <v>3</v>
      </c>
      <c r="H3091" s="12" t="s">
        <v>3578</v>
      </c>
      <c r="I3091" s="41" t="s">
        <v>8050</v>
      </c>
      <c r="M3091" s="41" t="e">
        <f>VLOOKUP(I3091,错误mRNA总表!D:I,6,FALSE)</f>
        <v>#N/A</v>
      </c>
    </row>
    <row r="3092" spans="1:13" x14ac:dyDescent="0.2">
      <c r="A3092" s="12" t="s">
        <v>4877</v>
      </c>
      <c r="B3092" s="12" t="s">
        <v>3989</v>
      </c>
      <c r="C3092" s="12">
        <v>2937602</v>
      </c>
      <c r="D3092" s="12">
        <v>2937698</v>
      </c>
      <c r="E3092" s="12" t="s">
        <v>3943</v>
      </c>
      <c r="F3092" s="12">
        <v>4</v>
      </c>
      <c r="H3092" s="12" t="s">
        <v>3559</v>
      </c>
      <c r="I3092" s="41" t="s">
        <v>8051</v>
      </c>
      <c r="M3092" s="41" t="e">
        <f>VLOOKUP(I3092,错误mRNA总表!D:I,6,FALSE)</f>
        <v>#N/A</v>
      </c>
    </row>
    <row r="3093" spans="1:13" x14ac:dyDescent="0.2">
      <c r="A3093" s="12" t="s">
        <v>4499</v>
      </c>
      <c r="B3093" s="12" t="s">
        <v>4061</v>
      </c>
      <c r="C3093" s="12">
        <v>164635</v>
      </c>
      <c r="D3093" s="12">
        <v>168708</v>
      </c>
      <c r="E3093" s="12" t="s">
        <v>3940</v>
      </c>
      <c r="F3093" s="12">
        <v>3</v>
      </c>
      <c r="H3093" s="12" t="s">
        <v>3650</v>
      </c>
      <c r="I3093" s="41" t="s">
        <v>8052</v>
      </c>
      <c r="M3093" s="41" t="e">
        <f>VLOOKUP(I3093,错误mRNA总表!D:I,6,FALSE)</f>
        <v>#N/A</v>
      </c>
    </row>
    <row r="3094" spans="1:13" x14ac:dyDescent="0.2">
      <c r="A3094" s="12" t="s">
        <v>5477</v>
      </c>
      <c r="B3094" s="12" t="s">
        <v>3957</v>
      </c>
      <c r="C3094" s="12">
        <v>46638826</v>
      </c>
      <c r="D3094" s="12">
        <v>46694313</v>
      </c>
      <c r="E3094" s="12" t="s">
        <v>3943</v>
      </c>
      <c r="F3094" s="12">
        <v>2</v>
      </c>
      <c r="G3094" s="41" t="s">
        <v>36</v>
      </c>
      <c r="H3094" s="12" t="s">
        <v>6258</v>
      </c>
      <c r="I3094" s="41" t="s">
        <v>8053</v>
      </c>
      <c r="M3094" s="41" t="e">
        <f>VLOOKUP(I3094,错误mRNA总表!D:I,6,FALSE)</f>
        <v>#N/A</v>
      </c>
    </row>
    <row r="3095" spans="1:13" x14ac:dyDescent="0.2">
      <c r="A3095" s="12" t="s">
        <v>5478</v>
      </c>
      <c r="B3095" s="12" t="s">
        <v>3973</v>
      </c>
      <c r="C3095" s="12">
        <v>12290096</v>
      </c>
      <c r="D3095" s="12">
        <v>12570607</v>
      </c>
      <c r="E3095" s="12" t="s">
        <v>3940</v>
      </c>
      <c r="F3095" s="12">
        <v>2</v>
      </c>
      <c r="G3095" s="41" t="s">
        <v>139</v>
      </c>
      <c r="H3095" s="12" t="s">
        <v>6552</v>
      </c>
      <c r="I3095" s="41" t="s">
        <v>8054</v>
      </c>
      <c r="M3095" s="41" t="e">
        <f>VLOOKUP(I3095,错误mRNA总表!D:I,6,FALSE)</f>
        <v>#N/A</v>
      </c>
    </row>
    <row r="3096" spans="1:13" x14ac:dyDescent="0.2">
      <c r="A3096" s="12" t="s">
        <v>5479</v>
      </c>
      <c r="B3096" s="12" t="s">
        <v>3973</v>
      </c>
      <c r="C3096" s="12">
        <v>147905097</v>
      </c>
      <c r="D3096" s="12">
        <v>147931959</v>
      </c>
      <c r="E3096" s="12" t="s">
        <v>3943</v>
      </c>
      <c r="F3096" s="12">
        <v>6</v>
      </c>
      <c r="G3096" s="41" t="s">
        <v>139</v>
      </c>
      <c r="H3096" s="12" t="s">
        <v>6553</v>
      </c>
      <c r="I3096" s="41" t="s">
        <v>8055</v>
      </c>
      <c r="M3096" s="41" t="e">
        <f>VLOOKUP(I3096,错误mRNA总表!D:I,6,FALSE)</f>
        <v>#N/A</v>
      </c>
    </row>
    <row r="3097" spans="1:13" x14ac:dyDescent="0.2">
      <c r="A3097" s="12" t="s">
        <v>5480</v>
      </c>
      <c r="B3097" s="12" t="s">
        <v>5481</v>
      </c>
      <c r="C3097" s="12">
        <v>102503</v>
      </c>
      <c r="D3097" s="12">
        <v>110268</v>
      </c>
      <c r="E3097" s="12" t="s">
        <v>3940</v>
      </c>
      <c r="F3097" s="12">
        <v>10</v>
      </c>
      <c r="H3097" s="12" t="s">
        <v>6259</v>
      </c>
      <c r="I3097" s="41" t="s">
        <v>8056</v>
      </c>
      <c r="M3097" s="41" t="e">
        <f>VLOOKUP(I3097,错误mRNA总表!D:I,6,FALSE)</f>
        <v>#N/A</v>
      </c>
    </row>
    <row r="3098" spans="1:13" x14ac:dyDescent="0.2">
      <c r="A3098" s="12" t="s">
        <v>5480</v>
      </c>
      <c r="B3098" s="12" t="s">
        <v>5481</v>
      </c>
      <c r="C3098" s="12">
        <v>102503</v>
      </c>
      <c r="D3098" s="12">
        <v>117604</v>
      </c>
      <c r="E3098" s="12" t="s">
        <v>3943</v>
      </c>
      <c r="F3098" s="12">
        <v>1</v>
      </c>
      <c r="H3098" s="12" t="s">
        <v>6259</v>
      </c>
      <c r="I3098" s="41" t="s">
        <v>8056</v>
      </c>
      <c r="M3098" s="41" t="e">
        <f>VLOOKUP(I3098,错误mRNA总表!D:I,6,FALSE)</f>
        <v>#N/A</v>
      </c>
    </row>
    <row r="3099" spans="1:13" x14ac:dyDescent="0.2">
      <c r="A3099" s="12" t="s">
        <v>5480</v>
      </c>
      <c r="B3099" s="12" t="s">
        <v>5481</v>
      </c>
      <c r="C3099" s="12">
        <v>102503</v>
      </c>
      <c r="D3099" s="12">
        <v>128269</v>
      </c>
      <c r="E3099" s="12" t="s">
        <v>3940</v>
      </c>
      <c r="F3099" s="12">
        <v>53</v>
      </c>
      <c r="H3099" s="12" t="s">
        <v>6259</v>
      </c>
      <c r="I3099" s="41" t="s">
        <v>8056</v>
      </c>
      <c r="M3099" s="41" t="e">
        <f>VLOOKUP(I3099,错误mRNA总表!D:I,6,FALSE)</f>
        <v>#N/A</v>
      </c>
    </row>
    <row r="3100" spans="1:13" x14ac:dyDescent="0.2">
      <c r="A3100" s="12" t="s">
        <v>5480</v>
      </c>
      <c r="B3100" s="12" t="s">
        <v>5481</v>
      </c>
      <c r="C3100" s="12">
        <v>102503</v>
      </c>
      <c r="D3100" s="12">
        <v>128251</v>
      </c>
      <c r="E3100" s="12" t="s">
        <v>3940</v>
      </c>
      <c r="F3100" s="12">
        <v>1</v>
      </c>
      <c r="H3100" s="12" t="s">
        <v>6259</v>
      </c>
      <c r="I3100" s="41" t="s">
        <v>8056</v>
      </c>
      <c r="M3100" s="41" t="e">
        <f>VLOOKUP(I3100,错误mRNA总表!D:I,6,FALSE)</f>
        <v>#N/A</v>
      </c>
    </row>
    <row r="3101" spans="1:13" x14ac:dyDescent="0.2">
      <c r="A3101" s="12" t="s">
        <v>5480</v>
      </c>
      <c r="B3101" s="12" t="s">
        <v>5481</v>
      </c>
      <c r="C3101" s="12">
        <v>102503</v>
      </c>
      <c r="D3101" s="12">
        <v>128259</v>
      </c>
      <c r="E3101" s="12" t="s">
        <v>3943</v>
      </c>
      <c r="F3101" s="12">
        <v>1</v>
      </c>
      <c r="H3101" s="12" t="s">
        <v>6259</v>
      </c>
      <c r="I3101" s="41" t="s">
        <v>8056</v>
      </c>
      <c r="M3101" s="41" t="e">
        <f>VLOOKUP(I3101,错误mRNA总表!D:I,6,FALSE)</f>
        <v>#N/A</v>
      </c>
    </row>
    <row r="3102" spans="1:13" x14ac:dyDescent="0.2">
      <c r="A3102" s="12" t="s">
        <v>5480</v>
      </c>
      <c r="B3102" s="12" t="s">
        <v>5481</v>
      </c>
      <c r="C3102" s="12">
        <v>102503</v>
      </c>
      <c r="D3102" s="12">
        <v>143459</v>
      </c>
      <c r="E3102" s="12" t="s">
        <v>3940</v>
      </c>
      <c r="F3102" s="12">
        <v>1</v>
      </c>
      <c r="H3102" s="12" t="s">
        <v>6259</v>
      </c>
      <c r="I3102" s="41" t="s">
        <v>8056</v>
      </c>
      <c r="M3102" s="41" t="e">
        <f>VLOOKUP(I3102,错误mRNA总表!D:I,6,FALSE)</f>
        <v>#N/A</v>
      </c>
    </row>
    <row r="3103" spans="1:13" x14ac:dyDescent="0.2">
      <c r="A3103" s="12" t="s">
        <v>5482</v>
      </c>
      <c r="B3103" s="12" t="s">
        <v>4124</v>
      </c>
      <c r="C3103" s="12">
        <v>73612886</v>
      </c>
      <c r="D3103" s="12">
        <v>73613070</v>
      </c>
      <c r="E3103" s="12" t="s">
        <v>3940</v>
      </c>
      <c r="F3103" s="12">
        <v>3</v>
      </c>
      <c r="G3103" s="41" t="s">
        <v>1</v>
      </c>
      <c r="H3103" s="12" t="s">
        <v>426</v>
      </c>
      <c r="I3103" s="41" t="s">
        <v>2227</v>
      </c>
      <c r="J3103" s="41" t="s">
        <v>2227</v>
      </c>
      <c r="K3103" s="41" t="str">
        <f>VLOOKUP(J3103,错误mRNA总表!D:J,7,FALSE)</f>
        <v>纠后正确，加1个氨基酸chr2:73613074-73836739</v>
      </c>
      <c r="L3103" s="41" t="s">
        <v>8364</v>
      </c>
      <c r="M3103" s="41">
        <f>VLOOKUP(I3103,错误mRNA总表!D:I,6,FALSE)</f>
        <v>0</v>
      </c>
    </row>
    <row r="3104" spans="1:13" x14ac:dyDescent="0.2">
      <c r="A3104" s="12" t="s">
        <v>5482</v>
      </c>
      <c r="B3104" s="12" t="s">
        <v>4124</v>
      </c>
      <c r="C3104" s="12">
        <v>73612886</v>
      </c>
      <c r="D3104" s="12">
        <v>73675230</v>
      </c>
      <c r="E3104" s="12" t="s">
        <v>3940</v>
      </c>
      <c r="F3104" s="12">
        <v>3</v>
      </c>
      <c r="G3104" s="41" t="s">
        <v>1</v>
      </c>
      <c r="H3104" s="12" t="s">
        <v>426</v>
      </c>
      <c r="I3104" s="41" t="s">
        <v>2227</v>
      </c>
      <c r="J3104" s="41" t="s">
        <v>2227</v>
      </c>
      <c r="K3104" s="41" t="str">
        <f>VLOOKUP(J3104,错误mRNA总表!D:J,7,FALSE)</f>
        <v>纠后正确，加1个氨基酸chr2:73613074-73836739</v>
      </c>
      <c r="L3104" s="41" t="s">
        <v>8364</v>
      </c>
      <c r="M3104" s="41">
        <f>VLOOKUP(I3104,错误mRNA总表!D:I,6,FALSE)</f>
        <v>0</v>
      </c>
    </row>
    <row r="3105" spans="1:13" x14ac:dyDescent="0.2">
      <c r="A3105" s="12" t="s">
        <v>4160</v>
      </c>
      <c r="B3105" s="12" t="s">
        <v>3969</v>
      </c>
      <c r="C3105" s="12">
        <v>2380037</v>
      </c>
      <c r="D3105" s="12">
        <v>2380969</v>
      </c>
      <c r="E3105" s="12" t="s">
        <v>3940</v>
      </c>
      <c r="F3105" s="12">
        <v>3</v>
      </c>
      <c r="H3105" s="12" t="s">
        <v>669</v>
      </c>
      <c r="I3105" s="41" t="s">
        <v>8057</v>
      </c>
      <c r="J3105" s="41" t="s">
        <v>2606</v>
      </c>
      <c r="K3105" s="41" t="str">
        <f>VLOOKUP(J3105,错误mRNA总表!D:J,7,FALSE)</f>
        <v/>
      </c>
      <c r="M3105" s="41" t="e">
        <f>VLOOKUP(I3105,错误mRNA总表!D:I,6,FALSE)</f>
        <v>#N/A</v>
      </c>
    </row>
    <row r="3106" spans="1:13" x14ac:dyDescent="0.2">
      <c r="A3106" s="12" t="s">
        <v>4393</v>
      </c>
      <c r="B3106" s="12" t="s">
        <v>4273</v>
      </c>
      <c r="C3106" s="12">
        <v>134946</v>
      </c>
      <c r="D3106" s="12">
        <v>147927</v>
      </c>
      <c r="E3106" s="12" t="s">
        <v>3940</v>
      </c>
      <c r="F3106" s="12">
        <v>1</v>
      </c>
      <c r="H3106" s="12" t="s">
        <v>3648</v>
      </c>
      <c r="I3106" s="41" t="s">
        <v>6693</v>
      </c>
      <c r="M3106" s="41" t="e">
        <f>VLOOKUP(I3106,错误mRNA总表!D:I,6,FALSE)</f>
        <v>#N/A</v>
      </c>
    </row>
    <row r="3107" spans="1:13" x14ac:dyDescent="0.2">
      <c r="A3107" s="12" t="s">
        <v>4393</v>
      </c>
      <c r="B3107" s="12" t="s">
        <v>4273</v>
      </c>
      <c r="C3107" s="12">
        <v>134946</v>
      </c>
      <c r="D3107" s="12">
        <v>135009</v>
      </c>
      <c r="E3107" s="12" t="s">
        <v>3940</v>
      </c>
      <c r="F3107" s="12">
        <v>1</v>
      </c>
      <c r="H3107" s="12" t="s">
        <v>3648</v>
      </c>
      <c r="I3107" s="41" t="s">
        <v>6693</v>
      </c>
      <c r="M3107" s="41" t="e">
        <f>VLOOKUP(I3107,错误mRNA总表!D:I,6,FALSE)</f>
        <v>#N/A</v>
      </c>
    </row>
    <row r="3108" spans="1:13" x14ac:dyDescent="0.2">
      <c r="A3108" s="12" t="s">
        <v>5483</v>
      </c>
      <c r="B3108" s="12" t="s">
        <v>4124</v>
      </c>
      <c r="C3108" s="12">
        <v>24299744</v>
      </c>
      <c r="D3108" s="12">
        <v>24387179</v>
      </c>
      <c r="E3108" s="12" t="s">
        <v>3940</v>
      </c>
      <c r="F3108" s="12">
        <v>1</v>
      </c>
      <c r="G3108" s="41" t="s">
        <v>1</v>
      </c>
      <c r="H3108" s="12" t="s">
        <v>6260</v>
      </c>
      <c r="I3108" s="41" t="s">
        <v>8058</v>
      </c>
      <c r="M3108" s="41" t="e">
        <f>VLOOKUP(I3108,错误mRNA总表!D:I,6,FALSE)</f>
        <v>#N/A</v>
      </c>
    </row>
    <row r="3109" spans="1:13" x14ac:dyDescent="0.2">
      <c r="A3109" s="12" t="s">
        <v>4685</v>
      </c>
      <c r="B3109" s="12" t="s">
        <v>3964</v>
      </c>
      <c r="C3109" s="12">
        <v>2238422</v>
      </c>
      <c r="D3109" s="12">
        <v>2252155</v>
      </c>
      <c r="E3109" s="12" t="s">
        <v>3943</v>
      </c>
      <c r="F3109" s="12">
        <v>1</v>
      </c>
      <c r="H3109" s="12" t="s">
        <v>3422</v>
      </c>
      <c r="I3109" s="41" t="s">
        <v>8059</v>
      </c>
      <c r="M3109" s="41" t="e">
        <f>VLOOKUP(I3109,错误mRNA总表!D:I,6,FALSE)</f>
        <v>#N/A</v>
      </c>
    </row>
    <row r="3110" spans="1:13" x14ac:dyDescent="0.2">
      <c r="A3110" s="12" t="s">
        <v>4685</v>
      </c>
      <c r="B3110" s="12" t="s">
        <v>3964</v>
      </c>
      <c r="C3110" s="12">
        <v>2238422</v>
      </c>
      <c r="D3110" s="12">
        <v>2252167</v>
      </c>
      <c r="E3110" s="12" t="s">
        <v>3940</v>
      </c>
      <c r="F3110" s="12">
        <v>1</v>
      </c>
      <c r="H3110" s="12" t="s">
        <v>3422</v>
      </c>
      <c r="I3110" s="41" t="s">
        <v>8059</v>
      </c>
      <c r="M3110" s="41" t="e">
        <f>VLOOKUP(I3110,错误mRNA总表!D:I,6,FALSE)</f>
        <v>#N/A</v>
      </c>
    </row>
    <row r="3111" spans="1:13" x14ac:dyDescent="0.2">
      <c r="A3111" s="12" t="s">
        <v>4685</v>
      </c>
      <c r="B3111" s="12" t="s">
        <v>3964</v>
      </c>
      <c r="C3111" s="12">
        <v>2238422</v>
      </c>
      <c r="D3111" s="12">
        <v>2252171</v>
      </c>
      <c r="E3111" s="12" t="s">
        <v>3943</v>
      </c>
      <c r="F3111" s="12">
        <v>1</v>
      </c>
      <c r="H3111" s="12" t="s">
        <v>3422</v>
      </c>
      <c r="I3111" s="41" t="s">
        <v>8059</v>
      </c>
      <c r="M3111" s="41" t="e">
        <f>VLOOKUP(I3111,错误mRNA总表!D:I,6,FALSE)</f>
        <v>#N/A</v>
      </c>
    </row>
    <row r="3112" spans="1:13" x14ac:dyDescent="0.2">
      <c r="A3112" s="12" t="s">
        <v>4685</v>
      </c>
      <c r="B3112" s="12" t="s">
        <v>3964</v>
      </c>
      <c r="C3112" s="12">
        <v>2238422</v>
      </c>
      <c r="D3112" s="12">
        <v>2254632</v>
      </c>
      <c r="E3112" s="12" t="s">
        <v>3943</v>
      </c>
      <c r="F3112" s="12">
        <v>1</v>
      </c>
      <c r="H3112" s="12" t="s">
        <v>3422</v>
      </c>
      <c r="I3112" s="41" t="s">
        <v>8059</v>
      </c>
      <c r="M3112" s="41" t="e">
        <f>VLOOKUP(I3112,错误mRNA总表!D:I,6,FALSE)</f>
        <v>#N/A</v>
      </c>
    </row>
    <row r="3113" spans="1:13" x14ac:dyDescent="0.2">
      <c r="A3113" s="12" t="s">
        <v>4685</v>
      </c>
      <c r="B3113" s="12" t="s">
        <v>3964</v>
      </c>
      <c r="C3113" s="12">
        <v>2238422</v>
      </c>
      <c r="D3113" s="12">
        <v>2254639</v>
      </c>
      <c r="E3113" s="12" t="s">
        <v>3943</v>
      </c>
      <c r="F3113" s="12">
        <v>1</v>
      </c>
      <c r="H3113" s="12" t="s">
        <v>3422</v>
      </c>
      <c r="I3113" s="41" t="s">
        <v>8059</v>
      </c>
      <c r="M3113" s="41" t="e">
        <f>VLOOKUP(I3113,错误mRNA总表!D:I,6,FALSE)</f>
        <v>#N/A</v>
      </c>
    </row>
    <row r="3114" spans="1:13" x14ac:dyDescent="0.2">
      <c r="A3114" s="12" t="s">
        <v>4685</v>
      </c>
      <c r="B3114" s="12" t="s">
        <v>3964</v>
      </c>
      <c r="C3114" s="12">
        <v>2238422</v>
      </c>
      <c r="D3114" s="12">
        <v>2254645</v>
      </c>
      <c r="E3114" s="12" t="s">
        <v>3943</v>
      </c>
      <c r="F3114" s="12">
        <v>1</v>
      </c>
      <c r="H3114" s="12" t="s">
        <v>3422</v>
      </c>
      <c r="I3114" s="41" t="s">
        <v>8059</v>
      </c>
      <c r="M3114" s="41" t="e">
        <f>VLOOKUP(I3114,错误mRNA总表!D:I,6,FALSE)</f>
        <v>#N/A</v>
      </c>
    </row>
    <row r="3115" spans="1:13" x14ac:dyDescent="0.2">
      <c r="A3115" s="12" t="s">
        <v>5484</v>
      </c>
      <c r="B3115" s="12" t="s">
        <v>3957</v>
      </c>
      <c r="C3115" s="12">
        <v>46638826</v>
      </c>
      <c r="D3115" s="12">
        <v>46694313</v>
      </c>
      <c r="E3115" s="12" t="s">
        <v>3943</v>
      </c>
      <c r="F3115" s="12">
        <v>2</v>
      </c>
      <c r="G3115" s="41" t="s">
        <v>36</v>
      </c>
      <c r="H3115" s="12" t="s">
        <v>6261</v>
      </c>
      <c r="I3115" s="41" t="s">
        <v>8060</v>
      </c>
      <c r="M3115" s="41" t="e">
        <f>VLOOKUP(I3115,错误mRNA总表!D:I,6,FALSE)</f>
        <v>#N/A</v>
      </c>
    </row>
    <row r="3116" spans="1:13" x14ac:dyDescent="0.2">
      <c r="A3116" s="12" t="s">
        <v>5485</v>
      </c>
      <c r="B3116" s="12" t="s">
        <v>3957</v>
      </c>
      <c r="C3116" s="12">
        <v>35453374</v>
      </c>
      <c r="D3116" s="12">
        <v>35453796</v>
      </c>
      <c r="E3116" s="12" t="s">
        <v>3943</v>
      </c>
      <c r="F3116" s="12">
        <v>1</v>
      </c>
      <c r="G3116" s="41" t="s">
        <v>36</v>
      </c>
      <c r="H3116" s="12" t="s">
        <v>6262</v>
      </c>
      <c r="I3116" s="41" t="s">
        <v>7589</v>
      </c>
      <c r="M3116" s="41" t="e">
        <f>VLOOKUP(I3116,错误mRNA总表!D:I,6,FALSE)</f>
        <v>#N/A</v>
      </c>
    </row>
    <row r="3117" spans="1:13" x14ac:dyDescent="0.2">
      <c r="A3117" s="12" t="s">
        <v>5486</v>
      </c>
      <c r="B3117" s="12" t="s">
        <v>4081</v>
      </c>
      <c r="C3117" s="12">
        <v>76503</v>
      </c>
      <c r="D3117" s="12">
        <v>79716</v>
      </c>
      <c r="E3117" s="12" t="s">
        <v>3943</v>
      </c>
      <c r="F3117" s="12">
        <v>3</v>
      </c>
      <c r="H3117" s="12" t="s">
        <v>1165</v>
      </c>
      <c r="I3117" s="41" t="s">
        <v>8061</v>
      </c>
      <c r="J3117" s="41" t="s">
        <v>3387</v>
      </c>
      <c r="K3117" s="41" t="str">
        <f>VLOOKUP(J3117,错误mRNA总表!D:J,7,FALSE)</f>
        <v>纠后正确</v>
      </c>
      <c r="M3117" s="41" t="e">
        <f>VLOOKUP(I3117,错误mRNA总表!D:I,6,FALSE)</f>
        <v>#N/A</v>
      </c>
    </row>
    <row r="3118" spans="1:13" x14ac:dyDescent="0.2">
      <c r="A3118" s="12" t="s">
        <v>5487</v>
      </c>
      <c r="B3118" s="12" t="s">
        <v>3946</v>
      </c>
      <c r="C3118" s="12">
        <v>34092876</v>
      </c>
      <c r="D3118" s="12">
        <v>34100350</v>
      </c>
      <c r="E3118" s="12" t="s">
        <v>3940</v>
      </c>
      <c r="F3118" s="12">
        <v>1</v>
      </c>
      <c r="G3118" s="41" t="s">
        <v>47</v>
      </c>
      <c r="H3118" s="12" t="s">
        <v>6554</v>
      </c>
      <c r="I3118" s="41" t="s">
        <v>8062</v>
      </c>
      <c r="M3118" s="41" t="e">
        <f>VLOOKUP(I3118,错误mRNA总表!D:I,6,FALSE)</f>
        <v>#N/A</v>
      </c>
    </row>
    <row r="3119" spans="1:13" x14ac:dyDescent="0.2">
      <c r="A3119" s="12" t="s">
        <v>5488</v>
      </c>
      <c r="B3119" s="12" t="s">
        <v>3986</v>
      </c>
      <c r="C3119" s="12">
        <v>45147098</v>
      </c>
      <c r="D3119" s="12">
        <v>45168927</v>
      </c>
      <c r="E3119" s="12" t="s">
        <v>3943</v>
      </c>
      <c r="F3119" s="12">
        <v>1</v>
      </c>
      <c r="G3119" s="41" t="s">
        <v>50</v>
      </c>
      <c r="H3119" s="12" t="s">
        <v>6471</v>
      </c>
      <c r="I3119" s="41" t="s">
        <v>8063</v>
      </c>
      <c r="M3119" s="41" t="e">
        <f>VLOOKUP(I3119,错误mRNA总表!D:I,6,FALSE)</f>
        <v>#N/A</v>
      </c>
    </row>
    <row r="3120" spans="1:13" x14ac:dyDescent="0.2">
      <c r="A3120" s="12" t="s">
        <v>5489</v>
      </c>
      <c r="B3120" s="12" t="s">
        <v>3946</v>
      </c>
      <c r="C3120" s="12">
        <v>7362685</v>
      </c>
      <c r="D3120" s="12">
        <v>7363430</v>
      </c>
      <c r="E3120" s="12" t="s">
        <v>3943</v>
      </c>
      <c r="F3120" s="12">
        <v>1</v>
      </c>
      <c r="G3120" s="41" t="s">
        <v>47</v>
      </c>
      <c r="H3120" s="12" t="s">
        <v>6555</v>
      </c>
      <c r="I3120" s="41" t="s">
        <v>8064</v>
      </c>
      <c r="M3120" s="41" t="e">
        <f>VLOOKUP(I3120,错误mRNA总表!D:I,6,FALSE)</f>
        <v>#N/A</v>
      </c>
    </row>
    <row r="3121" spans="1:13" x14ac:dyDescent="0.2">
      <c r="A3121" s="12" t="s">
        <v>5490</v>
      </c>
      <c r="B3121" s="12" t="s">
        <v>3954</v>
      </c>
      <c r="C3121" s="12">
        <v>53179</v>
      </c>
      <c r="D3121" s="12">
        <v>85997</v>
      </c>
      <c r="E3121" s="12" t="s">
        <v>3940</v>
      </c>
      <c r="F3121" s="12">
        <v>1</v>
      </c>
      <c r="G3121" s="41" t="s">
        <v>569</v>
      </c>
      <c r="H3121" s="12" t="s">
        <v>6263</v>
      </c>
      <c r="I3121" s="41" t="s">
        <v>8065</v>
      </c>
      <c r="M3121" s="41" t="e">
        <f>VLOOKUP(I3121,错误mRNA总表!D:I,6,FALSE)</f>
        <v>#N/A</v>
      </c>
    </row>
    <row r="3122" spans="1:13" x14ac:dyDescent="0.2">
      <c r="A3122" s="12" t="s">
        <v>5490</v>
      </c>
      <c r="B3122" s="12" t="s">
        <v>3954</v>
      </c>
      <c r="C3122" s="12">
        <v>53179</v>
      </c>
      <c r="D3122" s="12">
        <v>86017</v>
      </c>
      <c r="E3122" s="12" t="s">
        <v>3940</v>
      </c>
      <c r="F3122" s="12">
        <v>1</v>
      </c>
      <c r="G3122" s="41" t="s">
        <v>569</v>
      </c>
      <c r="H3122" s="12" t="s">
        <v>6263</v>
      </c>
      <c r="I3122" s="41" t="s">
        <v>8065</v>
      </c>
      <c r="M3122" s="41" t="e">
        <f>VLOOKUP(I3122,错误mRNA总表!D:I,6,FALSE)</f>
        <v>#N/A</v>
      </c>
    </row>
    <row r="3123" spans="1:13" x14ac:dyDescent="0.2">
      <c r="A3123" s="12" t="s">
        <v>5490</v>
      </c>
      <c r="B3123" s="12" t="s">
        <v>3954</v>
      </c>
      <c r="C3123" s="12">
        <v>53179</v>
      </c>
      <c r="D3123" s="12">
        <v>86033</v>
      </c>
      <c r="E3123" s="12" t="s">
        <v>3943</v>
      </c>
      <c r="F3123" s="12">
        <v>2</v>
      </c>
      <c r="G3123" s="41" t="s">
        <v>569</v>
      </c>
      <c r="H3123" s="12" t="s">
        <v>6263</v>
      </c>
      <c r="I3123" s="41" t="s">
        <v>8065</v>
      </c>
      <c r="M3123" s="41" t="e">
        <f>VLOOKUP(I3123,错误mRNA总表!D:I,6,FALSE)</f>
        <v>#N/A</v>
      </c>
    </row>
    <row r="3124" spans="1:13" x14ac:dyDescent="0.2">
      <c r="A3124" s="12" t="s">
        <v>5490</v>
      </c>
      <c r="B3124" s="12" t="s">
        <v>3954</v>
      </c>
      <c r="C3124" s="12">
        <v>53179</v>
      </c>
      <c r="D3124" s="12">
        <v>86102</v>
      </c>
      <c r="E3124" s="12" t="s">
        <v>3940</v>
      </c>
      <c r="F3124" s="12">
        <v>1</v>
      </c>
      <c r="G3124" s="41" t="s">
        <v>569</v>
      </c>
      <c r="H3124" s="12" t="s">
        <v>6263</v>
      </c>
      <c r="I3124" s="41" t="s">
        <v>8065</v>
      </c>
      <c r="M3124" s="41" t="e">
        <f>VLOOKUP(I3124,错误mRNA总表!D:I,6,FALSE)</f>
        <v>#N/A</v>
      </c>
    </row>
    <row r="3125" spans="1:13" x14ac:dyDescent="0.2">
      <c r="A3125" s="12" t="s">
        <v>5490</v>
      </c>
      <c r="B3125" s="12" t="s">
        <v>3954</v>
      </c>
      <c r="C3125" s="12">
        <v>53179</v>
      </c>
      <c r="D3125" s="12">
        <v>87314</v>
      </c>
      <c r="E3125" s="12" t="s">
        <v>3940</v>
      </c>
      <c r="F3125" s="12">
        <v>1</v>
      </c>
      <c r="G3125" s="41" t="s">
        <v>569</v>
      </c>
      <c r="H3125" s="12" t="s">
        <v>6263</v>
      </c>
      <c r="I3125" s="41" t="s">
        <v>8065</v>
      </c>
      <c r="M3125" s="41" t="e">
        <f>VLOOKUP(I3125,错误mRNA总表!D:I,6,FALSE)</f>
        <v>#N/A</v>
      </c>
    </row>
    <row r="3126" spans="1:13" x14ac:dyDescent="0.2">
      <c r="A3126" s="12" t="s">
        <v>5490</v>
      </c>
      <c r="B3126" s="12" t="s">
        <v>3954</v>
      </c>
      <c r="C3126" s="12">
        <v>53179</v>
      </c>
      <c r="D3126" s="12">
        <v>87626</v>
      </c>
      <c r="E3126" s="12" t="s">
        <v>3940</v>
      </c>
      <c r="F3126" s="12">
        <v>1</v>
      </c>
      <c r="G3126" s="41" t="s">
        <v>569</v>
      </c>
      <c r="H3126" s="12" t="s">
        <v>6263</v>
      </c>
      <c r="I3126" s="41" t="s">
        <v>8065</v>
      </c>
      <c r="M3126" s="41" t="e">
        <f>VLOOKUP(I3126,错误mRNA总表!D:I,6,FALSE)</f>
        <v>#N/A</v>
      </c>
    </row>
    <row r="3127" spans="1:13" x14ac:dyDescent="0.2">
      <c r="A3127" s="12" t="s">
        <v>5491</v>
      </c>
      <c r="B3127" s="12" t="s">
        <v>4098</v>
      </c>
      <c r="C3127" s="12">
        <v>338148</v>
      </c>
      <c r="D3127" s="12">
        <v>338163</v>
      </c>
      <c r="E3127" s="12" t="s">
        <v>3940</v>
      </c>
      <c r="F3127" s="12">
        <v>213</v>
      </c>
      <c r="H3127" s="12" t="s">
        <v>6264</v>
      </c>
      <c r="I3127" s="41" t="s">
        <v>8066</v>
      </c>
      <c r="M3127" s="41" t="e">
        <f>VLOOKUP(I3127,错误mRNA总表!D:I,6,FALSE)</f>
        <v>#N/A</v>
      </c>
    </row>
    <row r="3128" spans="1:13" x14ac:dyDescent="0.2">
      <c r="A3128" s="12" t="s">
        <v>5491</v>
      </c>
      <c r="B3128" s="12" t="s">
        <v>4098</v>
      </c>
      <c r="C3128" s="12">
        <v>338148</v>
      </c>
      <c r="D3128" s="12">
        <v>340916</v>
      </c>
      <c r="E3128" s="12" t="s">
        <v>3940</v>
      </c>
      <c r="F3128" s="12">
        <v>245</v>
      </c>
      <c r="H3128" s="12" t="s">
        <v>6264</v>
      </c>
      <c r="I3128" s="41" t="s">
        <v>8066</v>
      </c>
      <c r="M3128" s="41" t="e">
        <f>VLOOKUP(I3128,错误mRNA总表!D:I,6,FALSE)</f>
        <v>#N/A</v>
      </c>
    </row>
    <row r="3129" spans="1:13" x14ac:dyDescent="0.2">
      <c r="A3129" s="12" t="s">
        <v>5491</v>
      </c>
      <c r="B3129" s="12" t="s">
        <v>4098</v>
      </c>
      <c r="C3129" s="12">
        <v>338148</v>
      </c>
      <c r="D3129" s="12">
        <v>344479</v>
      </c>
      <c r="E3129" s="12" t="s">
        <v>3940</v>
      </c>
      <c r="F3129" s="12">
        <v>929</v>
      </c>
      <c r="H3129" s="12" t="s">
        <v>6264</v>
      </c>
      <c r="I3129" s="41" t="s">
        <v>8066</v>
      </c>
      <c r="M3129" s="41" t="e">
        <f>VLOOKUP(I3129,错误mRNA总表!D:I,6,FALSE)</f>
        <v>#N/A</v>
      </c>
    </row>
    <row r="3130" spans="1:13" x14ac:dyDescent="0.2">
      <c r="A3130" s="12" t="s">
        <v>4213</v>
      </c>
      <c r="B3130" s="12" t="s">
        <v>3950</v>
      </c>
      <c r="C3130" s="12">
        <v>211369</v>
      </c>
      <c r="D3130" s="12">
        <v>212854</v>
      </c>
      <c r="E3130" s="12" t="s">
        <v>3940</v>
      </c>
      <c r="F3130" s="12">
        <v>3</v>
      </c>
      <c r="H3130" s="12" t="s">
        <v>6388</v>
      </c>
      <c r="I3130" s="41" t="s">
        <v>8067</v>
      </c>
      <c r="M3130" s="41" t="e">
        <f>VLOOKUP(I3130,错误mRNA总表!D:I,6,FALSE)</f>
        <v>#N/A</v>
      </c>
    </row>
    <row r="3131" spans="1:13" x14ac:dyDescent="0.2">
      <c r="A3131" s="12" t="s">
        <v>5492</v>
      </c>
      <c r="B3131" s="12" t="s">
        <v>4182</v>
      </c>
      <c r="C3131" s="12">
        <v>15815</v>
      </c>
      <c r="D3131" s="12">
        <v>15843</v>
      </c>
      <c r="E3131" s="12" t="s">
        <v>3940</v>
      </c>
      <c r="F3131" s="12">
        <v>172</v>
      </c>
      <c r="H3131" s="12" t="s">
        <v>6265</v>
      </c>
      <c r="I3131" s="41" t="s">
        <v>8068</v>
      </c>
      <c r="M3131" s="41" t="e">
        <f>VLOOKUP(I3131,错误mRNA总表!D:I,6,FALSE)</f>
        <v>#N/A</v>
      </c>
    </row>
    <row r="3132" spans="1:13" x14ac:dyDescent="0.2">
      <c r="A3132" s="12" t="s">
        <v>5492</v>
      </c>
      <c r="B3132" s="12" t="s">
        <v>4182</v>
      </c>
      <c r="C3132" s="12">
        <v>15815</v>
      </c>
      <c r="D3132" s="12">
        <v>15821</v>
      </c>
      <c r="E3132" s="12" t="s">
        <v>3940</v>
      </c>
      <c r="F3132" s="12">
        <v>3</v>
      </c>
      <c r="H3132" s="12" t="s">
        <v>6265</v>
      </c>
      <c r="I3132" s="41" t="s">
        <v>8068</v>
      </c>
      <c r="M3132" s="41" t="e">
        <f>VLOOKUP(I3132,错误mRNA总表!D:I,6,FALSE)</f>
        <v>#N/A</v>
      </c>
    </row>
    <row r="3133" spans="1:13" x14ac:dyDescent="0.2">
      <c r="A3133" s="12" t="s">
        <v>4155</v>
      </c>
      <c r="B3133" s="12" t="s">
        <v>4942</v>
      </c>
      <c r="C3133" s="12">
        <v>721354</v>
      </c>
      <c r="D3133" s="12">
        <v>734548</v>
      </c>
      <c r="E3133" s="12" t="s">
        <v>3943</v>
      </c>
      <c r="F3133" s="12">
        <v>3</v>
      </c>
      <c r="H3133" s="12" t="s">
        <v>6383</v>
      </c>
      <c r="I3133" s="41" t="s">
        <v>8069</v>
      </c>
      <c r="M3133" s="41" t="e">
        <f>VLOOKUP(I3133,错误mRNA总表!D:I,6,FALSE)</f>
        <v>#N/A</v>
      </c>
    </row>
    <row r="3134" spans="1:13" x14ac:dyDescent="0.2">
      <c r="A3134" s="12" t="s">
        <v>3980</v>
      </c>
      <c r="B3134" s="12" t="s">
        <v>3981</v>
      </c>
      <c r="C3134" s="12">
        <v>28732</v>
      </c>
      <c r="D3134" s="12">
        <v>29341</v>
      </c>
      <c r="E3134" s="12" t="s">
        <v>3940</v>
      </c>
      <c r="F3134" s="12">
        <v>6</v>
      </c>
      <c r="H3134" s="12" t="s">
        <v>5776</v>
      </c>
      <c r="I3134" s="41" t="s">
        <v>8070</v>
      </c>
      <c r="M3134" s="41" t="e">
        <f>VLOOKUP(I3134,错误mRNA总表!D:I,6,FALSE)</f>
        <v>#N/A</v>
      </c>
    </row>
    <row r="3135" spans="1:13" x14ac:dyDescent="0.2">
      <c r="A3135" s="12" t="s">
        <v>3980</v>
      </c>
      <c r="B3135" s="12" t="s">
        <v>3981</v>
      </c>
      <c r="C3135" s="12">
        <v>28732</v>
      </c>
      <c r="D3135" s="12">
        <v>32683</v>
      </c>
      <c r="E3135" s="12" t="s">
        <v>3940</v>
      </c>
      <c r="F3135" s="12">
        <v>298</v>
      </c>
      <c r="H3135" s="12" t="s">
        <v>5776</v>
      </c>
      <c r="I3135" s="41" t="s">
        <v>8070</v>
      </c>
      <c r="M3135" s="41" t="e">
        <f>VLOOKUP(I3135,错误mRNA总表!D:I,6,FALSE)</f>
        <v>#N/A</v>
      </c>
    </row>
    <row r="3136" spans="1:13" x14ac:dyDescent="0.2">
      <c r="A3136" s="12" t="s">
        <v>3980</v>
      </c>
      <c r="B3136" s="12" t="s">
        <v>3981</v>
      </c>
      <c r="C3136" s="12">
        <v>28732</v>
      </c>
      <c r="D3136" s="12">
        <v>30620</v>
      </c>
      <c r="E3136" s="12" t="s">
        <v>3940</v>
      </c>
      <c r="F3136" s="12">
        <v>6</v>
      </c>
      <c r="H3136" s="12" t="s">
        <v>5776</v>
      </c>
      <c r="I3136" s="41" t="s">
        <v>8070</v>
      </c>
      <c r="M3136" s="41" t="e">
        <f>VLOOKUP(I3136,错误mRNA总表!D:I,6,FALSE)</f>
        <v>#N/A</v>
      </c>
    </row>
    <row r="3137" spans="1:13" x14ac:dyDescent="0.2">
      <c r="A3137" s="12" t="s">
        <v>3980</v>
      </c>
      <c r="B3137" s="12" t="s">
        <v>3981</v>
      </c>
      <c r="C3137" s="12">
        <v>28732</v>
      </c>
      <c r="D3137" s="12">
        <v>30686</v>
      </c>
      <c r="E3137" s="12" t="s">
        <v>3943</v>
      </c>
      <c r="F3137" s="12">
        <v>4</v>
      </c>
      <c r="H3137" s="12" t="s">
        <v>5776</v>
      </c>
      <c r="I3137" s="41" t="s">
        <v>8070</v>
      </c>
      <c r="M3137" s="41" t="e">
        <f>VLOOKUP(I3137,错误mRNA总表!D:I,6,FALSE)</f>
        <v>#N/A</v>
      </c>
    </row>
    <row r="3138" spans="1:13" x14ac:dyDescent="0.2">
      <c r="A3138" s="12" t="s">
        <v>3980</v>
      </c>
      <c r="B3138" s="12" t="s">
        <v>3981</v>
      </c>
      <c r="C3138" s="12">
        <v>28732</v>
      </c>
      <c r="D3138" s="12">
        <v>30821</v>
      </c>
      <c r="E3138" s="12" t="s">
        <v>3943</v>
      </c>
      <c r="F3138" s="12">
        <v>2</v>
      </c>
      <c r="H3138" s="12" t="s">
        <v>5776</v>
      </c>
      <c r="I3138" s="41" t="s">
        <v>8070</v>
      </c>
      <c r="M3138" s="41" t="e">
        <f>VLOOKUP(I3138,错误mRNA总表!D:I,6,FALSE)</f>
        <v>#N/A</v>
      </c>
    </row>
    <row r="3139" spans="1:13" x14ac:dyDescent="0.2">
      <c r="A3139" s="12" t="s">
        <v>3980</v>
      </c>
      <c r="B3139" s="12" t="s">
        <v>3981</v>
      </c>
      <c r="C3139" s="12">
        <v>28732</v>
      </c>
      <c r="D3139" s="12">
        <v>31167</v>
      </c>
      <c r="E3139" s="12" t="s">
        <v>3940</v>
      </c>
      <c r="F3139" s="12">
        <v>1</v>
      </c>
      <c r="H3139" s="12" t="s">
        <v>5776</v>
      </c>
      <c r="I3139" s="41" t="s">
        <v>8070</v>
      </c>
      <c r="M3139" s="41" t="e">
        <f>VLOOKUP(I3139,错误mRNA总表!D:I,6,FALSE)</f>
        <v>#N/A</v>
      </c>
    </row>
    <row r="3140" spans="1:13" x14ac:dyDescent="0.2">
      <c r="A3140" s="12" t="s">
        <v>3980</v>
      </c>
      <c r="B3140" s="12" t="s">
        <v>3981</v>
      </c>
      <c r="C3140" s="12">
        <v>28732</v>
      </c>
      <c r="D3140" s="12">
        <v>31389</v>
      </c>
      <c r="E3140" s="12" t="s">
        <v>3940</v>
      </c>
      <c r="F3140" s="12">
        <v>4</v>
      </c>
      <c r="H3140" s="12" t="s">
        <v>5776</v>
      </c>
      <c r="I3140" s="41" t="s">
        <v>8070</v>
      </c>
      <c r="M3140" s="41" t="e">
        <f>VLOOKUP(I3140,错误mRNA总表!D:I,6,FALSE)</f>
        <v>#N/A</v>
      </c>
    </row>
    <row r="3141" spans="1:13" x14ac:dyDescent="0.2">
      <c r="A3141" s="12" t="s">
        <v>3980</v>
      </c>
      <c r="B3141" s="12" t="s">
        <v>3981</v>
      </c>
      <c r="C3141" s="12">
        <v>28732</v>
      </c>
      <c r="D3141" s="12">
        <v>31392</v>
      </c>
      <c r="E3141" s="12" t="s">
        <v>3940</v>
      </c>
      <c r="F3141" s="12">
        <v>4</v>
      </c>
      <c r="H3141" s="12" t="s">
        <v>5776</v>
      </c>
      <c r="I3141" s="41" t="s">
        <v>8070</v>
      </c>
      <c r="M3141" s="41" t="e">
        <f>VLOOKUP(I3141,错误mRNA总表!D:I,6,FALSE)</f>
        <v>#N/A</v>
      </c>
    </row>
    <row r="3142" spans="1:13" x14ac:dyDescent="0.2">
      <c r="A3142" s="12" t="s">
        <v>5493</v>
      </c>
      <c r="B3142" s="12" t="s">
        <v>3986</v>
      </c>
      <c r="C3142" s="12">
        <v>50879680</v>
      </c>
      <c r="D3142" s="12">
        <v>50881824</v>
      </c>
      <c r="E3142" s="12" t="s">
        <v>3940</v>
      </c>
      <c r="F3142" s="12">
        <v>3</v>
      </c>
      <c r="G3142" s="41" t="s">
        <v>50</v>
      </c>
      <c r="H3142" s="12" t="s">
        <v>1273</v>
      </c>
      <c r="I3142" s="41" t="s">
        <v>2287</v>
      </c>
      <c r="J3142" s="41" t="s">
        <v>2287</v>
      </c>
      <c r="K3142" s="41" t="str">
        <f>VLOOKUP(J3142,错误mRNA总表!D:J,7,FALSE)</f>
        <v>纠后正确，加1个氨基酸chr19:50881825-50885859</v>
      </c>
      <c r="L3142" s="41" t="s">
        <v>8347</v>
      </c>
      <c r="M3142" s="41">
        <f>VLOOKUP(I3142,错误mRNA总表!D:I,6,FALSE)</f>
        <v>0</v>
      </c>
    </row>
    <row r="3143" spans="1:13" x14ac:dyDescent="0.2">
      <c r="A3143" s="12" t="s">
        <v>5494</v>
      </c>
      <c r="B3143" s="12" t="s">
        <v>4023</v>
      </c>
      <c r="C3143" s="12">
        <v>954315</v>
      </c>
      <c r="D3143" s="12">
        <v>955234</v>
      </c>
      <c r="E3143" s="12" t="s">
        <v>3943</v>
      </c>
      <c r="F3143" s="12">
        <v>1</v>
      </c>
      <c r="H3143" s="12" t="s">
        <v>6266</v>
      </c>
      <c r="I3143" s="41" t="s">
        <v>8071</v>
      </c>
      <c r="M3143" s="41" t="e">
        <f>VLOOKUP(I3143,错误mRNA总表!D:I,6,FALSE)</f>
        <v>#N/A</v>
      </c>
    </row>
    <row r="3144" spans="1:13" x14ac:dyDescent="0.2">
      <c r="A3144" s="12" t="s">
        <v>5495</v>
      </c>
      <c r="B3144" s="12" t="s">
        <v>4004</v>
      </c>
      <c r="C3144" s="12">
        <v>86126288</v>
      </c>
      <c r="D3144" s="12">
        <v>86126827</v>
      </c>
      <c r="E3144" s="12" t="s">
        <v>3940</v>
      </c>
      <c r="F3144" s="12">
        <v>6</v>
      </c>
      <c r="G3144" s="41" t="s">
        <v>103</v>
      </c>
      <c r="H3144" s="12" t="s">
        <v>788</v>
      </c>
      <c r="I3144" s="41" t="s">
        <v>2219</v>
      </c>
      <c r="J3144" s="41" t="s">
        <v>2219</v>
      </c>
      <c r="K3144" s="41" t="str">
        <f>VLOOKUP(J3144,错误mRNA总表!D:J,7,FALSE)</f>
        <v>纠后正确，加2个氨基酸chr8:86126795-86126826</v>
      </c>
      <c r="L3144" s="41" t="s">
        <v>8335</v>
      </c>
      <c r="M3144" s="41">
        <f>VLOOKUP(I3144,错误mRNA总表!D:I,6,FALSE)</f>
        <v>0</v>
      </c>
    </row>
    <row r="3145" spans="1:13" x14ac:dyDescent="0.2">
      <c r="A3145" s="12" t="s">
        <v>4837</v>
      </c>
      <c r="B3145" s="12" t="s">
        <v>4001</v>
      </c>
      <c r="C3145" s="12">
        <v>4080359</v>
      </c>
      <c r="D3145" s="12">
        <v>4082675</v>
      </c>
      <c r="E3145" s="12" t="s">
        <v>3940</v>
      </c>
      <c r="F3145" s="12">
        <v>177</v>
      </c>
      <c r="H3145" s="12" t="s">
        <v>672</v>
      </c>
      <c r="I3145" s="41" t="s">
        <v>8072</v>
      </c>
      <c r="J3145" s="41" t="s">
        <v>3234</v>
      </c>
      <c r="K3145" s="41" t="str">
        <f>VLOOKUP(J3145,错误mRNA总表!D:J,7,FALSE)</f>
        <v/>
      </c>
      <c r="M3145" s="41" t="e">
        <f>VLOOKUP(I3145,错误mRNA总表!D:I,6,FALSE)</f>
        <v>#N/A</v>
      </c>
    </row>
    <row r="3146" spans="1:13" x14ac:dyDescent="0.2">
      <c r="A3146" s="12" t="s">
        <v>4837</v>
      </c>
      <c r="B3146" s="12" t="s">
        <v>4001</v>
      </c>
      <c r="C3146" s="12">
        <v>4080359</v>
      </c>
      <c r="D3146" s="12">
        <v>4083448</v>
      </c>
      <c r="E3146" s="12" t="s">
        <v>3943</v>
      </c>
      <c r="F3146" s="12">
        <v>10</v>
      </c>
      <c r="H3146" s="12" t="s">
        <v>672</v>
      </c>
      <c r="I3146" s="41" t="s">
        <v>8072</v>
      </c>
      <c r="J3146" s="41" t="s">
        <v>3234</v>
      </c>
      <c r="K3146" s="41" t="str">
        <f>VLOOKUP(J3146,错误mRNA总表!D:J,7,FALSE)</f>
        <v/>
      </c>
      <c r="M3146" s="41" t="e">
        <f>VLOOKUP(I3146,错误mRNA总表!D:I,6,FALSE)</f>
        <v>#N/A</v>
      </c>
    </row>
    <row r="3147" spans="1:13" x14ac:dyDescent="0.2">
      <c r="A3147" s="12" t="s">
        <v>5496</v>
      </c>
      <c r="B3147" s="12" t="s">
        <v>3957</v>
      </c>
      <c r="C3147" s="12">
        <v>46638826</v>
      </c>
      <c r="D3147" s="12">
        <v>46694313</v>
      </c>
      <c r="E3147" s="12" t="s">
        <v>3943</v>
      </c>
      <c r="F3147" s="12">
        <v>2</v>
      </c>
      <c r="G3147" s="41" t="s">
        <v>36</v>
      </c>
      <c r="H3147" s="12" t="s">
        <v>6593</v>
      </c>
      <c r="I3147" s="41" t="s">
        <v>8073</v>
      </c>
      <c r="M3147" s="41" t="e">
        <f>VLOOKUP(I3147,错误mRNA总表!D:I,6,FALSE)</f>
        <v>#N/A</v>
      </c>
    </row>
    <row r="3148" spans="1:13" x14ac:dyDescent="0.2">
      <c r="A3148" s="12" t="s">
        <v>4167</v>
      </c>
      <c r="B3148" s="12" t="s">
        <v>3984</v>
      </c>
      <c r="C3148" s="12">
        <v>2900437</v>
      </c>
      <c r="D3148" s="12">
        <v>2900533</v>
      </c>
      <c r="E3148" s="12" t="s">
        <v>3943</v>
      </c>
      <c r="F3148" s="12">
        <v>4</v>
      </c>
      <c r="H3148" s="12" t="s">
        <v>3562</v>
      </c>
      <c r="I3148" s="41" t="s">
        <v>8074</v>
      </c>
      <c r="M3148" s="41" t="e">
        <f>VLOOKUP(I3148,错误mRNA总表!D:I,6,FALSE)</f>
        <v>#N/A</v>
      </c>
    </row>
    <row r="3149" spans="1:13" x14ac:dyDescent="0.2">
      <c r="A3149" s="12" t="s">
        <v>5050</v>
      </c>
      <c r="B3149" s="12" t="s">
        <v>4066</v>
      </c>
      <c r="C3149" s="12">
        <v>7033830</v>
      </c>
      <c r="D3149" s="12">
        <v>7035675</v>
      </c>
      <c r="E3149" s="12" t="s">
        <v>3943</v>
      </c>
      <c r="F3149" s="12">
        <v>1</v>
      </c>
      <c r="H3149" s="12" t="s">
        <v>3502</v>
      </c>
      <c r="I3149" s="41" t="s">
        <v>8075</v>
      </c>
      <c r="M3149" s="41" t="e">
        <f>VLOOKUP(I3149,错误mRNA总表!D:I,6,FALSE)</f>
        <v>#N/A</v>
      </c>
    </row>
    <row r="3150" spans="1:13" x14ac:dyDescent="0.2">
      <c r="A3150" s="12" t="s">
        <v>5109</v>
      </c>
      <c r="B3150" s="12" t="s">
        <v>3984</v>
      </c>
      <c r="C3150" s="12">
        <v>4499711</v>
      </c>
      <c r="D3150" s="12">
        <v>4500677</v>
      </c>
      <c r="E3150" s="12" t="s">
        <v>3943</v>
      </c>
      <c r="F3150" s="12">
        <v>8</v>
      </c>
      <c r="H3150" s="12" t="s">
        <v>3589</v>
      </c>
      <c r="I3150" s="41" t="s">
        <v>8076</v>
      </c>
      <c r="M3150" s="41" t="e">
        <f>VLOOKUP(I3150,错误mRNA总表!D:I,6,FALSE)</f>
        <v>#N/A</v>
      </c>
    </row>
    <row r="3151" spans="1:13" x14ac:dyDescent="0.2">
      <c r="A3151" s="12" t="s">
        <v>5109</v>
      </c>
      <c r="B3151" s="12" t="s">
        <v>3984</v>
      </c>
      <c r="C3151" s="12">
        <v>4499711</v>
      </c>
      <c r="D3151" s="12">
        <v>4501598</v>
      </c>
      <c r="E3151" s="12" t="s">
        <v>3940</v>
      </c>
      <c r="F3151" s="12">
        <v>1</v>
      </c>
      <c r="H3151" s="12" t="s">
        <v>3589</v>
      </c>
      <c r="I3151" s="41" t="s">
        <v>8076</v>
      </c>
      <c r="M3151" s="41" t="e">
        <f>VLOOKUP(I3151,错误mRNA总表!D:I,6,FALSE)</f>
        <v>#N/A</v>
      </c>
    </row>
    <row r="3152" spans="1:13" x14ac:dyDescent="0.2">
      <c r="A3152" s="12" t="s">
        <v>5497</v>
      </c>
      <c r="B3152" s="12" t="s">
        <v>4018</v>
      </c>
      <c r="C3152" s="12">
        <v>46825052</v>
      </c>
      <c r="D3152" s="12">
        <v>46924439</v>
      </c>
      <c r="E3152" s="12" t="s">
        <v>3943</v>
      </c>
      <c r="F3152" s="12">
        <v>9</v>
      </c>
      <c r="G3152" s="41" t="s">
        <v>241</v>
      </c>
      <c r="H3152" s="12" t="s">
        <v>1330</v>
      </c>
      <c r="I3152" s="41" t="s">
        <v>8077</v>
      </c>
      <c r="J3152" s="41" t="s">
        <v>2292</v>
      </c>
      <c r="K3152" s="41" t="str">
        <f>VLOOKUP(J3152,错误mRNA总表!D:J,7,FALSE)</f>
        <v>纠后正确，少3个氨基酸chr21:46924440-46932312</v>
      </c>
      <c r="M3152" s="41" t="e">
        <f>VLOOKUP(I3152,错误mRNA总表!D:I,6,FALSE)</f>
        <v>#N/A</v>
      </c>
    </row>
    <row r="3153" spans="1:13" x14ac:dyDescent="0.2">
      <c r="A3153" s="12" t="s">
        <v>5498</v>
      </c>
      <c r="B3153" s="12" t="s">
        <v>3946</v>
      </c>
      <c r="C3153" s="12">
        <v>73232687</v>
      </c>
      <c r="D3153" s="12">
        <v>73234010</v>
      </c>
      <c r="E3153" s="12" t="s">
        <v>3940</v>
      </c>
      <c r="F3153" s="12">
        <v>14</v>
      </c>
      <c r="G3153" s="41" t="s">
        <v>47</v>
      </c>
      <c r="H3153" s="12" t="s">
        <v>6516</v>
      </c>
      <c r="I3153" s="41" t="s">
        <v>8078</v>
      </c>
      <c r="M3153" s="41" t="e">
        <f>VLOOKUP(I3153,错误mRNA总表!D:I,6,FALSE)</f>
        <v>#N/A</v>
      </c>
    </row>
    <row r="3154" spans="1:13" x14ac:dyDescent="0.2">
      <c r="A3154" s="12" t="s">
        <v>4419</v>
      </c>
      <c r="B3154" s="12" t="s">
        <v>4001</v>
      </c>
      <c r="C3154" s="12">
        <v>2168105</v>
      </c>
      <c r="D3154" s="12">
        <v>2168855</v>
      </c>
      <c r="E3154" s="12" t="s">
        <v>3940</v>
      </c>
      <c r="F3154" s="12">
        <v>1</v>
      </c>
      <c r="H3154" s="12" t="s">
        <v>5895</v>
      </c>
      <c r="I3154" s="41" t="s">
        <v>8079</v>
      </c>
      <c r="M3154" s="41" t="e">
        <f>VLOOKUP(I3154,错误mRNA总表!D:I,6,FALSE)</f>
        <v>#N/A</v>
      </c>
    </row>
    <row r="3155" spans="1:13" x14ac:dyDescent="0.2">
      <c r="A3155" s="12" t="s">
        <v>4419</v>
      </c>
      <c r="B3155" s="12" t="s">
        <v>4001</v>
      </c>
      <c r="C3155" s="12">
        <v>2168105</v>
      </c>
      <c r="D3155" s="12">
        <v>2168864</v>
      </c>
      <c r="E3155" s="12" t="s">
        <v>3943</v>
      </c>
      <c r="F3155" s="12">
        <v>2</v>
      </c>
      <c r="H3155" s="12" t="s">
        <v>5895</v>
      </c>
      <c r="I3155" s="41" t="s">
        <v>8079</v>
      </c>
      <c r="M3155" s="41" t="e">
        <f>VLOOKUP(I3155,错误mRNA总表!D:I,6,FALSE)</f>
        <v>#N/A</v>
      </c>
    </row>
    <row r="3156" spans="1:13" x14ac:dyDescent="0.2">
      <c r="A3156" s="12" t="s">
        <v>5499</v>
      </c>
      <c r="B3156" s="12" t="s">
        <v>3973</v>
      </c>
      <c r="C3156" s="12">
        <v>35544964</v>
      </c>
      <c r="D3156" s="12">
        <v>35545023</v>
      </c>
      <c r="E3156" s="12" t="s">
        <v>3940</v>
      </c>
      <c r="F3156" s="12">
        <v>2</v>
      </c>
      <c r="G3156" s="41" t="s">
        <v>139</v>
      </c>
      <c r="H3156" s="12" t="s">
        <v>6267</v>
      </c>
      <c r="I3156" s="41" t="s">
        <v>8080</v>
      </c>
      <c r="M3156" s="41" t="e">
        <f>VLOOKUP(I3156,错误mRNA总表!D:I,6,FALSE)</f>
        <v>#N/A</v>
      </c>
    </row>
    <row r="3157" spans="1:13" x14ac:dyDescent="0.2">
      <c r="A3157" s="12" t="s">
        <v>5500</v>
      </c>
      <c r="B3157" s="12" t="s">
        <v>3946</v>
      </c>
      <c r="C3157" s="12">
        <v>34083268</v>
      </c>
      <c r="D3157" s="12">
        <v>34100350</v>
      </c>
      <c r="E3157" s="12" t="s">
        <v>3940</v>
      </c>
      <c r="F3157" s="12">
        <v>1</v>
      </c>
      <c r="G3157" s="41" t="s">
        <v>47</v>
      </c>
      <c r="H3157" s="12" t="s">
        <v>6268</v>
      </c>
      <c r="I3157" s="41" t="s">
        <v>8081</v>
      </c>
      <c r="M3157" s="41" t="e">
        <f>VLOOKUP(I3157,错误mRNA总表!D:I,6,FALSE)</f>
        <v>#N/A</v>
      </c>
    </row>
    <row r="3158" spans="1:13" x14ac:dyDescent="0.2">
      <c r="A3158" s="12" t="s">
        <v>4484</v>
      </c>
      <c r="B3158" s="12" t="s">
        <v>3950</v>
      </c>
      <c r="C3158" s="12">
        <v>248562</v>
      </c>
      <c r="D3158" s="12">
        <v>248597</v>
      </c>
      <c r="E3158" s="12" t="s">
        <v>3940</v>
      </c>
      <c r="F3158" s="12">
        <v>2</v>
      </c>
      <c r="H3158" s="12" t="s">
        <v>3654</v>
      </c>
      <c r="I3158" s="41" t="s">
        <v>6681</v>
      </c>
      <c r="M3158" s="41" t="e">
        <f>VLOOKUP(I3158,错误mRNA总表!D:I,6,FALSE)</f>
        <v>#N/A</v>
      </c>
    </row>
    <row r="3159" spans="1:13" x14ac:dyDescent="0.2">
      <c r="A3159" s="12" t="s">
        <v>5501</v>
      </c>
      <c r="B3159" s="12" t="s">
        <v>3986</v>
      </c>
      <c r="C3159" s="12">
        <v>41107277</v>
      </c>
      <c r="D3159" s="12">
        <v>41123095</v>
      </c>
      <c r="E3159" s="12" t="s">
        <v>3940</v>
      </c>
      <c r="F3159" s="12">
        <v>1</v>
      </c>
      <c r="G3159" s="41" t="s">
        <v>50</v>
      </c>
      <c r="H3159" s="12" t="s">
        <v>99</v>
      </c>
      <c r="I3159" s="41" t="s">
        <v>2106</v>
      </c>
      <c r="J3159" s="41" t="s">
        <v>2106</v>
      </c>
      <c r="K3159" s="41" t="str">
        <f>VLOOKUP(J3159,错误mRNA总表!D:J,7,FALSE)</f>
        <v>纠后正确</v>
      </c>
      <c r="L3159" s="41" t="s">
        <v>3763</v>
      </c>
      <c r="M3159" s="41">
        <f>VLOOKUP(I3159,错误mRNA总表!D:I,6,FALSE)</f>
        <v>0</v>
      </c>
    </row>
    <row r="3160" spans="1:13" x14ac:dyDescent="0.2">
      <c r="A3160" s="12" t="s">
        <v>5502</v>
      </c>
      <c r="B3160" s="12" t="s">
        <v>3957</v>
      </c>
      <c r="C3160" s="12">
        <v>118895061</v>
      </c>
      <c r="D3160" s="12">
        <v>118898435</v>
      </c>
      <c r="E3160" s="12" t="s">
        <v>3943</v>
      </c>
      <c r="F3160" s="12">
        <v>1</v>
      </c>
      <c r="G3160" s="41" t="s">
        <v>36</v>
      </c>
      <c r="H3160" s="12" t="s">
        <v>153</v>
      </c>
      <c r="I3160" s="41" t="s">
        <v>2139</v>
      </c>
      <c r="J3160" s="41" t="s">
        <v>2139</v>
      </c>
      <c r="K3160" s="41" t="str">
        <f>VLOOKUP(J3160,错误mRNA总表!D:J,7,FALSE)</f>
        <v>纠后正确</v>
      </c>
      <c r="L3160" s="41" t="s">
        <v>3763</v>
      </c>
      <c r="M3160" s="41">
        <f>VLOOKUP(I3160,错误mRNA总表!D:I,6,FALSE)</f>
        <v>0</v>
      </c>
    </row>
    <row r="3161" spans="1:13" x14ac:dyDescent="0.2">
      <c r="A3161" s="12" t="s">
        <v>5503</v>
      </c>
      <c r="B3161" s="12" t="s">
        <v>3973</v>
      </c>
      <c r="C3161" s="12">
        <v>150266262</v>
      </c>
      <c r="D3161" s="12">
        <v>150281120</v>
      </c>
      <c r="E3161" s="12" t="s">
        <v>3943</v>
      </c>
      <c r="F3161" s="12">
        <v>1</v>
      </c>
      <c r="G3161" s="41" t="s">
        <v>139</v>
      </c>
      <c r="H3161" s="12" t="s">
        <v>3505</v>
      </c>
      <c r="I3161" s="41" t="s">
        <v>8082</v>
      </c>
      <c r="M3161" s="41" t="e">
        <f>VLOOKUP(I3161,错误mRNA总表!D:I,6,FALSE)</f>
        <v>#N/A</v>
      </c>
    </row>
    <row r="3162" spans="1:13" x14ac:dyDescent="0.2">
      <c r="A3162" s="12" t="s">
        <v>5504</v>
      </c>
      <c r="B3162" s="12" t="s">
        <v>3978</v>
      </c>
      <c r="C3162" s="12">
        <v>50306593</v>
      </c>
      <c r="D3162" s="12">
        <v>50306757</v>
      </c>
      <c r="E3162" s="12" t="s">
        <v>3940</v>
      </c>
      <c r="F3162" s="12">
        <v>1</v>
      </c>
      <c r="G3162" s="41" t="s">
        <v>86</v>
      </c>
      <c r="H3162" s="12" t="s">
        <v>6269</v>
      </c>
      <c r="I3162" s="41" t="s">
        <v>8083</v>
      </c>
      <c r="M3162" s="41" t="e">
        <f>VLOOKUP(I3162,错误mRNA总表!D:I,6,FALSE)</f>
        <v>#N/A</v>
      </c>
    </row>
    <row r="3163" spans="1:13" x14ac:dyDescent="0.2">
      <c r="A3163" s="12" t="s">
        <v>5505</v>
      </c>
      <c r="B3163" s="12" t="s">
        <v>3994</v>
      </c>
      <c r="C3163" s="12">
        <v>1660981</v>
      </c>
      <c r="D3163" s="12">
        <v>1660996</v>
      </c>
      <c r="E3163" s="12" t="s">
        <v>3943</v>
      </c>
      <c r="F3163" s="12">
        <v>2</v>
      </c>
      <c r="H3163" s="12" t="s">
        <v>3540</v>
      </c>
      <c r="I3163" s="41" t="s">
        <v>8084</v>
      </c>
      <c r="M3163" s="41" t="e">
        <f>VLOOKUP(I3163,错误mRNA总表!D:I,6,FALSE)</f>
        <v>#N/A</v>
      </c>
    </row>
    <row r="3164" spans="1:13" x14ac:dyDescent="0.2">
      <c r="A3164" s="12" t="s">
        <v>5506</v>
      </c>
      <c r="B3164" s="12" t="s">
        <v>4023</v>
      </c>
      <c r="C3164" s="12">
        <v>563498</v>
      </c>
      <c r="D3164" s="12">
        <v>759494</v>
      </c>
      <c r="E3164" s="12" t="s">
        <v>3943</v>
      </c>
      <c r="F3164" s="12">
        <v>7</v>
      </c>
      <c r="H3164" s="12" t="s">
        <v>1182</v>
      </c>
      <c r="I3164" s="41" t="s">
        <v>8085</v>
      </c>
      <c r="J3164" s="41" t="s">
        <v>3035</v>
      </c>
      <c r="K3164" s="41" t="str">
        <f>VLOOKUP(J3164,错误mRNA总表!D:J,7,FALSE)</f>
        <v/>
      </c>
      <c r="M3164" s="41" t="e">
        <f>VLOOKUP(I3164,错误mRNA总表!D:I,6,FALSE)</f>
        <v>#N/A</v>
      </c>
    </row>
    <row r="3165" spans="1:13" x14ac:dyDescent="0.2">
      <c r="A3165" s="12" t="s">
        <v>5506</v>
      </c>
      <c r="B3165" s="12" t="s">
        <v>4023</v>
      </c>
      <c r="C3165" s="12">
        <v>563498</v>
      </c>
      <c r="D3165" s="12">
        <v>760377</v>
      </c>
      <c r="E3165" s="12" t="s">
        <v>3943</v>
      </c>
      <c r="F3165" s="12">
        <v>1</v>
      </c>
      <c r="H3165" s="12" t="s">
        <v>1182</v>
      </c>
      <c r="I3165" s="41" t="s">
        <v>8085</v>
      </c>
      <c r="J3165" s="41" t="s">
        <v>3035</v>
      </c>
      <c r="K3165" s="41" t="str">
        <f>VLOOKUP(J3165,错误mRNA总表!D:J,7,FALSE)</f>
        <v/>
      </c>
      <c r="M3165" s="41" t="e">
        <f>VLOOKUP(I3165,错误mRNA总表!D:I,6,FALSE)</f>
        <v>#N/A</v>
      </c>
    </row>
    <row r="3166" spans="1:13" x14ac:dyDescent="0.2">
      <c r="A3166" s="12" t="s">
        <v>5506</v>
      </c>
      <c r="B3166" s="12" t="s">
        <v>4023</v>
      </c>
      <c r="C3166" s="12">
        <v>563498</v>
      </c>
      <c r="D3166" s="12">
        <v>760470</v>
      </c>
      <c r="E3166" s="12" t="s">
        <v>3940</v>
      </c>
      <c r="F3166" s="12">
        <v>1</v>
      </c>
      <c r="H3166" s="12" t="s">
        <v>1182</v>
      </c>
      <c r="I3166" s="41" t="s">
        <v>8085</v>
      </c>
      <c r="J3166" s="41" t="s">
        <v>3035</v>
      </c>
      <c r="K3166" s="41" t="str">
        <f>VLOOKUP(J3166,错误mRNA总表!D:J,7,FALSE)</f>
        <v/>
      </c>
      <c r="M3166" s="41" t="e">
        <f>VLOOKUP(I3166,错误mRNA总表!D:I,6,FALSE)</f>
        <v>#N/A</v>
      </c>
    </row>
    <row r="3167" spans="1:13" x14ac:dyDescent="0.2">
      <c r="A3167" s="12" t="s">
        <v>5506</v>
      </c>
      <c r="B3167" s="12" t="s">
        <v>4023</v>
      </c>
      <c r="C3167" s="12">
        <v>563498</v>
      </c>
      <c r="D3167" s="12">
        <v>760495</v>
      </c>
      <c r="E3167" s="12" t="s">
        <v>3940</v>
      </c>
      <c r="F3167" s="12">
        <v>1</v>
      </c>
      <c r="H3167" s="12" t="s">
        <v>1182</v>
      </c>
      <c r="I3167" s="41" t="s">
        <v>8085</v>
      </c>
      <c r="J3167" s="41" t="s">
        <v>3035</v>
      </c>
      <c r="K3167" s="41" t="str">
        <f>VLOOKUP(J3167,错误mRNA总表!D:J,7,FALSE)</f>
        <v/>
      </c>
      <c r="M3167" s="41" t="e">
        <f>VLOOKUP(I3167,错误mRNA总表!D:I,6,FALSE)</f>
        <v>#N/A</v>
      </c>
    </row>
    <row r="3168" spans="1:13" x14ac:dyDescent="0.2">
      <c r="A3168" s="12" t="s">
        <v>5506</v>
      </c>
      <c r="B3168" s="12" t="s">
        <v>4023</v>
      </c>
      <c r="C3168" s="12">
        <v>563498</v>
      </c>
      <c r="D3168" s="12">
        <v>760660</v>
      </c>
      <c r="E3168" s="12" t="s">
        <v>3940</v>
      </c>
      <c r="F3168" s="12">
        <v>1</v>
      </c>
      <c r="H3168" s="12" t="s">
        <v>1182</v>
      </c>
      <c r="I3168" s="41" t="s">
        <v>8085</v>
      </c>
      <c r="J3168" s="41" t="s">
        <v>3035</v>
      </c>
      <c r="K3168" s="41" t="str">
        <f>VLOOKUP(J3168,错误mRNA总表!D:J,7,FALSE)</f>
        <v/>
      </c>
      <c r="M3168" s="41" t="e">
        <f>VLOOKUP(I3168,错误mRNA总表!D:I,6,FALSE)</f>
        <v>#N/A</v>
      </c>
    </row>
    <row r="3169" spans="1:13" x14ac:dyDescent="0.2">
      <c r="A3169" s="12" t="s">
        <v>5090</v>
      </c>
      <c r="B3169" s="12" t="s">
        <v>4001</v>
      </c>
      <c r="C3169" s="12">
        <v>928284</v>
      </c>
      <c r="D3169" s="12">
        <v>943634</v>
      </c>
      <c r="E3169" s="12" t="s">
        <v>3943</v>
      </c>
      <c r="F3169" s="12">
        <v>4</v>
      </c>
      <c r="H3169" s="12" t="s">
        <v>3523</v>
      </c>
      <c r="I3169" s="41" t="s">
        <v>8086</v>
      </c>
      <c r="M3169" s="41" t="e">
        <f>VLOOKUP(I3169,错误mRNA总表!D:I,6,FALSE)</f>
        <v>#N/A</v>
      </c>
    </row>
    <row r="3170" spans="1:13" x14ac:dyDescent="0.2">
      <c r="A3170" s="12" t="s">
        <v>5507</v>
      </c>
      <c r="B3170" s="12" t="s">
        <v>3946</v>
      </c>
      <c r="C3170" s="12">
        <v>41363846</v>
      </c>
      <c r="D3170" s="12">
        <v>41371770</v>
      </c>
      <c r="E3170" s="12" t="s">
        <v>3943</v>
      </c>
      <c r="F3170" s="12">
        <v>1</v>
      </c>
      <c r="G3170" s="41" t="s">
        <v>47</v>
      </c>
      <c r="H3170" s="12" t="s">
        <v>6270</v>
      </c>
      <c r="I3170" s="41" t="s">
        <v>8087</v>
      </c>
      <c r="M3170" s="41" t="e">
        <f>VLOOKUP(I3170,错误mRNA总表!D:I,6,FALSE)</f>
        <v>#N/A</v>
      </c>
    </row>
    <row r="3171" spans="1:13" x14ac:dyDescent="0.2">
      <c r="A3171" s="12" t="s">
        <v>5508</v>
      </c>
      <c r="B3171" s="12" t="s">
        <v>3973</v>
      </c>
      <c r="C3171" s="12">
        <v>1570603</v>
      </c>
      <c r="D3171" s="12">
        <v>1580625</v>
      </c>
      <c r="E3171" s="12" t="s">
        <v>3940</v>
      </c>
      <c r="F3171" s="12">
        <v>260</v>
      </c>
      <c r="G3171" s="41" t="s">
        <v>139</v>
      </c>
      <c r="H3171" s="12" t="s">
        <v>318</v>
      </c>
      <c r="I3171" s="41" t="s">
        <v>8088</v>
      </c>
      <c r="J3171" s="41" t="s">
        <v>2224</v>
      </c>
      <c r="K3171" s="41" t="str">
        <f>VLOOKUP(J3171,错误mRNA总表!D:J,7,FALSE)</f>
        <v>纠后正确，区间略有变化，加77个氨基酸chr1:1571126-1586818</v>
      </c>
      <c r="M3171" s="41" t="e">
        <f>VLOOKUP(I3171,错误mRNA总表!D:I,6,FALSE)</f>
        <v>#N/A</v>
      </c>
    </row>
    <row r="3172" spans="1:13" x14ac:dyDescent="0.2">
      <c r="A3172" s="12" t="s">
        <v>5508</v>
      </c>
      <c r="B3172" s="12" t="s">
        <v>3973</v>
      </c>
      <c r="C3172" s="12">
        <v>1570603</v>
      </c>
      <c r="D3172" s="12">
        <v>1570917</v>
      </c>
      <c r="E3172" s="12" t="s">
        <v>3940</v>
      </c>
      <c r="F3172" s="12">
        <v>13</v>
      </c>
      <c r="G3172" s="41" t="s">
        <v>139</v>
      </c>
      <c r="H3172" s="12" t="s">
        <v>318</v>
      </c>
      <c r="I3172" s="41" t="s">
        <v>8088</v>
      </c>
      <c r="J3172" s="41" t="s">
        <v>2224</v>
      </c>
      <c r="K3172" s="41" t="str">
        <f>VLOOKUP(J3172,错误mRNA总表!D:J,7,FALSE)</f>
        <v>纠后正确，区间略有变化，加77个氨基酸chr1:1571126-1586818</v>
      </c>
      <c r="M3172" s="41" t="e">
        <f>VLOOKUP(I3172,错误mRNA总表!D:I,6,FALSE)</f>
        <v>#N/A</v>
      </c>
    </row>
    <row r="3173" spans="1:13" x14ac:dyDescent="0.2">
      <c r="A3173" s="12" t="s">
        <v>5508</v>
      </c>
      <c r="B3173" s="12" t="s">
        <v>3973</v>
      </c>
      <c r="C3173" s="12">
        <v>1570603</v>
      </c>
      <c r="D3173" s="12">
        <v>1570922</v>
      </c>
      <c r="E3173" s="12" t="s">
        <v>3940</v>
      </c>
      <c r="F3173" s="12">
        <v>1</v>
      </c>
      <c r="G3173" s="41" t="s">
        <v>139</v>
      </c>
      <c r="H3173" s="12" t="s">
        <v>318</v>
      </c>
      <c r="I3173" s="41" t="s">
        <v>8088</v>
      </c>
      <c r="J3173" s="41" t="s">
        <v>2224</v>
      </c>
      <c r="K3173" s="41" t="str">
        <f>VLOOKUP(J3173,错误mRNA总表!D:J,7,FALSE)</f>
        <v>纠后正确，区间略有变化，加77个氨基酸chr1:1571126-1586818</v>
      </c>
      <c r="M3173" s="41" t="e">
        <f>VLOOKUP(I3173,错误mRNA总表!D:I,6,FALSE)</f>
        <v>#N/A</v>
      </c>
    </row>
    <row r="3174" spans="1:13" x14ac:dyDescent="0.2">
      <c r="A3174" s="12" t="s">
        <v>4137</v>
      </c>
      <c r="B3174" s="12" t="s">
        <v>3994</v>
      </c>
      <c r="C3174" s="12">
        <v>4061343</v>
      </c>
      <c r="D3174" s="12">
        <v>4065323</v>
      </c>
      <c r="E3174" s="12" t="s">
        <v>3940</v>
      </c>
      <c r="F3174" s="12">
        <v>3</v>
      </c>
      <c r="H3174" s="12" t="s">
        <v>3580</v>
      </c>
      <c r="I3174" s="41" t="s">
        <v>8089</v>
      </c>
      <c r="M3174" s="41" t="e">
        <f>VLOOKUP(I3174,错误mRNA总表!D:I,6,FALSE)</f>
        <v>#N/A</v>
      </c>
    </row>
    <row r="3175" spans="1:13" x14ac:dyDescent="0.2">
      <c r="A3175" s="12" t="s">
        <v>4137</v>
      </c>
      <c r="B3175" s="12" t="s">
        <v>3994</v>
      </c>
      <c r="C3175" s="12">
        <v>4061343</v>
      </c>
      <c r="D3175" s="12">
        <v>4066920</v>
      </c>
      <c r="E3175" s="12" t="s">
        <v>3943</v>
      </c>
      <c r="F3175" s="12">
        <v>7</v>
      </c>
      <c r="H3175" s="12" t="s">
        <v>3580</v>
      </c>
      <c r="I3175" s="41" t="s">
        <v>8089</v>
      </c>
      <c r="M3175" s="41" t="e">
        <f>VLOOKUP(I3175,错误mRNA总表!D:I,6,FALSE)</f>
        <v>#N/A</v>
      </c>
    </row>
    <row r="3176" spans="1:13" x14ac:dyDescent="0.2">
      <c r="A3176" s="12" t="s">
        <v>4137</v>
      </c>
      <c r="B3176" s="12" t="s">
        <v>3994</v>
      </c>
      <c r="C3176" s="12">
        <v>4061343</v>
      </c>
      <c r="D3176" s="12">
        <v>4066999</v>
      </c>
      <c r="E3176" s="12" t="s">
        <v>3940</v>
      </c>
      <c r="F3176" s="12">
        <v>1</v>
      </c>
      <c r="H3176" s="12" t="s">
        <v>3580</v>
      </c>
      <c r="I3176" s="41" t="s">
        <v>8089</v>
      </c>
      <c r="M3176" s="41" t="e">
        <f>VLOOKUP(I3176,错误mRNA总表!D:I,6,FALSE)</f>
        <v>#N/A</v>
      </c>
    </row>
    <row r="3177" spans="1:13" x14ac:dyDescent="0.2">
      <c r="A3177" s="12" t="s">
        <v>5509</v>
      </c>
      <c r="B3177" s="12" t="s">
        <v>3986</v>
      </c>
      <c r="C3177" s="12">
        <v>41103141</v>
      </c>
      <c r="D3177" s="12">
        <v>41123095</v>
      </c>
      <c r="E3177" s="12" t="s">
        <v>3940</v>
      </c>
      <c r="F3177" s="12">
        <v>1</v>
      </c>
      <c r="G3177" s="41" t="s">
        <v>50</v>
      </c>
      <c r="H3177" s="12" t="s">
        <v>98</v>
      </c>
      <c r="I3177" s="41" t="s">
        <v>2105</v>
      </c>
      <c r="J3177" s="41" t="s">
        <v>2105</v>
      </c>
      <c r="K3177" s="41" t="str">
        <f>VLOOKUP(J3177,错误mRNA总表!D:J,7,FALSE)</f>
        <v>纠后正确</v>
      </c>
      <c r="L3177" s="41" t="s">
        <v>3763</v>
      </c>
      <c r="M3177" s="41">
        <f>VLOOKUP(I3177,错误mRNA总表!D:I,6,FALSE)</f>
        <v>0</v>
      </c>
    </row>
    <row r="3178" spans="1:13" x14ac:dyDescent="0.2">
      <c r="A3178" s="12" t="s">
        <v>5510</v>
      </c>
      <c r="B3178" s="12" t="s">
        <v>4107</v>
      </c>
      <c r="C3178" s="12">
        <v>1213152</v>
      </c>
      <c r="D3178" s="12">
        <v>1213325</v>
      </c>
      <c r="E3178" s="12" t="s">
        <v>3940</v>
      </c>
      <c r="F3178" s="12">
        <v>1</v>
      </c>
      <c r="H3178" s="12" t="s">
        <v>3680</v>
      </c>
      <c r="I3178" s="41" t="s">
        <v>8090</v>
      </c>
      <c r="M3178" s="41" t="e">
        <f>VLOOKUP(I3178,错误mRNA总表!D:I,6,FALSE)</f>
        <v>#N/A</v>
      </c>
    </row>
    <row r="3179" spans="1:13" x14ac:dyDescent="0.2">
      <c r="A3179" s="12" t="s">
        <v>4320</v>
      </c>
      <c r="B3179" s="12" t="s">
        <v>3994</v>
      </c>
      <c r="C3179" s="12">
        <v>2816315</v>
      </c>
      <c r="D3179" s="12">
        <v>2820691</v>
      </c>
      <c r="E3179" s="12" t="s">
        <v>3940</v>
      </c>
      <c r="F3179" s="12">
        <v>2</v>
      </c>
      <c r="H3179" s="12" t="s">
        <v>5867</v>
      </c>
      <c r="I3179" s="41" t="s">
        <v>8091</v>
      </c>
      <c r="M3179" s="41" t="e">
        <f>VLOOKUP(I3179,错误mRNA总表!D:I,6,FALSE)</f>
        <v>#N/A</v>
      </c>
    </row>
    <row r="3180" spans="1:13" x14ac:dyDescent="0.2">
      <c r="A3180" s="12" t="s">
        <v>4550</v>
      </c>
      <c r="B3180" s="12" t="s">
        <v>4061</v>
      </c>
      <c r="C3180" s="12">
        <v>807044</v>
      </c>
      <c r="D3180" s="12">
        <v>813878</v>
      </c>
      <c r="E3180" s="12" t="s">
        <v>3940</v>
      </c>
      <c r="F3180" s="12">
        <v>22</v>
      </c>
      <c r="H3180" s="12" t="s">
        <v>214</v>
      </c>
      <c r="I3180" s="41" t="s">
        <v>7309</v>
      </c>
      <c r="J3180" s="41" t="s">
        <v>2170</v>
      </c>
      <c r="K3180" s="41" t="str">
        <f>VLOOKUP(J3180,错误mRNA总表!D:J,7,FALSE)</f>
        <v>Browser与原结果匹配，纠后与rs匹配(rs746499983)chr19:55350966-55359398</v>
      </c>
      <c r="M3180" s="41" t="e">
        <f>VLOOKUP(I3180,错误mRNA总表!D:I,6,FALSE)</f>
        <v>#N/A</v>
      </c>
    </row>
    <row r="3181" spans="1:13" x14ac:dyDescent="0.2">
      <c r="A3181" s="12" t="s">
        <v>5511</v>
      </c>
      <c r="B3181" s="12" t="s">
        <v>4023</v>
      </c>
      <c r="C3181" s="12">
        <v>762280</v>
      </c>
      <c r="D3181" s="12">
        <v>895550</v>
      </c>
      <c r="E3181" s="12" t="s">
        <v>3940</v>
      </c>
      <c r="F3181" s="12">
        <v>1</v>
      </c>
      <c r="H3181" s="12" t="s">
        <v>3633</v>
      </c>
      <c r="I3181" s="41" t="s">
        <v>8092</v>
      </c>
      <c r="M3181" s="41" t="e">
        <f>VLOOKUP(I3181,错误mRNA总表!D:I,6,FALSE)</f>
        <v>#N/A</v>
      </c>
    </row>
    <row r="3182" spans="1:13" x14ac:dyDescent="0.2">
      <c r="A3182" s="12" t="s">
        <v>5511</v>
      </c>
      <c r="B3182" s="12" t="s">
        <v>4023</v>
      </c>
      <c r="C3182" s="12">
        <v>762280</v>
      </c>
      <c r="D3182" s="12">
        <v>763397</v>
      </c>
      <c r="E3182" s="12" t="s">
        <v>3940</v>
      </c>
      <c r="F3182" s="12">
        <v>3</v>
      </c>
      <c r="H3182" s="12" t="s">
        <v>3633</v>
      </c>
      <c r="I3182" s="41" t="s">
        <v>8092</v>
      </c>
      <c r="M3182" s="41" t="e">
        <f>VLOOKUP(I3182,错误mRNA总表!D:I,6,FALSE)</f>
        <v>#N/A</v>
      </c>
    </row>
    <row r="3183" spans="1:13" x14ac:dyDescent="0.2">
      <c r="A3183" s="12" t="s">
        <v>5511</v>
      </c>
      <c r="B3183" s="12" t="s">
        <v>4023</v>
      </c>
      <c r="C3183" s="12">
        <v>762280</v>
      </c>
      <c r="D3183" s="12">
        <v>763561</v>
      </c>
      <c r="E3183" s="12" t="s">
        <v>3940</v>
      </c>
      <c r="F3183" s="12">
        <v>3</v>
      </c>
      <c r="H3183" s="12" t="s">
        <v>3633</v>
      </c>
      <c r="I3183" s="41" t="s">
        <v>8092</v>
      </c>
      <c r="M3183" s="41" t="e">
        <f>VLOOKUP(I3183,错误mRNA总表!D:I,6,FALSE)</f>
        <v>#N/A</v>
      </c>
    </row>
    <row r="3184" spans="1:13" x14ac:dyDescent="0.2">
      <c r="A3184" s="12" t="s">
        <v>5511</v>
      </c>
      <c r="B3184" s="12" t="s">
        <v>4023</v>
      </c>
      <c r="C3184" s="12">
        <v>762280</v>
      </c>
      <c r="D3184" s="12">
        <v>763693</v>
      </c>
      <c r="E3184" s="12" t="s">
        <v>3940</v>
      </c>
      <c r="F3184" s="12">
        <v>1</v>
      </c>
      <c r="H3184" s="12" t="s">
        <v>3633</v>
      </c>
      <c r="I3184" s="41" t="s">
        <v>8092</v>
      </c>
      <c r="M3184" s="41" t="e">
        <f>VLOOKUP(I3184,错误mRNA总表!D:I,6,FALSE)</f>
        <v>#N/A</v>
      </c>
    </row>
    <row r="3185" spans="1:13" x14ac:dyDescent="0.2">
      <c r="A3185" s="12" t="s">
        <v>5511</v>
      </c>
      <c r="B3185" s="12" t="s">
        <v>4023</v>
      </c>
      <c r="C3185" s="12">
        <v>762280</v>
      </c>
      <c r="D3185" s="12">
        <v>764045</v>
      </c>
      <c r="E3185" s="12" t="s">
        <v>3943</v>
      </c>
      <c r="F3185" s="12">
        <v>1</v>
      </c>
      <c r="H3185" s="12" t="s">
        <v>3633</v>
      </c>
      <c r="I3185" s="41" t="s">
        <v>8092</v>
      </c>
      <c r="M3185" s="41" t="e">
        <f>VLOOKUP(I3185,错误mRNA总表!D:I,6,FALSE)</f>
        <v>#N/A</v>
      </c>
    </row>
    <row r="3186" spans="1:13" x14ac:dyDescent="0.2">
      <c r="A3186" s="12" t="s">
        <v>5511</v>
      </c>
      <c r="B3186" s="12" t="s">
        <v>4023</v>
      </c>
      <c r="C3186" s="12">
        <v>762280</v>
      </c>
      <c r="D3186" s="12">
        <v>764501</v>
      </c>
      <c r="E3186" s="12" t="s">
        <v>3943</v>
      </c>
      <c r="F3186" s="12">
        <v>1</v>
      </c>
      <c r="H3186" s="12" t="s">
        <v>3633</v>
      </c>
      <c r="I3186" s="41" t="s">
        <v>8092</v>
      </c>
      <c r="M3186" s="41" t="e">
        <f>VLOOKUP(I3186,错误mRNA总表!D:I,6,FALSE)</f>
        <v>#N/A</v>
      </c>
    </row>
    <row r="3187" spans="1:13" x14ac:dyDescent="0.2">
      <c r="A3187" s="12" t="s">
        <v>5511</v>
      </c>
      <c r="B3187" s="12" t="s">
        <v>4023</v>
      </c>
      <c r="C3187" s="12">
        <v>762280</v>
      </c>
      <c r="D3187" s="12">
        <v>765228</v>
      </c>
      <c r="E3187" s="12" t="s">
        <v>3940</v>
      </c>
      <c r="F3187" s="12">
        <v>2</v>
      </c>
      <c r="H3187" s="12" t="s">
        <v>3633</v>
      </c>
      <c r="I3187" s="41" t="s">
        <v>8092</v>
      </c>
      <c r="M3187" s="41" t="e">
        <f>VLOOKUP(I3187,错误mRNA总表!D:I,6,FALSE)</f>
        <v>#N/A</v>
      </c>
    </row>
    <row r="3188" spans="1:13" x14ac:dyDescent="0.2">
      <c r="A3188" s="12" t="s">
        <v>5511</v>
      </c>
      <c r="B3188" s="12" t="s">
        <v>4023</v>
      </c>
      <c r="C3188" s="12">
        <v>762280</v>
      </c>
      <c r="D3188" s="12">
        <v>765290</v>
      </c>
      <c r="E3188" s="12" t="s">
        <v>3943</v>
      </c>
      <c r="F3188" s="12">
        <v>1</v>
      </c>
      <c r="H3188" s="12" t="s">
        <v>3633</v>
      </c>
      <c r="I3188" s="41" t="s">
        <v>8092</v>
      </c>
      <c r="M3188" s="41" t="e">
        <f>VLOOKUP(I3188,错误mRNA总表!D:I,6,FALSE)</f>
        <v>#N/A</v>
      </c>
    </row>
    <row r="3189" spans="1:13" x14ac:dyDescent="0.2">
      <c r="A3189" s="12" t="s">
        <v>5511</v>
      </c>
      <c r="B3189" s="12" t="s">
        <v>4023</v>
      </c>
      <c r="C3189" s="12">
        <v>762280</v>
      </c>
      <c r="D3189" s="12">
        <v>765526</v>
      </c>
      <c r="E3189" s="12" t="s">
        <v>3943</v>
      </c>
      <c r="F3189" s="12">
        <v>2</v>
      </c>
      <c r="H3189" s="12" t="s">
        <v>3633</v>
      </c>
      <c r="I3189" s="41" t="s">
        <v>8092</v>
      </c>
      <c r="M3189" s="41" t="e">
        <f>VLOOKUP(I3189,错误mRNA总表!D:I,6,FALSE)</f>
        <v>#N/A</v>
      </c>
    </row>
    <row r="3190" spans="1:13" x14ac:dyDescent="0.2">
      <c r="A3190" s="12" t="s">
        <v>5511</v>
      </c>
      <c r="B3190" s="12" t="s">
        <v>4023</v>
      </c>
      <c r="C3190" s="12">
        <v>762280</v>
      </c>
      <c r="D3190" s="12">
        <v>766121</v>
      </c>
      <c r="E3190" s="12" t="s">
        <v>3943</v>
      </c>
      <c r="F3190" s="12">
        <v>1</v>
      </c>
      <c r="H3190" s="12" t="s">
        <v>3633</v>
      </c>
      <c r="I3190" s="41" t="s">
        <v>8092</v>
      </c>
      <c r="M3190" s="41" t="e">
        <f>VLOOKUP(I3190,错误mRNA总表!D:I,6,FALSE)</f>
        <v>#N/A</v>
      </c>
    </row>
    <row r="3191" spans="1:13" x14ac:dyDescent="0.2">
      <c r="A3191" s="12" t="s">
        <v>5511</v>
      </c>
      <c r="B3191" s="12" t="s">
        <v>4023</v>
      </c>
      <c r="C3191" s="12">
        <v>762280</v>
      </c>
      <c r="D3191" s="12">
        <v>766198</v>
      </c>
      <c r="E3191" s="12" t="s">
        <v>3943</v>
      </c>
      <c r="F3191" s="12">
        <v>1</v>
      </c>
      <c r="H3191" s="12" t="s">
        <v>3633</v>
      </c>
      <c r="I3191" s="41" t="s">
        <v>8092</v>
      </c>
      <c r="M3191" s="41" t="e">
        <f>VLOOKUP(I3191,错误mRNA总表!D:I,6,FALSE)</f>
        <v>#N/A</v>
      </c>
    </row>
    <row r="3192" spans="1:13" x14ac:dyDescent="0.2">
      <c r="A3192" s="12" t="s">
        <v>4924</v>
      </c>
      <c r="B3192" s="12" t="s">
        <v>3996</v>
      </c>
      <c r="C3192" s="12">
        <v>2463409</v>
      </c>
      <c r="D3192" s="12">
        <v>2466265</v>
      </c>
      <c r="E3192" s="12" t="s">
        <v>3940</v>
      </c>
      <c r="F3192" s="12">
        <v>90</v>
      </c>
      <c r="H3192" s="12" t="s">
        <v>6078</v>
      </c>
      <c r="I3192" s="41" t="s">
        <v>8093</v>
      </c>
      <c r="M3192" s="41" t="e">
        <f>VLOOKUP(I3192,错误mRNA总表!D:I,6,FALSE)</f>
        <v>#N/A</v>
      </c>
    </row>
    <row r="3193" spans="1:13" x14ac:dyDescent="0.2">
      <c r="A3193" s="12" t="s">
        <v>5512</v>
      </c>
      <c r="B3193" s="12" t="s">
        <v>5278</v>
      </c>
      <c r="C3193" s="12">
        <v>3989</v>
      </c>
      <c r="D3193" s="12">
        <v>4074</v>
      </c>
      <c r="E3193" s="12" t="s">
        <v>3940</v>
      </c>
      <c r="F3193" s="12">
        <v>1</v>
      </c>
      <c r="H3193" s="12" t="s">
        <v>6271</v>
      </c>
      <c r="I3193" s="41" t="s">
        <v>8094</v>
      </c>
      <c r="M3193" s="41" t="e">
        <f>VLOOKUP(I3193,错误mRNA总表!D:I,6,FALSE)</f>
        <v>#N/A</v>
      </c>
    </row>
    <row r="3194" spans="1:13" x14ac:dyDescent="0.2">
      <c r="A3194" s="12" t="s">
        <v>5512</v>
      </c>
      <c r="B3194" s="12" t="s">
        <v>5278</v>
      </c>
      <c r="C3194" s="12">
        <v>3989</v>
      </c>
      <c r="D3194" s="12">
        <v>5458</v>
      </c>
      <c r="E3194" s="12" t="s">
        <v>3940</v>
      </c>
      <c r="F3194" s="12">
        <v>178</v>
      </c>
      <c r="H3194" s="12" t="s">
        <v>6271</v>
      </c>
      <c r="I3194" s="41" t="s">
        <v>8094</v>
      </c>
      <c r="M3194" s="41" t="e">
        <f>VLOOKUP(I3194,错误mRNA总表!D:I,6,FALSE)</f>
        <v>#N/A</v>
      </c>
    </row>
    <row r="3195" spans="1:13" x14ac:dyDescent="0.2">
      <c r="A3195" s="12" t="s">
        <v>5512</v>
      </c>
      <c r="B3195" s="12" t="s">
        <v>5278</v>
      </c>
      <c r="C3195" s="12">
        <v>3989</v>
      </c>
      <c r="D3195" s="12">
        <v>5349</v>
      </c>
      <c r="E3195" s="12" t="s">
        <v>3940</v>
      </c>
      <c r="F3195" s="12">
        <v>1</v>
      </c>
      <c r="H3195" s="12" t="s">
        <v>6271</v>
      </c>
      <c r="I3195" s="41" t="s">
        <v>8094</v>
      </c>
      <c r="M3195" s="41" t="e">
        <f>VLOOKUP(I3195,错误mRNA总表!D:I,6,FALSE)</f>
        <v>#N/A</v>
      </c>
    </row>
    <row r="3196" spans="1:13" x14ac:dyDescent="0.2">
      <c r="A3196" s="12" t="s">
        <v>5512</v>
      </c>
      <c r="B3196" s="12" t="s">
        <v>5278</v>
      </c>
      <c r="C3196" s="12">
        <v>3989</v>
      </c>
      <c r="D3196" s="12">
        <v>5401</v>
      </c>
      <c r="E3196" s="12" t="s">
        <v>3943</v>
      </c>
      <c r="F3196" s="12">
        <v>2</v>
      </c>
      <c r="H3196" s="12" t="s">
        <v>6271</v>
      </c>
      <c r="I3196" s="41" t="s">
        <v>8094</v>
      </c>
      <c r="M3196" s="41" t="e">
        <f>VLOOKUP(I3196,错误mRNA总表!D:I,6,FALSE)</f>
        <v>#N/A</v>
      </c>
    </row>
    <row r="3197" spans="1:13" x14ac:dyDescent="0.2">
      <c r="A3197" s="12" t="s">
        <v>5512</v>
      </c>
      <c r="B3197" s="12" t="s">
        <v>5278</v>
      </c>
      <c r="C3197" s="12">
        <v>3989</v>
      </c>
      <c r="D3197" s="12">
        <v>7964</v>
      </c>
      <c r="E3197" s="12" t="s">
        <v>3940</v>
      </c>
      <c r="F3197" s="12">
        <v>34</v>
      </c>
      <c r="H3197" s="12" t="s">
        <v>6271</v>
      </c>
      <c r="I3197" s="41" t="s">
        <v>8094</v>
      </c>
      <c r="M3197" s="41" t="e">
        <f>VLOOKUP(I3197,错误mRNA总表!D:I,6,FALSE)</f>
        <v>#N/A</v>
      </c>
    </row>
    <row r="3198" spans="1:13" x14ac:dyDescent="0.2">
      <c r="A3198" s="12" t="s">
        <v>5512</v>
      </c>
      <c r="B3198" s="12" t="s">
        <v>5278</v>
      </c>
      <c r="C3198" s="12">
        <v>3989</v>
      </c>
      <c r="D3198" s="12">
        <v>13198</v>
      </c>
      <c r="E3198" s="12" t="s">
        <v>3940</v>
      </c>
      <c r="F3198" s="12">
        <v>24</v>
      </c>
      <c r="H3198" s="12" t="s">
        <v>6271</v>
      </c>
      <c r="I3198" s="41" t="s">
        <v>8094</v>
      </c>
      <c r="M3198" s="41" t="e">
        <f>VLOOKUP(I3198,错误mRNA总表!D:I,6,FALSE)</f>
        <v>#N/A</v>
      </c>
    </row>
    <row r="3199" spans="1:13" x14ac:dyDescent="0.2">
      <c r="A3199" s="12" t="s">
        <v>5512</v>
      </c>
      <c r="B3199" s="12" t="s">
        <v>5278</v>
      </c>
      <c r="C3199" s="12">
        <v>3989</v>
      </c>
      <c r="D3199" s="12">
        <v>13168</v>
      </c>
      <c r="E3199" s="12" t="s">
        <v>3943</v>
      </c>
      <c r="F3199" s="12">
        <v>1</v>
      </c>
      <c r="H3199" s="12" t="s">
        <v>6271</v>
      </c>
      <c r="I3199" s="41" t="s">
        <v>8094</v>
      </c>
      <c r="M3199" s="41" t="e">
        <f>VLOOKUP(I3199,错误mRNA总表!D:I,6,FALSE)</f>
        <v>#N/A</v>
      </c>
    </row>
    <row r="3200" spans="1:13" x14ac:dyDescent="0.2">
      <c r="A3200" s="12" t="s">
        <v>5512</v>
      </c>
      <c r="B3200" s="12" t="s">
        <v>5278</v>
      </c>
      <c r="C3200" s="12">
        <v>3989</v>
      </c>
      <c r="D3200" s="12">
        <v>13175</v>
      </c>
      <c r="E3200" s="12" t="s">
        <v>3940</v>
      </c>
      <c r="F3200" s="12">
        <v>1</v>
      </c>
      <c r="H3200" s="12" t="s">
        <v>6271</v>
      </c>
      <c r="I3200" s="41" t="s">
        <v>8094</v>
      </c>
      <c r="M3200" s="41" t="e">
        <f>VLOOKUP(I3200,错误mRNA总表!D:I,6,FALSE)</f>
        <v>#N/A</v>
      </c>
    </row>
    <row r="3201" spans="1:13" x14ac:dyDescent="0.2">
      <c r="A3201" s="12" t="s">
        <v>5512</v>
      </c>
      <c r="B3201" s="12" t="s">
        <v>5278</v>
      </c>
      <c r="C3201" s="12">
        <v>3989</v>
      </c>
      <c r="D3201" s="12">
        <v>13184</v>
      </c>
      <c r="E3201" s="12" t="s">
        <v>3943</v>
      </c>
      <c r="F3201" s="12">
        <v>2</v>
      </c>
      <c r="H3201" s="12" t="s">
        <v>6271</v>
      </c>
      <c r="I3201" s="41" t="s">
        <v>8094</v>
      </c>
      <c r="M3201" s="41" t="e">
        <f>VLOOKUP(I3201,错误mRNA总表!D:I,6,FALSE)</f>
        <v>#N/A</v>
      </c>
    </row>
    <row r="3202" spans="1:13" x14ac:dyDescent="0.2">
      <c r="A3202" s="12" t="s">
        <v>5513</v>
      </c>
      <c r="B3202" s="12" t="s">
        <v>3986</v>
      </c>
      <c r="C3202" s="12">
        <v>4472255</v>
      </c>
      <c r="D3202" s="12">
        <v>4499664</v>
      </c>
      <c r="E3202" s="12" t="s">
        <v>3943</v>
      </c>
      <c r="F3202" s="12">
        <v>15</v>
      </c>
      <c r="G3202" s="41" t="s">
        <v>50</v>
      </c>
      <c r="H3202" s="12" t="s">
        <v>1228</v>
      </c>
      <c r="I3202" s="41" t="s">
        <v>2284</v>
      </c>
      <c r="J3202" s="41" t="s">
        <v>2284</v>
      </c>
      <c r="K3202" s="41" t="str">
        <f>VLOOKUP(J3202,错误mRNA总表!D:J,7,FALSE)</f>
        <v>纠后正确，少了5个氨基酸chr19:4499665-4502022</v>
      </c>
      <c r="L3202" s="41" t="s">
        <v>8365</v>
      </c>
      <c r="M3202" s="41">
        <f>VLOOKUP(I3202,错误mRNA总表!D:I,6,FALSE)</f>
        <v>0</v>
      </c>
    </row>
    <row r="3203" spans="1:13" x14ac:dyDescent="0.2">
      <c r="A3203" s="12" t="s">
        <v>5514</v>
      </c>
      <c r="B3203" s="12" t="s">
        <v>3978</v>
      </c>
      <c r="C3203" s="12">
        <v>14444076</v>
      </c>
      <c r="D3203" s="12">
        <v>14444243</v>
      </c>
      <c r="E3203" s="12" t="s">
        <v>3943</v>
      </c>
      <c r="F3203" s="12">
        <v>1</v>
      </c>
      <c r="G3203" s="41" t="s">
        <v>86</v>
      </c>
      <c r="H3203" s="12" t="s">
        <v>6419</v>
      </c>
      <c r="I3203" s="41" t="s">
        <v>7367</v>
      </c>
      <c r="M3203" s="41" t="e">
        <f>VLOOKUP(I3203,错误mRNA总表!D:I,6,FALSE)</f>
        <v>#N/A</v>
      </c>
    </row>
    <row r="3204" spans="1:13" x14ac:dyDescent="0.2">
      <c r="A3204" s="12" t="s">
        <v>5514</v>
      </c>
      <c r="B3204" s="12" t="s">
        <v>3978</v>
      </c>
      <c r="C3204" s="12">
        <v>14444076</v>
      </c>
      <c r="D3204" s="12">
        <v>14444249</v>
      </c>
      <c r="E3204" s="12" t="s">
        <v>3943</v>
      </c>
      <c r="F3204" s="12">
        <v>1</v>
      </c>
      <c r="G3204" s="41" t="s">
        <v>86</v>
      </c>
      <c r="H3204" s="12" t="s">
        <v>6419</v>
      </c>
      <c r="I3204" s="41" t="s">
        <v>7367</v>
      </c>
      <c r="M3204" s="41" t="e">
        <f>VLOOKUP(I3204,错误mRNA总表!D:I,6,FALSE)</f>
        <v>#N/A</v>
      </c>
    </row>
    <row r="3205" spans="1:13" x14ac:dyDescent="0.2">
      <c r="A3205" s="12" t="s">
        <v>5514</v>
      </c>
      <c r="B3205" s="12" t="s">
        <v>3978</v>
      </c>
      <c r="C3205" s="12">
        <v>14444076</v>
      </c>
      <c r="D3205" s="12">
        <v>14444277</v>
      </c>
      <c r="E3205" s="12" t="s">
        <v>3943</v>
      </c>
      <c r="F3205" s="12">
        <v>1</v>
      </c>
      <c r="G3205" s="41" t="s">
        <v>86</v>
      </c>
      <c r="H3205" s="12" t="s">
        <v>6419</v>
      </c>
      <c r="I3205" s="41" t="s">
        <v>7367</v>
      </c>
      <c r="M3205" s="41" t="e">
        <f>VLOOKUP(I3205,错误mRNA总表!D:I,6,FALSE)</f>
        <v>#N/A</v>
      </c>
    </row>
    <row r="3206" spans="1:13" x14ac:dyDescent="0.2">
      <c r="A3206" s="12" t="s">
        <v>5514</v>
      </c>
      <c r="B3206" s="12" t="s">
        <v>3978</v>
      </c>
      <c r="C3206" s="12">
        <v>14444076</v>
      </c>
      <c r="D3206" s="12">
        <v>14444286</v>
      </c>
      <c r="E3206" s="12" t="s">
        <v>3943</v>
      </c>
      <c r="F3206" s="12">
        <v>1</v>
      </c>
      <c r="G3206" s="41" t="s">
        <v>86</v>
      </c>
      <c r="H3206" s="12" t="s">
        <v>6419</v>
      </c>
      <c r="I3206" s="41" t="s">
        <v>7367</v>
      </c>
      <c r="M3206" s="41" t="e">
        <f>VLOOKUP(I3206,错误mRNA总表!D:I,6,FALSE)</f>
        <v>#N/A</v>
      </c>
    </row>
    <row r="3207" spans="1:13" x14ac:dyDescent="0.2">
      <c r="A3207" s="12" t="s">
        <v>5514</v>
      </c>
      <c r="B3207" s="12" t="s">
        <v>3978</v>
      </c>
      <c r="C3207" s="12">
        <v>14444076</v>
      </c>
      <c r="D3207" s="12">
        <v>14444308</v>
      </c>
      <c r="E3207" s="12" t="s">
        <v>3943</v>
      </c>
      <c r="F3207" s="12">
        <v>1</v>
      </c>
      <c r="G3207" s="41" t="s">
        <v>86</v>
      </c>
      <c r="H3207" s="12" t="s">
        <v>6419</v>
      </c>
      <c r="I3207" s="41" t="s">
        <v>7367</v>
      </c>
      <c r="M3207" s="41" t="e">
        <f>VLOOKUP(I3207,错误mRNA总表!D:I,6,FALSE)</f>
        <v>#N/A</v>
      </c>
    </row>
    <row r="3208" spans="1:13" x14ac:dyDescent="0.2">
      <c r="A3208" s="12" t="s">
        <v>5514</v>
      </c>
      <c r="B3208" s="12" t="s">
        <v>3978</v>
      </c>
      <c r="C3208" s="12">
        <v>14444076</v>
      </c>
      <c r="D3208" s="12">
        <v>14444318</v>
      </c>
      <c r="E3208" s="12" t="s">
        <v>3943</v>
      </c>
      <c r="F3208" s="12">
        <v>1</v>
      </c>
      <c r="G3208" s="41" t="s">
        <v>86</v>
      </c>
      <c r="H3208" s="12" t="s">
        <v>6419</v>
      </c>
      <c r="I3208" s="41" t="s">
        <v>7367</v>
      </c>
      <c r="M3208" s="41" t="e">
        <f>VLOOKUP(I3208,错误mRNA总表!D:I,6,FALSE)</f>
        <v>#N/A</v>
      </c>
    </row>
    <row r="3209" spans="1:13" x14ac:dyDescent="0.2">
      <c r="A3209" s="12" t="s">
        <v>5514</v>
      </c>
      <c r="B3209" s="12" t="s">
        <v>3978</v>
      </c>
      <c r="C3209" s="12">
        <v>14444076</v>
      </c>
      <c r="D3209" s="12">
        <v>14444326</v>
      </c>
      <c r="E3209" s="12" t="s">
        <v>3943</v>
      </c>
      <c r="F3209" s="12">
        <v>1</v>
      </c>
      <c r="G3209" s="41" t="s">
        <v>86</v>
      </c>
      <c r="H3209" s="12" t="s">
        <v>6419</v>
      </c>
      <c r="I3209" s="41" t="s">
        <v>7367</v>
      </c>
      <c r="M3209" s="41" t="e">
        <f>VLOOKUP(I3209,错误mRNA总表!D:I,6,FALSE)</f>
        <v>#N/A</v>
      </c>
    </row>
    <row r="3210" spans="1:13" x14ac:dyDescent="0.2">
      <c r="A3210" s="12" t="s">
        <v>5514</v>
      </c>
      <c r="B3210" s="12" t="s">
        <v>3978</v>
      </c>
      <c r="C3210" s="12">
        <v>14444076</v>
      </c>
      <c r="D3210" s="12">
        <v>14444329</v>
      </c>
      <c r="E3210" s="12" t="s">
        <v>3943</v>
      </c>
      <c r="F3210" s="12">
        <v>1</v>
      </c>
      <c r="G3210" s="41" t="s">
        <v>86</v>
      </c>
      <c r="H3210" s="12" t="s">
        <v>6419</v>
      </c>
      <c r="I3210" s="41" t="s">
        <v>7367</v>
      </c>
      <c r="M3210" s="41" t="e">
        <f>VLOOKUP(I3210,错误mRNA总表!D:I,6,FALSE)</f>
        <v>#N/A</v>
      </c>
    </row>
    <row r="3211" spans="1:13" x14ac:dyDescent="0.2">
      <c r="A3211" s="12" t="s">
        <v>5515</v>
      </c>
      <c r="B3211" s="12" t="s">
        <v>3973</v>
      </c>
      <c r="C3211" s="12">
        <v>145438438</v>
      </c>
      <c r="D3211" s="12">
        <v>145441841</v>
      </c>
      <c r="E3211" s="12" t="s">
        <v>3943</v>
      </c>
      <c r="F3211" s="12">
        <v>1</v>
      </c>
      <c r="G3211" s="41" t="s">
        <v>139</v>
      </c>
      <c r="H3211" s="12" t="s">
        <v>3494</v>
      </c>
      <c r="I3211" s="41" t="s">
        <v>8095</v>
      </c>
      <c r="M3211" s="41" t="e">
        <f>VLOOKUP(I3211,错误mRNA总表!D:I,6,FALSE)</f>
        <v>#N/A</v>
      </c>
    </row>
    <row r="3212" spans="1:13" x14ac:dyDescent="0.2">
      <c r="A3212" s="12" t="s">
        <v>5516</v>
      </c>
      <c r="B3212" s="12" t="s">
        <v>4030</v>
      </c>
      <c r="C3212" s="12">
        <v>21945335</v>
      </c>
      <c r="D3212" s="12">
        <v>21965671</v>
      </c>
      <c r="E3212" s="12" t="s">
        <v>3940</v>
      </c>
      <c r="F3212" s="12">
        <v>14</v>
      </c>
      <c r="G3212" s="41" t="s">
        <v>81</v>
      </c>
      <c r="H3212" s="12" t="s">
        <v>6272</v>
      </c>
      <c r="I3212" s="41" t="s">
        <v>8096</v>
      </c>
      <c r="M3212" s="41" t="e">
        <f>VLOOKUP(I3212,错误mRNA总表!D:I,6,FALSE)</f>
        <v>#N/A</v>
      </c>
    </row>
    <row r="3213" spans="1:13" x14ac:dyDescent="0.2">
      <c r="A3213" s="12" t="s">
        <v>5517</v>
      </c>
      <c r="B3213" s="12" t="s">
        <v>4841</v>
      </c>
      <c r="C3213" s="12">
        <v>161862</v>
      </c>
      <c r="D3213" s="12">
        <v>309075</v>
      </c>
      <c r="E3213" s="12" t="s">
        <v>3943</v>
      </c>
      <c r="F3213" s="12">
        <v>1</v>
      </c>
      <c r="H3213" s="12" t="s">
        <v>3668</v>
      </c>
      <c r="I3213" s="41" t="s">
        <v>8097</v>
      </c>
      <c r="M3213" s="41" t="e">
        <f>VLOOKUP(I3213,错误mRNA总表!D:I,6,FALSE)</f>
        <v>#N/A</v>
      </c>
    </row>
    <row r="3214" spans="1:13" x14ac:dyDescent="0.2">
      <c r="A3214" s="12" t="s">
        <v>5517</v>
      </c>
      <c r="B3214" s="12" t="s">
        <v>4841</v>
      </c>
      <c r="C3214" s="12">
        <v>161862</v>
      </c>
      <c r="D3214" s="12">
        <v>309110</v>
      </c>
      <c r="E3214" s="12" t="s">
        <v>3943</v>
      </c>
      <c r="F3214" s="12">
        <v>1</v>
      </c>
      <c r="H3214" s="12" t="s">
        <v>3668</v>
      </c>
      <c r="I3214" s="41" t="s">
        <v>8097</v>
      </c>
      <c r="M3214" s="41" t="e">
        <f>VLOOKUP(I3214,错误mRNA总表!D:I,6,FALSE)</f>
        <v>#N/A</v>
      </c>
    </row>
    <row r="3215" spans="1:13" x14ac:dyDescent="0.2">
      <c r="A3215" s="12" t="s">
        <v>5517</v>
      </c>
      <c r="B3215" s="12" t="s">
        <v>4841</v>
      </c>
      <c r="C3215" s="12">
        <v>161862</v>
      </c>
      <c r="D3215" s="12">
        <v>309118</v>
      </c>
      <c r="E3215" s="12" t="s">
        <v>3943</v>
      </c>
      <c r="F3215" s="12">
        <v>1</v>
      </c>
      <c r="H3215" s="12" t="s">
        <v>3668</v>
      </c>
      <c r="I3215" s="41" t="s">
        <v>8097</v>
      </c>
      <c r="M3215" s="41" t="e">
        <f>VLOOKUP(I3215,错误mRNA总表!D:I,6,FALSE)</f>
        <v>#N/A</v>
      </c>
    </row>
    <row r="3216" spans="1:13" x14ac:dyDescent="0.2">
      <c r="A3216" s="12" t="s">
        <v>5517</v>
      </c>
      <c r="B3216" s="12" t="s">
        <v>4841</v>
      </c>
      <c r="C3216" s="12">
        <v>161862</v>
      </c>
      <c r="D3216" s="12">
        <v>309138</v>
      </c>
      <c r="E3216" s="12" t="s">
        <v>3943</v>
      </c>
      <c r="F3216" s="12">
        <v>1</v>
      </c>
      <c r="H3216" s="12" t="s">
        <v>3668</v>
      </c>
      <c r="I3216" s="41" t="s">
        <v>8097</v>
      </c>
      <c r="M3216" s="41" t="e">
        <f>VLOOKUP(I3216,错误mRNA总表!D:I,6,FALSE)</f>
        <v>#N/A</v>
      </c>
    </row>
    <row r="3217" spans="1:13" x14ac:dyDescent="0.2">
      <c r="A3217" s="12" t="s">
        <v>5517</v>
      </c>
      <c r="B3217" s="12" t="s">
        <v>4841</v>
      </c>
      <c r="C3217" s="12">
        <v>161862</v>
      </c>
      <c r="D3217" s="12">
        <v>309819</v>
      </c>
      <c r="E3217" s="12" t="s">
        <v>3940</v>
      </c>
      <c r="F3217" s="12">
        <v>1</v>
      </c>
      <c r="H3217" s="12" t="s">
        <v>3668</v>
      </c>
      <c r="I3217" s="41" t="s">
        <v>8097</v>
      </c>
      <c r="M3217" s="41" t="e">
        <f>VLOOKUP(I3217,错误mRNA总表!D:I,6,FALSE)</f>
        <v>#N/A</v>
      </c>
    </row>
    <row r="3218" spans="1:13" x14ac:dyDescent="0.2">
      <c r="A3218" s="12" t="s">
        <v>5518</v>
      </c>
      <c r="B3218" s="12" t="s">
        <v>4468</v>
      </c>
      <c r="C3218" s="12">
        <v>129906</v>
      </c>
      <c r="D3218" s="12">
        <v>191105</v>
      </c>
      <c r="E3218" s="12" t="s">
        <v>3943</v>
      </c>
      <c r="F3218" s="12">
        <v>1</v>
      </c>
      <c r="H3218" s="12" t="s">
        <v>3616</v>
      </c>
      <c r="I3218" s="41" t="s">
        <v>8098</v>
      </c>
      <c r="M3218" s="41" t="e">
        <f>VLOOKUP(I3218,错误mRNA总表!D:I,6,FALSE)</f>
        <v>#N/A</v>
      </c>
    </row>
    <row r="3219" spans="1:13" x14ac:dyDescent="0.2">
      <c r="A3219" s="12" t="s">
        <v>4453</v>
      </c>
      <c r="B3219" s="12" t="s">
        <v>3969</v>
      </c>
      <c r="C3219" s="12">
        <v>2423431</v>
      </c>
      <c r="D3219" s="12">
        <v>2428734</v>
      </c>
      <c r="E3219" s="12" t="s">
        <v>3943</v>
      </c>
      <c r="F3219" s="12">
        <v>1</v>
      </c>
      <c r="H3219" s="12" t="s">
        <v>3554</v>
      </c>
      <c r="I3219" s="41" t="s">
        <v>8099</v>
      </c>
      <c r="M3219" s="41" t="e">
        <f>VLOOKUP(I3219,错误mRNA总表!D:I,6,FALSE)</f>
        <v>#N/A</v>
      </c>
    </row>
    <row r="3220" spans="1:13" x14ac:dyDescent="0.2">
      <c r="A3220" s="12" t="s">
        <v>4566</v>
      </c>
      <c r="B3220" s="12" t="s">
        <v>4061</v>
      </c>
      <c r="C3220" s="12">
        <v>165620</v>
      </c>
      <c r="D3220" s="12">
        <v>168708</v>
      </c>
      <c r="E3220" s="12" t="s">
        <v>3940</v>
      </c>
      <c r="F3220" s="12">
        <v>3</v>
      </c>
      <c r="H3220" s="12" t="s">
        <v>3651</v>
      </c>
      <c r="I3220" s="41" t="s">
        <v>8100</v>
      </c>
      <c r="M3220" s="41" t="e">
        <f>VLOOKUP(I3220,错误mRNA总表!D:I,6,FALSE)</f>
        <v>#N/A</v>
      </c>
    </row>
    <row r="3221" spans="1:13" x14ac:dyDescent="0.2">
      <c r="A3221" s="12" t="s">
        <v>5519</v>
      </c>
      <c r="B3221" s="12" t="s">
        <v>4124</v>
      </c>
      <c r="C3221" s="12">
        <v>96778623</v>
      </c>
      <c r="D3221" s="12">
        <v>96780986</v>
      </c>
      <c r="E3221" s="12" t="s">
        <v>3940</v>
      </c>
      <c r="F3221" s="12">
        <v>9</v>
      </c>
      <c r="G3221" s="41" t="s">
        <v>1</v>
      </c>
      <c r="H3221" s="12" t="s">
        <v>432</v>
      </c>
      <c r="I3221" s="41" t="s">
        <v>2231</v>
      </c>
      <c r="J3221" s="41" t="s">
        <v>2231</v>
      </c>
      <c r="K3221" s="41" t="str">
        <f>VLOOKUP(J3221,错误mRNA总表!D:J,7,FALSE)</f>
        <v>纠后正确，加了3个氨基酸</v>
      </c>
      <c r="L3221" s="41" t="s">
        <v>3912</v>
      </c>
      <c r="M3221" s="41">
        <f>VLOOKUP(I3221,错误mRNA总表!D:I,6,FALSE)</f>
        <v>0</v>
      </c>
    </row>
    <row r="3222" spans="1:13" x14ac:dyDescent="0.2">
      <c r="A3222" s="12" t="s">
        <v>4393</v>
      </c>
      <c r="B3222" s="12" t="s">
        <v>4098</v>
      </c>
      <c r="C3222" s="12">
        <v>134946</v>
      </c>
      <c r="D3222" s="12">
        <v>147927</v>
      </c>
      <c r="E3222" s="12" t="s">
        <v>3940</v>
      </c>
      <c r="F3222" s="12">
        <v>1</v>
      </c>
      <c r="H3222" s="12" t="s">
        <v>3648</v>
      </c>
      <c r="I3222" s="41" t="s">
        <v>6693</v>
      </c>
      <c r="M3222" s="41" t="e">
        <f>VLOOKUP(I3222,错误mRNA总表!D:I,6,FALSE)</f>
        <v>#N/A</v>
      </c>
    </row>
    <row r="3223" spans="1:13" x14ac:dyDescent="0.2">
      <c r="A3223" s="12" t="s">
        <v>4393</v>
      </c>
      <c r="B3223" s="12" t="s">
        <v>4098</v>
      </c>
      <c r="C3223" s="12">
        <v>134946</v>
      </c>
      <c r="D3223" s="12">
        <v>135009</v>
      </c>
      <c r="E3223" s="12" t="s">
        <v>3940</v>
      </c>
      <c r="F3223" s="12">
        <v>1</v>
      </c>
      <c r="H3223" s="12" t="s">
        <v>3648</v>
      </c>
      <c r="I3223" s="41" t="s">
        <v>6693</v>
      </c>
      <c r="M3223" s="41" t="e">
        <f>VLOOKUP(I3223,错误mRNA总表!D:I,6,FALSE)</f>
        <v>#N/A</v>
      </c>
    </row>
    <row r="3224" spans="1:13" x14ac:dyDescent="0.2">
      <c r="A3224" s="12" t="s">
        <v>4563</v>
      </c>
      <c r="B3224" s="12" t="s">
        <v>4382</v>
      </c>
      <c r="C3224" s="12">
        <v>89352</v>
      </c>
      <c r="D3224" s="12">
        <v>90830</v>
      </c>
      <c r="E3224" s="12" t="s">
        <v>3940</v>
      </c>
      <c r="F3224" s="12">
        <v>1</v>
      </c>
      <c r="H3224" s="12" t="s">
        <v>5942</v>
      </c>
      <c r="I3224" s="41" t="s">
        <v>8101</v>
      </c>
      <c r="M3224" s="41" t="e">
        <f>VLOOKUP(I3224,错误mRNA总表!D:I,6,FALSE)</f>
        <v>#N/A</v>
      </c>
    </row>
    <row r="3225" spans="1:13" x14ac:dyDescent="0.2">
      <c r="A3225" s="12" t="s">
        <v>5520</v>
      </c>
      <c r="B3225" s="12" t="s">
        <v>3999</v>
      </c>
      <c r="C3225" s="12">
        <v>489200</v>
      </c>
      <c r="D3225" s="12">
        <v>498976</v>
      </c>
      <c r="E3225" s="12" t="s">
        <v>3940</v>
      </c>
      <c r="F3225" s="12">
        <v>22</v>
      </c>
      <c r="H3225" s="12" t="s">
        <v>6273</v>
      </c>
      <c r="I3225" s="41" t="s">
        <v>8102</v>
      </c>
      <c r="M3225" s="41" t="e">
        <f>VLOOKUP(I3225,错误mRNA总表!D:I,6,FALSE)</f>
        <v>#N/A</v>
      </c>
    </row>
    <row r="3226" spans="1:13" x14ac:dyDescent="0.2">
      <c r="A3226" s="12" t="s">
        <v>5520</v>
      </c>
      <c r="B3226" s="12" t="s">
        <v>3999</v>
      </c>
      <c r="C3226" s="12">
        <v>489200</v>
      </c>
      <c r="D3226" s="12">
        <v>498988</v>
      </c>
      <c r="E3226" s="12" t="s">
        <v>3940</v>
      </c>
      <c r="F3226" s="12">
        <v>17</v>
      </c>
      <c r="H3226" s="12" t="s">
        <v>6273</v>
      </c>
      <c r="I3226" s="41" t="s">
        <v>8102</v>
      </c>
      <c r="M3226" s="41" t="e">
        <f>VLOOKUP(I3226,错误mRNA总表!D:I,6,FALSE)</f>
        <v>#N/A</v>
      </c>
    </row>
    <row r="3227" spans="1:13" x14ac:dyDescent="0.2">
      <c r="A3227" s="12" t="s">
        <v>5520</v>
      </c>
      <c r="B3227" s="12" t="s">
        <v>3999</v>
      </c>
      <c r="C3227" s="12">
        <v>489200</v>
      </c>
      <c r="D3227" s="12">
        <v>499165</v>
      </c>
      <c r="E3227" s="12" t="s">
        <v>3940</v>
      </c>
      <c r="F3227" s="12">
        <v>148</v>
      </c>
      <c r="H3227" s="12" t="s">
        <v>6273</v>
      </c>
      <c r="I3227" s="41" t="s">
        <v>8102</v>
      </c>
      <c r="M3227" s="41" t="e">
        <f>VLOOKUP(I3227,错误mRNA总表!D:I,6,FALSE)</f>
        <v>#N/A</v>
      </c>
    </row>
    <row r="3228" spans="1:13" x14ac:dyDescent="0.2">
      <c r="A3228" s="12" t="s">
        <v>5520</v>
      </c>
      <c r="B3228" s="12" t="s">
        <v>3999</v>
      </c>
      <c r="C3228" s="12">
        <v>489200</v>
      </c>
      <c r="D3228" s="12">
        <v>499153</v>
      </c>
      <c r="E3228" s="12" t="s">
        <v>3943</v>
      </c>
      <c r="F3228" s="12">
        <v>2</v>
      </c>
      <c r="H3228" s="12" t="s">
        <v>6273</v>
      </c>
      <c r="I3228" s="41" t="s">
        <v>8102</v>
      </c>
      <c r="M3228" s="41" t="e">
        <f>VLOOKUP(I3228,错误mRNA总表!D:I,6,FALSE)</f>
        <v>#N/A</v>
      </c>
    </row>
    <row r="3229" spans="1:13" x14ac:dyDescent="0.2">
      <c r="A3229" s="12" t="s">
        <v>5520</v>
      </c>
      <c r="B3229" s="12" t="s">
        <v>3999</v>
      </c>
      <c r="C3229" s="12">
        <v>489200</v>
      </c>
      <c r="D3229" s="12">
        <v>499352</v>
      </c>
      <c r="E3229" s="12" t="s">
        <v>3940</v>
      </c>
      <c r="F3229" s="12">
        <v>1</v>
      </c>
      <c r="H3229" s="12" t="s">
        <v>6273</v>
      </c>
      <c r="I3229" s="41" t="s">
        <v>8102</v>
      </c>
      <c r="M3229" s="41" t="e">
        <f>VLOOKUP(I3229,错误mRNA总表!D:I,6,FALSE)</f>
        <v>#N/A</v>
      </c>
    </row>
    <row r="3230" spans="1:13" x14ac:dyDescent="0.2">
      <c r="A3230" s="12" t="s">
        <v>5520</v>
      </c>
      <c r="B3230" s="12" t="s">
        <v>3999</v>
      </c>
      <c r="C3230" s="12">
        <v>489200</v>
      </c>
      <c r="D3230" s="12">
        <v>499365</v>
      </c>
      <c r="E3230" s="12" t="s">
        <v>3940</v>
      </c>
      <c r="F3230" s="12">
        <v>1</v>
      </c>
      <c r="H3230" s="12" t="s">
        <v>6273</v>
      </c>
      <c r="I3230" s="41" t="s">
        <v>8102</v>
      </c>
      <c r="M3230" s="41" t="e">
        <f>VLOOKUP(I3230,错误mRNA总表!D:I,6,FALSE)</f>
        <v>#N/A</v>
      </c>
    </row>
    <row r="3231" spans="1:13" x14ac:dyDescent="0.2">
      <c r="A3231" s="12" t="s">
        <v>5521</v>
      </c>
      <c r="B3231" s="12" t="s">
        <v>4042</v>
      </c>
      <c r="C3231" s="12">
        <v>22067874</v>
      </c>
      <c r="D3231" s="12">
        <v>22082652</v>
      </c>
      <c r="E3231" s="12" t="s">
        <v>3940</v>
      </c>
      <c r="F3231" s="12">
        <v>111</v>
      </c>
      <c r="G3231" s="41" t="s">
        <v>113</v>
      </c>
      <c r="H3231" s="12" t="s">
        <v>6274</v>
      </c>
      <c r="I3231" s="41" t="s">
        <v>8103</v>
      </c>
      <c r="M3231" s="41" t="e">
        <f>VLOOKUP(I3231,错误mRNA总表!D:I,6,FALSE)</f>
        <v>#N/A</v>
      </c>
    </row>
    <row r="3232" spans="1:13" x14ac:dyDescent="0.2">
      <c r="A3232" s="12" t="s">
        <v>5522</v>
      </c>
      <c r="B3232" s="12" t="s">
        <v>4069</v>
      </c>
      <c r="C3232" s="12">
        <v>43753988</v>
      </c>
      <c r="D3232" s="12">
        <v>43833704</v>
      </c>
      <c r="E3232" s="12" t="s">
        <v>3940</v>
      </c>
      <c r="F3232" s="12">
        <v>3</v>
      </c>
      <c r="G3232" s="41" t="s">
        <v>179</v>
      </c>
      <c r="H3232" s="12" t="s">
        <v>1213</v>
      </c>
      <c r="I3232" s="41" t="s">
        <v>2282</v>
      </c>
      <c r="J3232" s="41" t="s">
        <v>2282</v>
      </c>
      <c r="K3232" s="41" t="str">
        <f>VLOOKUP(J3232,错误mRNA总表!D:J,7,FALSE)</f>
        <v>纠后正确，且氨基酸加1个chr18：43833705-43843081</v>
      </c>
      <c r="L3232" s="41" t="s">
        <v>8366</v>
      </c>
      <c r="M3232" s="41">
        <f>VLOOKUP(I3232,错误mRNA总表!D:I,6,FALSE)</f>
        <v>0</v>
      </c>
    </row>
    <row r="3233" spans="1:13" x14ac:dyDescent="0.2">
      <c r="A3233" s="12" t="s">
        <v>4202</v>
      </c>
      <c r="B3233" s="12" t="s">
        <v>3986</v>
      </c>
      <c r="C3233" s="12">
        <v>54694119</v>
      </c>
      <c r="D3233" s="12">
        <v>54698196</v>
      </c>
      <c r="E3233" s="12" t="s">
        <v>3943</v>
      </c>
      <c r="F3233" s="12">
        <v>3</v>
      </c>
      <c r="G3233" s="41" t="s">
        <v>50</v>
      </c>
      <c r="H3233" s="12" t="s">
        <v>5827</v>
      </c>
      <c r="I3233" s="41" t="s">
        <v>8104</v>
      </c>
      <c r="M3233" s="41" t="e">
        <f>VLOOKUP(I3233,错误mRNA总表!D:I,6,FALSE)</f>
        <v>#N/A</v>
      </c>
    </row>
    <row r="3234" spans="1:13" x14ac:dyDescent="0.2">
      <c r="A3234" s="12" t="s">
        <v>5523</v>
      </c>
      <c r="B3234" s="12" t="s">
        <v>3939</v>
      </c>
      <c r="C3234" s="12">
        <v>153639854</v>
      </c>
      <c r="D3234" s="12">
        <v>153640060</v>
      </c>
      <c r="E3234" s="12" t="s">
        <v>3943</v>
      </c>
      <c r="F3234" s="12">
        <v>1</v>
      </c>
      <c r="G3234" s="41" t="s">
        <v>73</v>
      </c>
      <c r="H3234" s="12" t="s">
        <v>3689</v>
      </c>
      <c r="I3234" s="41" t="s">
        <v>8105</v>
      </c>
      <c r="M3234" s="41" t="e">
        <f>VLOOKUP(I3234,错误mRNA总表!D:I,6,FALSE)</f>
        <v>#N/A</v>
      </c>
    </row>
    <row r="3235" spans="1:13" x14ac:dyDescent="0.2">
      <c r="A3235" s="12" t="s">
        <v>4691</v>
      </c>
      <c r="B3235" s="12" t="s">
        <v>3969</v>
      </c>
      <c r="C3235" s="12">
        <v>928111</v>
      </c>
      <c r="D3235" s="12">
        <v>943463</v>
      </c>
      <c r="E3235" s="12" t="s">
        <v>3943</v>
      </c>
      <c r="F3235" s="12">
        <v>4</v>
      </c>
      <c r="H3235" s="12" t="s">
        <v>3529</v>
      </c>
      <c r="I3235" s="41" t="s">
        <v>8106</v>
      </c>
      <c r="M3235" s="41" t="e">
        <f>VLOOKUP(I3235,错误mRNA总表!D:I,6,FALSE)</f>
        <v>#N/A</v>
      </c>
    </row>
    <row r="3236" spans="1:13" x14ac:dyDescent="0.2">
      <c r="A3236" s="12" t="s">
        <v>5524</v>
      </c>
      <c r="B3236" s="12" t="s">
        <v>4052</v>
      </c>
      <c r="C3236" s="12">
        <v>51026321</v>
      </c>
      <c r="D3236" s="12">
        <v>51371103</v>
      </c>
      <c r="E3236" s="12" t="s">
        <v>3943</v>
      </c>
      <c r="F3236" s="12">
        <v>1</v>
      </c>
      <c r="G3236" s="41" t="s">
        <v>93</v>
      </c>
      <c r="H3236" s="12" t="s">
        <v>6275</v>
      </c>
      <c r="I3236" s="41" t="s">
        <v>8107</v>
      </c>
      <c r="M3236" s="41" t="e">
        <f>VLOOKUP(I3236,错误mRNA总表!D:I,6,FALSE)</f>
        <v>#N/A</v>
      </c>
    </row>
    <row r="3237" spans="1:13" x14ac:dyDescent="0.2">
      <c r="A3237" s="12" t="s">
        <v>5524</v>
      </c>
      <c r="B3237" s="12" t="s">
        <v>4052</v>
      </c>
      <c r="C3237" s="12">
        <v>51026321</v>
      </c>
      <c r="D3237" s="12">
        <v>51371122</v>
      </c>
      <c r="E3237" s="12" t="s">
        <v>3943</v>
      </c>
      <c r="F3237" s="12">
        <v>1</v>
      </c>
      <c r="G3237" s="41" t="s">
        <v>93</v>
      </c>
      <c r="H3237" s="12" t="s">
        <v>6275</v>
      </c>
      <c r="I3237" s="41" t="s">
        <v>8107</v>
      </c>
      <c r="M3237" s="41" t="e">
        <f>VLOOKUP(I3237,错误mRNA总表!D:I,6,FALSE)</f>
        <v>#N/A</v>
      </c>
    </row>
    <row r="3238" spans="1:13" x14ac:dyDescent="0.2">
      <c r="A3238" s="12" t="s">
        <v>5524</v>
      </c>
      <c r="B3238" s="12" t="s">
        <v>4052</v>
      </c>
      <c r="C3238" s="12">
        <v>51026321</v>
      </c>
      <c r="D3238" s="12">
        <v>51371131</v>
      </c>
      <c r="E3238" s="12" t="s">
        <v>3940</v>
      </c>
      <c r="F3238" s="12">
        <v>1</v>
      </c>
      <c r="G3238" s="41" t="s">
        <v>93</v>
      </c>
      <c r="H3238" s="12" t="s">
        <v>6275</v>
      </c>
      <c r="I3238" s="41" t="s">
        <v>8107</v>
      </c>
      <c r="M3238" s="41" t="e">
        <f>VLOOKUP(I3238,错误mRNA总表!D:I,6,FALSE)</f>
        <v>#N/A</v>
      </c>
    </row>
    <row r="3239" spans="1:13" x14ac:dyDescent="0.2">
      <c r="A3239" s="12" t="s">
        <v>4345</v>
      </c>
      <c r="B3239" s="12" t="s">
        <v>4098</v>
      </c>
      <c r="C3239" s="12">
        <v>225408</v>
      </c>
      <c r="D3239" s="12">
        <v>225977</v>
      </c>
      <c r="E3239" s="12" t="s">
        <v>3940</v>
      </c>
      <c r="F3239" s="12">
        <v>1</v>
      </c>
      <c r="H3239" s="12" t="s">
        <v>5876</v>
      </c>
      <c r="I3239" s="41" t="s">
        <v>8108</v>
      </c>
      <c r="M3239" s="41" t="e">
        <f>VLOOKUP(I3239,错误mRNA总表!D:I,6,FALSE)</f>
        <v>#N/A</v>
      </c>
    </row>
    <row r="3240" spans="1:13" x14ac:dyDescent="0.2">
      <c r="A3240" s="12" t="s">
        <v>5525</v>
      </c>
      <c r="B3240" s="12" t="s">
        <v>3948</v>
      </c>
      <c r="C3240" s="12">
        <v>36552549</v>
      </c>
      <c r="D3240" s="12">
        <v>36552729</v>
      </c>
      <c r="E3240" s="12" t="s">
        <v>3940</v>
      </c>
      <c r="F3240" s="12">
        <v>1</v>
      </c>
      <c r="G3240" s="41" t="s">
        <v>40</v>
      </c>
      <c r="H3240" s="12" t="s">
        <v>39</v>
      </c>
      <c r="I3240" s="41" t="s">
        <v>2076</v>
      </c>
      <c r="J3240" s="41" t="s">
        <v>2076</v>
      </c>
      <c r="K3240" s="41" t="str">
        <f>VLOOKUP(J3240,错误mRNA总表!D:J,7,FALSE)</f>
        <v>纠后正确</v>
      </c>
      <c r="L3240" s="41" t="s">
        <v>3763</v>
      </c>
      <c r="M3240" s="41">
        <f>VLOOKUP(I3240,错误mRNA总表!D:I,6,FALSE)</f>
        <v>0</v>
      </c>
    </row>
    <row r="3241" spans="1:13" x14ac:dyDescent="0.2">
      <c r="A3241" s="12" t="s">
        <v>5525</v>
      </c>
      <c r="B3241" s="12" t="s">
        <v>3948</v>
      </c>
      <c r="C3241" s="12">
        <v>36552549</v>
      </c>
      <c r="D3241" s="12">
        <v>36552790</v>
      </c>
      <c r="E3241" s="12" t="s">
        <v>3940</v>
      </c>
      <c r="F3241" s="12">
        <v>1</v>
      </c>
      <c r="G3241" s="41" t="s">
        <v>40</v>
      </c>
      <c r="H3241" s="12" t="s">
        <v>39</v>
      </c>
      <c r="I3241" s="41" t="s">
        <v>2076</v>
      </c>
      <c r="J3241" s="41" t="s">
        <v>2076</v>
      </c>
      <c r="K3241" s="41" t="str">
        <f>VLOOKUP(J3241,错误mRNA总表!D:J,7,FALSE)</f>
        <v>纠后正确</v>
      </c>
      <c r="L3241" s="41" t="s">
        <v>3763</v>
      </c>
      <c r="M3241" s="41">
        <f>VLOOKUP(I3241,错误mRNA总表!D:I,6,FALSE)</f>
        <v>0</v>
      </c>
    </row>
    <row r="3242" spans="1:13" x14ac:dyDescent="0.2">
      <c r="A3242" s="12" t="s">
        <v>5526</v>
      </c>
      <c r="B3242" s="12" t="s">
        <v>4107</v>
      </c>
      <c r="C3242" s="12">
        <v>2069296</v>
      </c>
      <c r="D3242" s="12">
        <v>2071792</v>
      </c>
      <c r="E3242" s="12" t="s">
        <v>3940</v>
      </c>
      <c r="F3242" s="12">
        <v>1</v>
      </c>
      <c r="H3242" s="12" t="s">
        <v>3694</v>
      </c>
      <c r="I3242" s="41" t="s">
        <v>8109</v>
      </c>
      <c r="M3242" s="41" t="e">
        <f>VLOOKUP(I3242,错误mRNA总表!D:I,6,FALSE)</f>
        <v>#N/A</v>
      </c>
    </row>
    <row r="3243" spans="1:13" x14ac:dyDescent="0.2">
      <c r="A3243" s="12" t="s">
        <v>4375</v>
      </c>
      <c r="B3243" s="12" t="s">
        <v>3969</v>
      </c>
      <c r="C3243" s="12">
        <v>4197729</v>
      </c>
      <c r="D3243" s="12">
        <v>4197878</v>
      </c>
      <c r="E3243" s="12" t="s">
        <v>3943</v>
      </c>
      <c r="F3243" s="12">
        <v>3</v>
      </c>
      <c r="H3243" s="12" t="s">
        <v>3584</v>
      </c>
      <c r="I3243" s="41" t="s">
        <v>8110</v>
      </c>
      <c r="M3243" s="41" t="e">
        <f>VLOOKUP(I3243,错误mRNA总表!D:I,6,FALSE)</f>
        <v>#N/A</v>
      </c>
    </row>
    <row r="3244" spans="1:13" x14ac:dyDescent="0.2">
      <c r="A3244" s="12" t="s">
        <v>5207</v>
      </c>
      <c r="B3244" s="12" t="s">
        <v>3984</v>
      </c>
      <c r="C3244" s="12">
        <v>3381593</v>
      </c>
      <c r="D3244" s="12">
        <v>3381690</v>
      </c>
      <c r="E3244" s="12" t="s">
        <v>3940</v>
      </c>
      <c r="F3244" s="12">
        <v>1</v>
      </c>
      <c r="H3244" s="12" t="s">
        <v>6168</v>
      </c>
      <c r="I3244" s="41" t="s">
        <v>8111</v>
      </c>
      <c r="M3244" s="41" t="e">
        <f>VLOOKUP(I3244,错误mRNA总表!D:I,6,FALSE)</f>
        <v>#N/A</v>
      </c>
    </row>
    <row r="3245" spans="1:13" x14ac:dyDescent="0.2">
      <c r="A3245" s="12" t="s">
        <v>5527</v>
      </c>
      <c r="B3245" s="12" t="s">
        <v>3962</v>
      </c>
      <c r="C3245" s="12">
        <v>62329995</v>
      </c>
      <c r="D3245" s="12">
        <v>62331335</v>
      </c>
      <c r="E3245" s="12" t="s">
        <v>3940</v>
      </c>
      <c r="F3245" s="12">
        <v>1</v>
      </c>
      <c r="G3245" s="41" t="s">
        <v>53</v>
      </c>
      <c r="H3245" s="12" t="s">
        <v>6556</v>
      </c>
      <c r="I3245" s="41" t="s">
        <v>8112</v>
      </c>
      <c r="M3245" s="41" t="e">
        <f>VLOOKUP(I3245,错误mRNA总表!D:I,6,FALSE)</f>
        <v>#N/A</v>
      </c>
    </row>
    <row r="3246" spans="1:13" x14ac:dyDescent="0.2">
      <c r="A3246" s="12" t="s">
        <v>5528</v>
      </c>
      <c r="B3246" s="12" t="s">
        <v>3986</v>
      </c>
      <c r="C3246" s="12">
        <v>51461887</v>
      </c>
      <c r="D3246" s="12">
        <v>51471814</v>
      </c>
      <c r="E3246" s="12" t="s">
        <v>3940</v>
      </c>
      <c r="F3246" s="12">
        <v>1</v>
      </c>
      <c r="G3246" s="41" t="s">
        <v>50</v>
      </c>
      <c r="H3246" s="12" t="s">
        <v>6095</v>
      </c>
      <c r="I3246" s="41" t="s">
        <v>8113</v>
      </c>
      <c r="M3246" s="41" t="e">
        <f>VLOOKUP(I3246,错误mRNA总表!D:I,6,FALSE)</f>
        <v>#N/A</v>
      </c>
    </row>
    <row r="3247" spans="1:13" x14ac:dyDescent="0.2">
      <c r="A3247" s="12" t="s">
        <v>5529</v>
      </c>
      <c r="B3247" s="12" t="s">
        <v>3957</v>
      </c>
      <c r="C3247" s="12">
        <v>20409076</v>
      </c>
      <c r="D3247" s="12">
        <v>20530816</v>
      </c>
      <c r="E3247" s="12" t="s">
        <v>3943</v>
      </c>
      <c r="F3247" s="12">
        <v>2</v>
      </c>
      <c r="G3247" s="41" t="s">
        <v>36</v>
      </c>
      <c r="H3247" s="12" t="s">
        <v>922</v>
      </c>
      <c r="I3247" s="41" t="s">
        <v>2822</v>
      </c>
      <c r="J3247" s="41" t="s">
        <v>2822</v>
      </c>
      <c r="K3247" s="41" t="str">
        <f>VLOOKUP(J3247,错误mRNA总表!D:J,7,FALSE)</f>
        <v/>
      </c>
      <c r="L3247" s="41" t="s">
        <v>3762</v>
      </c>
      <c r="M3247" s="41">
        <f>VLOOKUP(I3247,错误mRNA总表!D:I,6,FALSE)</f>
        <v>0</v>
      </c>
    </row>
    <row r="3248" spans="1:13" x14ac:dyDescent="0.2">
      <c r="A3248" s="12" t="s">
        <v>5530</v>
      </c>
      <c r="B3248" s="12" t="s">
        <v>3973</v>
      </c>
      <c r="C3248" s="12">
        <v>145439347</v>
      </c>
      <c r="D3248" s="12">
        <v>145441841</v>
      </c>
      <c r="E3248" s="12" t="s">
        <v>3943</v>
      </c>
      <c r="F3248" s="12">
        <v>1</v>
      </c>
      <c r="G3248" s="41" t="s">
        <v>139</v>
      </c>
      <c r="H3248" s="12" t="s">
        <v>6276</v>
      </c>
      <c r="I3248" s="41" t="s">
        <v>8114</v>
      </c>
      <c r="M3248" s="41" t="e">
        <f>VLOOKUP(I3248,错误mRNA总表!D:I,6,FALSE)</f>
        <v>#N/A</v>
      </c>
    </row>
    <row r="3249" spans="1:13" x14ac:dyDescent="0.2">
      <c r="A3249" s="12" t="s">
        <v>5531</v>
      </c>
      <c r="B3249" s="12" t="s">
        <v>4124</v>
      </c>
      <c r="C3249" s="12">
        <v>95831162</v>
      </c>
      <c r="D3249" s="12">
        <v>95847046</v>
      </c>
      <c r="E3249" s="12" t="s">
        <v>3943</v>
      </c>
      <c r="F3249" s="12">
        <v>3</v>
      </c>
      <c r="G3249" s="41" t="s">
        <v>1</v>
      </c>
      <c r="H3249" s="12" t="s">
        <v>6277</v>
      </c>
      <c r="I3249" s="41" t="s">
        <v>8115</v>
      </c>
      <c r="M3249" s="41" t="e">
        <f>VLOOKUP(I3249,错误mRNA总表!D:I,6,FALSE)</f>
        <v>#N/A</v>
      </c>
    </row>
    <row r="3250" spans="1:13" x14ac:dyDescent="0.2">
      <c r="A3250" s="12" t="s">
        <v>5532</v>
      </c>
      <c r="B3250" s="12" t="s">
        <v>3978</v>
      </c>
      <c r="C3250" s="12">
        <v>53317443</v>
      </c>
      <c r="D3250" s="12">
        <v>53324819</v>
      </c>
      <c r="E3250" s="12" t="s">
        <v>3943</v>
      </c>
      <c r="F3250" s="12">
        <v>6</v>
      </c>
      <c r="G3250" s="41" t="s">
        <v>86</v>
      </c>
      <c r="H3250" s="12" t="s">
        <v>6278</v>
      </c>
      <c r="I3250" s="41" t="s">
        <v>8116</v>
      </c>
      <c r="M3250" s="41" t="e">
        <f>VLOOKUP(I3250,错误mRNA总表!D:I,6,FALSE)</f>
        <v>#N/A</v>
      </c>
    </row>
    <row r="3251" spans="1:13" x14ac:dyDescent="0.2">
      <c r="A3251" s="12" t="s">
        <v>5532</v>
      </c>
      <c r="B3251" s="12" t="s">
        <v>3978</v>
      </c>
      <c r="C3251" s="12">
        <v>53317443</v>
      </c>
      <c r="D3251" s="12">
        <v>53318546</v>
      </c>
      <c r="E3251" s="12" t="s">
        <v>3940</v>
      </c>
      <c r="F3251" s="12">
        <v>2</v>
      </c>
      <c r="G3251" s="41" t="s">
        <v>86</v>
      </c>
      <c r="H3251" s="12" t="s">
        <v>6278</v>
      </c>
      <c r="I3251" s="41" t="s">
        <v>8116</v>
      </c>
      <c r="M3251" s="41" t="e">
        <f>VLOOKUP(I3251,错误mRNA总表!D:I,6,FALSE)</f>
        <v>#N/A</v>
      </c>
    </row>
    <row r="3252" spans="1:13" x14ac:dyDescent="0.2">
      <c r="A3252" s="12" t="s">
        <v>5533</v>
      </c>
      <c r="B3252" s="12" t="s">
        <v>4124</v>
      </c>
      <c r="C3252" s="12">
        <v>209224569</v>
      </c>
      <c r="D3252" s="12">
        <v>209224875</v>
      </c>
      <c r="E3252" s="12" t="s">
        <v>3943</v>
      </c>
      <c r="F3252" s="12">
        <v>1</v>
      </c>
      <c r="G3252" s="41" t="s">
        <v>1</v>
      </c>
      <c r="H3252" s="12" t="s">
        <v>6279</v>
      </c>
      <c r="I3252" s="41" t="s">
        <v>8117</v>
      </c>
      <c r="M3252" s="41" t="e">
        <f>VLOOKUP(I3252,错误mRNA总表!D:I,6,FALSE)</f>
        <v>#N/A</v>
      </c>
    </row>
    <row r="3253" spans="1:13" x14ac:dyDescent="0.2">
      <c r="A3253" s="12" t="s">
        <v>5534</v>
      </c>
      <c r="B3253" s="12" t="s">
        <v>3986</v>
      </c>
      <c r="C3253" s="12">
        <v>4472193</v>
      </c>
      <c r="D3253" s="12">
        <v>4499664</v>
      </c>
      <c r="E3253" s="12" t="s">
        <v>3943</v>
      </c>
      <c r="F3253" s="12">
        <v>15</v>
      </c>
      <c r="G3253" s="41" t="s">
        <v>50</v>
      </c>
      <c r="H3253" s="12" t="s">
        <v>1227</v>
      </c>
      <c r="I3253" s="41" t="s">
        <v>8118</v>
      </c>
      <c r="J3253" s="41" t="s">
        <v>2283</v>
      </c>
      <c r="K3253" s="41" t="str">
        <f>VLOOKUP(J3253,错误mRNA总表!D:J,7,FALSE)</f>
        <v>纠后正确，且氨基酸少5个chr19：4499665-4502022</v>
      </c>
      <c r="M3253" s="41" t="e">
        <f>VLOOKUP(I3253,错误mRNA总表!D:I,6,FALSE)</f>
        <v>#N/A</v>
      </c>
    </row>
    <row r="3254" spans="1:13" x14ac:dyDescent="0.2">
      <c r="A3254" s="12" t="s">
        <v>5535</v>
      </c>
      <c r="B3254" s="12" t="s">
        <v>3946</v>
      </c>
      <c r="C3254" s="12">
        <v>40962150</v>
      </c>
      <c r="D3254" s="12">
        <v>40976311</v>
      </c>
      <c r="E3254" s="12" t="s">
        <v>3940</v>
      </c>
      <c r="F3254" s="12">
        <v>1</v>
      </c>
      <c r="G3254" s="41" t="s">
        <v>47</v>
      </c>
      <c r="H3254" s="12" t="s">
        <v>6280</v>
      </c>
      <c r="I3254" s="41" t="s">
        <v>8119</v>
      </c>
      <c r="M3254" s="41" t="e">
        <f>VLOOKUP(I3254,错误mRNA总表!D:I,6,FALSE)</f>
        <v>#N/A</v>
      </c>
    </row>
    <row r="3255" spans="1:13" x14ac:dyDescent="0.2">
      <c r="A3255" s="12" t="s">
        <v>4309</v>
      </c>
      <c r="B3255" s="12" t="s">
        <v>4199</v>
      </c>
      <c r="C3255" s="12">
        <v>66095</v>
      </c>
      <c r="D3255" s="12">
        <v>67233</v>
      </c>
      <c r="E3255" s="12" t="s">
        <v>3943</v>
      </c>
      <c r="F3255" s="12">
        <v>1</v>
      </c>
      <c r="H3255" s="12" t="s">
        <v>6373</v>
      </c>
      <c r="I3255" s="41" t="s">
        <v>7548</v>
      </c>
      <c r="M3255" s="41" t="e">
        <f>VLOOKUP(I3255,错误mRNA总表!D:I,6,FALSE)</f>
        <v>#N/A</v>
      </c>
    </row>
    <row r="3256" spans="1:13" x14ac:dyDescent="0.2">
      <c r="A3256" s="12" t="s">
        <v>5536</v>
      </c>
      <c r="B3256" s="12" t="s">
        <v>3986</v>
      </c>
      <c r="C3256" s="12">
        <v>14199229</v>
      </c>
      <c r="D3256" s="12">
        <v>14200896</v>
      </c>
      <c r="E3256" s="12" t="s">
        <v>3940</v>
      </c>
      <c r="F3256" s="12">
        <v>318</v>
      </c>
      <c r="G3256" s="41" t="s">
        <v>50</v>
      </c>
      <c r="H3256" s="12" t="s">
        <v>1236</v>
      </c>
      <c r="I3256" s="41" t="s">
        <v>2285</v>
      </c>
      <c r="J3256" s="41" t="s">
        <v>2285</v>
      </c>
      <c r="K3256" s="41" t="str">
        <f>VLOOKUP(J3256,错误mRNA总表!D:J,7,FALSE)</f>
        <v>rs号无基因信息，加106个氨基酸chr19：14199229-14200895</v>
      </c>
      <c r="L3256" s="41" t="s">
        <v>8367</v>
      </c>
      <c r="M3256" s="41">
        <f>VLOOKUP(I3256,错误mRNA总表!D:I,6,FALSE)</f>
        <v>0</v>
      </c>
    </row>
    <row r="3257" spans="1:13" x14ac:dyDescent="0.2">
      <c r="A3257" s="12" t="s">
        <v>5537</v>
      </c>
      <c r="B3257" s="12" t="s">
        <v>3939</v>
      </c>
      <c r="C3257" s="12">
        <v>47915699</v>
      </c>
      <c r="D3257" s="12">
        <v>47925726</v>
      </c>
      <c r="E3257" s="12" t="s">
        <v>3940</v>
      </c>
      <c r="F3257" s="12">
        <v>1</v>
      </c>
      <c r="G3257" s="41" t="s">
        <v>73</v>
      </c>
      <c r="H3257" s="12" t="s">
        <v>5861</v>
      </c>
      <c r="I3257" s="41" t="s">
        <v>6893</v>
      </c>
      <c r="M3257" s="41" t="e">
        <f>VLOOKUP(I3257,错误mRNA总表!D:I,6,FALSE)</f>
        <v>#N/A</v>
      </c>
    </row>
    <row r="3258" spans="1:13" x14ac:dyDescent="0.2">
      <c r="A3258" s="12" t="s">
        <v>5538</v>
      </c>
      <c r="B3258" s="12" t="s">
        <v>4066</v>
      </c>
      <c r="C3258" s="12">
        <v>7179927</v>
      </c>
      <c r="D3258" s="12">
        <v>7280142</v>
      </c>
      <c r="E3258" s="12" t="s">
        <v>3943</v>
      </c>
      <c r="F3258" s="12">
        <v>2</v>
      </c>
      <c r="H3258" s="12" t="s">
        <v>3506</v>
      </c>
      <c r="I3258" s="41" t="s">
        <v>8120</v>
      </c>
      <c r="M3258" s="41" t="e">
        <f>VLOOKUP(I3258,错误mRNA总表!D:I,6,FALSE)</f>
        <v>#N/A</v>
      </c>
    </row>
    <row r="3259" spans="1:13" x14ac:dyDescent="0.2">
      <c r="A3259" s="12" t="s">
        <v>5539</v>
      </c>
      <c r="B3259" s="12" t="s">
        <v>4052</v>
      </c>
      <c r="C3259" s="12">
        <v>11047259</v>
      </c>
      <c r="D3259" s="12">
        <v>11373419</v>
      </c>
      <c r="E3259" s="12" t="s">
        <v>3940</v>
      </c>
      <c r="F3259" s="12">
        <v>2</v>
      </c>
      <c r="G3259" s="41" t="s">
        <v>93</v>
      </c>
      <c r="H3259" s="12" t="s">
        <v>6472</v>
      </c>
      <c r="I3259" s="41" t="s">
        <v>8121</v>
      </c>
      <c r="M3259" s="41" t="e">
        <f>VLOOKUP(I3259,错误mRNA总表!D:I,6,FALSE)</f>
        <v>#N/A</v>
      </c>
    </row>
    <row r="3260" spans="1:13" x14ac:dyDescent="0.2">
      <c r="A3260" s="12" t="s">
        <v>5539</v>
      </c>
      <c r="B3260" s="12" t="s">
        <v>4052</v>
      </c>
      <c r="C3260" s="12">
        <v>11047259</v>
      </c>
      <c r="D3260" s="12">
        <v>11375226</v>
      </c>
      <c r="E3260" s="12" t="s">
        <v>3940</v>
      </c>
      <c r="F3260" s="12">
        <v>1</v>
      </c>
      <c r="G3260" s="41" t="s">
        <v>93</v>
      </c>
      <c r="H3260" s="12" t="s">
        <v>6472</v>
      </c>
      <c r="I3260" s="41" t="s">
        <v>8121</v>
      </c>
      <c r="M3260" s="41" t="e">
        <f>VLOOKUP(I3260,错误mRNA总表!D:I,6,FALSE)</f>
        <v>#N/A</v>
      </c>
    </row>
    <row r="3261" spans="1:13" x14ac:dyDescent="0.2">
      <c r="A3261" s="12" t="s">
        <v>5540</v>
      </c>
      <c r="B3261" s="12" t="s">
        <v>3986</v>
      </c>
      <c r="C3261" s="12">
        <v>4910379</v>
      </c>
      <c r="D3261" s="12">
        <v>4954680</v>
      </c>
      <c r="E3261" s="12" t="s">
        <v>3940</v>
      </c>
      <c r="F3261" s="12">
        <v>1</v>
      </c>
      <c r="G3261" s="41" t="s">
        <v>50</v>
      </c>
      <c r="H3261" s="12" t="s">
        <v>216</v>
      </c>
      <c r="I3261" s="41" t="s">
        <v>8122</v>
      </c>
      <c r="J3261" s="41" t="s">
        <v>2203</v>
      </c>
      <c r="K3261" s="41" t="str">
        <f>VLOOKUP(J3261,错误mRNA总表!D:J,7,FALSE)</f>
        <v>纠后正确</v>
      </c>
      <c r="M3261" s="41" t="e">
        <f>VLOOKUP(I3261,错误mRNA总表!D:I,6,FALSE)</f>
        <v>#N/A</v>
      </c>
    </row>
    <row r="3262" spans="1:13" x14ac:dyDescent="0.2">
      <c r="A3262" s="12" t="s">
        <v>4123</v>
      </c>
      <c r="B3262" s="12" t="s">
        <v>4124</v>
      </c>
      <c r="C3262" s="12">
        <v>234054795</v>
      </c>
      <c r="D3262" s="12">
        <v>234054799</v>
      </c>
      <c r="E3262" s="12" t="s">
        <v>3940</v>
      </c>
      <c r="F3262" s="12">
        <v>1</v>
      </c>
      <c r="G3262" s="41" t="s">
        <v>1</v>
      </c>
      <c r="H3262" s="12" t="s">
        <v>260</v>
      </c>
      <c r="I3262" s="41" t="s">
        <v>2215</v>
      </c>
      <c r="J3262" s="41" t="s">
        <v>2213</v>
      </c>
      <c r="K3262" s="41" t="str">
        <f>VLOOKUP(J3262,错误mRNA总表!D:J,7,FALSE)</f>
        <v/>
      </c>
      <c r="L3262" s="41" t="s">
        <v>3762</v>
      </c>
      <c r="M3262" s="41">
        <f>VLOOKUP(I3262,错误mRNA总表!D:I,6,FALSE)</f>
        <v>0</v>
      </c>
    </row>
    <row r="3263" spans="1:13" x14ac:dyDescent="0.2">
      <c r="A3263" s="12" t="s">
        <v>4123</v>
      </c>
      <c r="B3263" s="12" t="s">
        <v>4124</v>
      </c>
      <c r="C3263" s="12">
        <v>234054795</v>
      </c>
      <c r="D3263" s="12">
        <v>234054801</v>
      </c>
      <c r="E3263" s="12" t="s">
        <v>3940</v>
      </c>
      <c r="F3263" s="12">
        <v>4</v>
      </c>
      <c r="G3263" s="41" t="s">
        <v>1</v>
      </c>
      <c r="H3263" s="12" t="s">
        <v>260</v>
      </c>
      <c r="I3263" s="41" t="s">
        <v>2215</v>
      </c>
      <c r="J3263" s="41" t="s">
        <v>2213</v>
      </c>
      <c r="K3263" s="41" t="str">
        <f>VLOOKUP(J3263,错误mRNA总表!D:J,7,FALSE)</f>
        <v/>
      </c>
      <c r="L3263" s="41" t="s">
        <v>3762</v>
      </c>
      <c r="M3263" s="41">
        <f>VLOOKUP(I3263,错误mRNA总表!D:I,6,FALSE)</f>
        <v>0</v>
      </c>
    </row>
    <row r="3264" spans="1:13" x14ac:dyDescent="0.2">
      <c r="A3264" s="12" t="s">
        <v>4123</v>
      </c>
      <c r="B3264" s="12" t="s">
        <v>4124</v>
      </c>
      <c r="C3264" s="12">
        <v>234054795</v>
      </c>
      <c r="D3264" s="12">
        <v>234054804</v>
      </c>
      <c r="E3264" s="12" t="s">
        <v>3940</v>
      </c>
      <c r="F3264" s="12">
        <v>1</v>
      </c>
      <c r="G3264" s="41" t="s">
        <v>1</v>
      </c>
      <c r="H3264" s="12" t="s">
        <v>260</v>
      </c>
      <c r="I3264" s="41" t="s">
        <v>2215</v>
      </c>
      <c r="J3264" s="41" t="s">
        <v>2213</v>
      </c>
      <c r="K3264" s="41" t="str">
        <f>VLOOKUP(J3264,错误mRNA总表!D:J,7,FALSE)</f>
        <v/>
      </c>
      <c r="L3264" s="41" t="s">
        <v>3762</v>
      </c>
      <c r="M3264" s="41">
        <f>VLOOKUP(I3264,错误mRNA总表!D:I,6,FALSE)</f>
        <v>0</v>
      </c>
    </row>
    <row r="3265" spans="1:13" x14ac:dyDescent="0.2">
      <c r="A3265" s="12" t="s">
        <v>4645</v>
      </c>
      <c r="B3265" s="12" t="s">
        <v>5541</v>
      </c>
      <c r="C3265" s="12">
        <v>188197</v>
      </c>
      <c r="D3265" s="12">
        <v>189791</v>
      </c>
      <c r="E3265" s="12" t="s">
        <v>3940</v>
      </c>
      <c r="F3265" s="12">
        <v>1</v>
      </c>
      <c r="H3265" s="12" t="s">
        <v>230</v>
      </c>
      <c r="I3265" s="41" t="s">
        <v>8123</v>
      </c>
      <c r="J3265" s="41" t="s">
        <v>2199</v>
      </c>
      <c r="K3265" s="41" t="str">
        <f>VLOOKUP(J3265,错误mRNA总表!D:J,7,FALSE)</f>
        <v>纠后正确，utr略有变化，版本不一致</v>
      </c>
      <c r="M3265" s="41" t="e">
        <f>VLOOKUP(I3265,错误mRNA总表!D:I,6,FALSE)</f>
        <v>#N/A</v>
      </c>
    </row>
    <row r="3266" spans="1:13" x14ac:dyDescent="0.2">
      <c r="A3266" s="12" t="s">
        <v>5542</v>
      </c>
      <c r="B3266" s="12" t="s">
        <v>3939</v>
      </c>
      <c r="C3266" s="12">
        <v>148622519</v>
      </c>
      <c r="D3266" s="12">
        <v>148629238</v>
      </c>
      <c r="E3266" s="12" t="s">
        <v>3940</v>
      </c>
      <c r="F3266" s="12">
        <v>1</v>
      </c>
      <c r="G3266" s="41" t="s">
        <v>73</v>
      </c>
      <c r="H3266" s="12" t="s">
        <v>1400</v>
      </c>
      <c r="I3266" s="41" t="s">
        <v>3202</v>
      </c>
      <c r="J3266" s="41" t="s">
        <v>3202</v>
      </c>
      <c r="K3266" s="41" t="str">
        <f>VLOOKUP(J3266,错误mRNA总表!D:J,7,FALSE)</f>
        <v/>
      </c>
      <c r="L3266" s="41" t="s">
        <v>3762</v>
      </c>
      <c r="M3266" s="41">
        <f>VLOOKUP(I3266,错误mRNA总表!D:I,6,FALSE)</f>
        <v>0</v>
      </c>
    </row>
    <row r="3267" spans="1:13" x14ac:dyDescent="0.2">
      <c r="A3267" s="12" t="s">
        <v>5543</v>
      </c>
      <c r="B3267" s="12" t="s">
        <v>3986</v>
      </c>
      <c r="C3267" s="12">
        <v>45010211</v>
      </c>
      <c r="D3267" s="12">
        <v>45016990</v>
      </c>
      <c r="E3267" s="12" t="s">
        <v>3943</v>
      </c>
      <c r="F3267" s="12">
        <v>1</v>
      </c>
      <c r="G3267" s="41" t="s">
        <v>50</v>
      </c>
      <c r="H3267" s="12" t="s">
        <v>58</v>
      </c>
      <c r="I3267" s="41" t="s">
        <v>2085</v>
      </c>
      <c r="J3267" s="41" t="s">
        <v>2085</v>
      </c>
      <c r="K3267" s="41" t="str">
        <f>VLOOKUP(J3267,错误mRNA总表!D:J,7,FALSE)</f>
        <v>纠后正确</v>
      </c>
      <c r="L3267" s="41" t="s">
        <v>3763</v>
      </c>
      <c r="M3267" s="41">
        <f>VLOOKUP(I3267,错误mRNA总表!D:I,6,FALSE)</f>
        <v>0</v>
      </c>
    </row>
    <row r="3268" spans="1:13" x14ac:dyDescent="0.2">
      <c r="A3268" s="12" t="s">
        <v>5544</v>
      </c>
      <c r="B3268" s="12" t="s">
        <v>4042</v>
      </c>
      <c r="C3268" s="12">
        <v>82763613</v>
      </c>
      <c r="D3268" s="12">
        <v>82764724</v>
      </c>
      <c r="E3268" s="12" t="s">
        <v>3943</v>
      </c>
      <c r="F3268" s="12">
        <v>5</v>
      </c>
      <c r="G3268" s="41" t="s">
        <v>113</v>
      </c>
      <c r="H3268" s="12" t="s">
        <v>6557</v>
      </c>
      <c r="I3268" s="41" t="s">
        <v>8124</v>
      </c>
      <c r="M3268" s="41" t="e">
        <f>VLOOKUP(I3268,错误mRNA总表!D:I,6,FALSE)</f>
        <v>#N/A</v>
      </c>
    </row>
    <row r="3269" spans="1:13" x14ac:dyDescent="0.2">
      <c r="A3269" s="12" t="s">
        <v>5545</v>
      </c>
      <c r="B3269" s="12" t="s">
        <v>3957</v>
      </c>
      <c r="C3269" s="12">
        <v>46638826</v>
      </c>
      <c r="D3269" s="12">
        <v>46694313</v>
      </c>
      <c r="E3269" s="12" t="s">
        <v>3943</v>
      </c>
      <c r="F3269" s="12">
        <v>2</v>
      </c>
      <c r="G3269" s="41" t="s">
        <v>36</v>
      </c>
      <c r="H3269" s="12" t="s">
        <v>6281</v>
      </c>
      <c r="I3269" s="41" t="s">
        <v>8125</v>
      </c>
      <c r="M3269" s="41" t="e">
        <f>VLOOKUP(I3269,错误mRNA总表!D:I,6,FALSE)</f>
        <v>#N/A</v>
      </c>
    </row>
    <row r="3270" spans="1:13" x14ac:dyDescent="0.2">
      <c r="A3270" s="12" t="s">
        <v>5546</v>
      </c>
      <c r="B3270" s="12" t="s">
        <v>3948</v>
      </c>
      <c r="C3270" s="12">
        <v>28992974</v>
      </c>
      <c r="D3270" s="12">
        <v>28997498</v>
      </c>
      <c r="E3270" s="12" t="s">
        <v>3943</v>
      </c>
      <c r="F3270" s="12">
        <v>1</v>
      </c>
      <c r="G3270" s="41" t="s">
        <v>40</v>
      </c>
      <c r="H3270" s="12" t="s">
        <v>721</v>
      </c>
      <c r="I3270" s="41" t="s">
        <v>2245</v>
      </c>
      <c r="J3270" s="41" t="s">
        <v>2245</v>
      </c>
      <c r="K3270" s="41" t="str">
        <f>VLOOKUP(J3270,错误mRNA总表!D:J,7,FALSE)</f>
        <v>纠后正确</v>
      </c>
      <c r="L3270" s="41" t="s">
        <v>3866</v>
      </c>
      <c r="M3270" s="41">
        <f>VLOOKUP(I3270,错误mRNA总表!D:I,6,FALSE)</f>
        <v>0</v>
      </c>
    </row>
    <row r="3271" spans="1:13" x14ac:dyDescent="0.2">
      <c r="A3271" s="12" t="s">
        <v>5546</v>
      </c>
      <c r="B3271" s="12" t="s">
        <v>3948</v>
      </c>
      <c r="C3271" s="12">
        <v>28992974</v>
      </c>
      <c r="D3271" s="12">
        <v>28997596</v>
      </c>
      <c r="E3271" s="12" t="s">
        <v>3940</v>
      </c>
      <c r="F3271" s="12">
        <v>1</v>
      </c>
      <c r="G3271" s="41" t="s">
        <v>40</v>
      </c>
      <c r="H3271" s="12" t="s">
        <v>721</v>
      </c>
      <c r="I3271" s="41" t="s">
        <v>2245</v>
      </c>
      <c r="J3271" s="41" t="s">
        <v>2245</v>
      </c>
      <c r="K3271" s="41" t="str">
        <f>VLOOKUP(J3271,错误mRNA总表!D:J,7,FALSE)</f>
        <v>纠后正确</v>
      </c>
      <c r="L3271" s="41" t="s">
        <v>3866</v>
      </c>
      <c r="M3271" s="41">
        <f>VLOOKUP(I3271,错误mRNA总表!D:I,6,FALSE)</f>
        <v>0</v>
      </c>
    </row>
    <row r="3272" spans="1:13" x14ac:dyDescent="0.2">
      <c r="A3272" s="12" t="s">
        <v>5547</v>
      </c>
      <c r="B3272" s="12" t="s">
        <v>4055</v>
      </c>
      <c r="C3272" s="12">
        <v>15773075</v>
      </c>
      <c r="D3272" s="12">
        <v>15774127</v>
      </c>
      <c r="E3272" s="12" t="s">
        <v>3940</v>
      </c>
      <c r="F3272" s="12">
        <v>1</v>
      </c>
      <c r="G3272" s="41" t="s">
        <v>212</v>
      </c>
      <c r="H3272" s="12" t="s">
        <v>6616</v>
      </c>
      <c r="I3272" s="41" t="s">
        <v>8126</v>
      </c>
      <c r="M3272" s="41" t="e">
        <f>VLOOKUP(I3272,错误mRNA总表!D:I,6,FALSE)</f>
        <v>#N/A</v>
      </c>
    </row>
    <row r="3273" spans="1:13" x14ac:dyDescent="0.2">
      <c r="A3273" s="12" t="s">
        <v>3997</v>
      </c>
      <c r="B3273" s="12" t="s">
        <v>3996</v>
      </c>
      <c r="C3273" s="12">
        <v>2646867</v>
      </c>
      <c r="D3273" s="12">
        <v>2648881</v>
      </c>
      <c r="E3273" s="12" t="s">
        <v>3943</v>
      </c>
      <c r="F3273" s="12">
        <v>3</v>
      </c>
      <c r="H3273" s="12" t="s">
        <v>671</v>
      </c>
      <c r="I3273" s="41" t="s">
        <v>7607</v>
      </c>
      <c r="J3273" s="41" t="s">
        <v>2608</v>
      </c>
      <c r="K3273" s="41" t="str">
        <f>VLOOKUP(J3273,错误mRNA总表!D:J,7,FALSE)</f>
        <v/>
      </c>
      <c r="M3273" s="41" t="e">
        <f>VLOOKUP(I3273,错误mRNA总表!D:I,6,FALSE)</f>
        <v>#N/A</v>
      </c>
    </row>
    <row r="3274" spans="1:13" x14ac:dyDescent="0.2">
      <c r="A3274" s="12" t="s">
        <v>3997</v>
      </c>
      <c r="B3274" s="12" t="s">
        <v>3996</v>
      </c>
      <c r="C3274" s="12">
        <v>2646867</v>
      </c>
      <c r="D3274" s="12">
        <v>2649205</v>
      </c>
      <c r="E3274" s="12" t="s">
        <v>3940</v>
      </c>
      <c r="F3274" s="12">
        <v>1</v>
      </c>
      <c r="H3274" s="12" t="s">
        <v>671</v>
      </c>
      <c r="I3274" s="41" t="s">
        <v>7607</v>
      </c>
      <c r="J3274" s="41" t="s">
        <v>2608</v>
      </c>
      <c r="K3274" s="41" t="str">
        <f>VLOOKUP(J3274,错误mRNA总表!D:J,7,FALSE)</f>
        <v/>
      </c>
      <c r="M3274" s="41" t="e">
        <f>VLOOKUP(I3274,错误mRNA总表!D:I,6,FALSE)</f>
        <v>#N/A</v>
      </c>
    </row>
    <row r="3275" spans="1:13" x14ac:dyDescent="0.2">
      <c r="A3275" s="12" t="s">
        <v>5548</v>
      </c>
      <c r="B3275" s="12" t="s">
        <v>4012</v>
      </c>
      <c r="C3275" s="12">
        <v>21413455</v>
      </c>
      <c r="D3275" s="12">
        <v>21415556</v>
      </c>
      <c r="E3275" s="12" t="s">
        <v>3943</v>
      </c>
      <c r="F3275" s="12">
        <v>1</v>
      </c>
      <c r="G3275" s="41" t="s">
        <v>121</v>
      </c>
      <c r="H3275" s="12" t="s">
        <v>1124</v>
      </c>
      <c r="I3275" s="41" t="s">
        <v>3381</v>
      </c>
      <c r="J3275" s="41" t="s">
        <v>3381</v>
      </c>
      <c r="K3275" s="41" t="str">
        <f>VLOOKUP(J3275,错误mRNA总表!D:J,7,FALSE)</f>
        <v>纠后正确</v>
      </c>
      <c r="L3275" s="41" t="s">
        <v>3763</v>
      </c>
      <c r="M3275" s="41">
        <f>VLOOKUP(I3275,错误mRNA总表!D:I,6,FALSE)</f>
        <v>0</v>
      </c>
    </row>
    <row r="3276" spans="1:13" x14ac:dyDescent="0.2">
      <c r="A3276" s="12" t="s">
        <v>5548</v>
      </c>
      <c r="B3276" s="12" t="s">
        <v>4012</v>
      </c>
      <c r="C3276" s="12">
        <v>21413455</v>
      </c>
      <c r="D3276" s="12">
        <v>21415700</v>
      </c>
      <c r="E3276" s="12" t="s">
        <v>3940</v>
      </c>
      <c r="F3276" s="12">
        <v>1</v>
      </c>
      <c r="G3276" s="41" t="s">
        <v>121</v>
      </c>
      <c r="H3276" s="12" t="s">
        <v>1124</v>
      </c>
      <c r="I3276" s="41" t="s">
        <v>3381</v>
      </c>
      <c r="J3276" s="41" t="s">
        <v>3381</v>
      </c>
      <c r="K3276" s="41" t="str">
        <f>VLOOKUP(J3276,错误mRNA总表!D:J,7,FALSE)</f>
        <v>纠后正确</v>
      </c>
      <c r="L3276" s="41" t="s">
        <v>3763</v>
      </c>
      <c r="M3276" s="41">
        <f>VLOOKUP(I3276,错误mRNA总表!D:I,6,FALSE)</f>
        <v>0</v>
      </c>
    </row>
    <row r="3277" spans="1:13" x14ac:dyDescent="0.2">
      <c r="A3277" s="12" t="s">
        <v>5548</v>
      </c>
      <c r="B3277" s="12" t="s">
        <v>4012</v>
      </c>
      <c r="C3277" s="12">
        <v>21413455</v>
      </c>
      <c r="D3277" s="12">
        <v>21415827</v>
      </c>
      <c r="E3277" s="12" t="s">
        <v>3940</v>
      </c>
      <c r="F3277" s="12">
        <v>2</v>
      </c>
      <c r="G3277" s="41" t="s">
        <v>121</v>
      </c>
      <c r="H3277" s="12" t="s">
        <v>1124</v>
      </c>
      <c r="I3277" s="41" t="s">
        <v>3381</v>
      </c>
      <c r="J3277" s="41" t="s">
        <v>3381</v>
      </c>
      <c r="K3277" s="41" t="str">
        <f>VLOOKUP(J3277,错误mRNA总表!D:J,7,FALSE)</f>
        <v>纠后正确</v>
      </c>
      <c r="L3277" s="41" t="s">
        <v>3763</v>
      </c>
      <c r="M3277" s="41">
        <f>VLOOKUP(I3277,错误mRNA总表!D:I,6,FALSE)</f>
        <v>0</v>
      </c>
    </row>
    <row r="3278" spans="1:13" x14ac:dyDescent="0.2">
      <c r="A3278" s="12" t="s">
        <v>4160</v>
      </c>
      <c r="B3278" s="12" t="s">
        <v>3964</v>
      </c>
      <c r="C3278" s="12">
        <v>2464790</v>
      </c>
      <c r="D3278" s="12">
        <v>2465722</v>
      </c>
      <c r="E3278" s="12" t="s">
        <v>3940</v>
      </c>
      <c r="F3278" s="12">
        <v>3</v>
      </c>
      <c r="H3278" s="12" t="s">
        <v>669</v>
      </c>
      <c r="I3278" s="41" t="s">
        <v>8127</v>
      </c>
      <c r="J3278" s="41" t="s">
        <v>2606</v>
      </c>
      <c r="K3278" s="41" t="str">
        <f>VLOOKUP(J3278,错误mRNA总表!D:J,7,FALSE)</f>
        <v/>
      </c>
      <c r="M3278" s="41" t="e">
        <f>VLOOKUP(I3278,错误mRNA总表!D:I,6,FALSE)</f>
        <v>#N/A</v>
      </c>
    </row>
    <row r="3279" spans="1:13" x14ac:dyDescent="0.2">
      <c r="A3279" s="12" t="s">
        <v>5549</v>
      </c>
      <c r="B3279" s="12" t="s">
        <v>3954</v>
      </c>
      <c r="C3279" s="12">
        <v>124420</v>
      </c>
      <c r="D3279" s="12">
        <v>124555</v>
      </c>
      <c r="E3279" s="12" t="s">
        <v>3940</v>
      </c>
      <c r="F3279" s="12">
        <v>97</v>
      </c>
      <c r="G3279" s="41" t="s">
        <v>569</v>
      </c>
      <c r="H3279" s="12" t="s">
        <v>570</v>
      </c>
      <c r="I3279" s="41" t="s">
        <v>2239</v>
      </c>
      <c r="J3279" s="41" t="s">
        <v>2239</v>
      </c>
      <c r="K3279" s="41" t="str">
        <f>VLOOKUP(J3279,错误mRNA总表!D:J,7,FALSE)</f>
        <v>纠后区间有变化（版本不一致）与Browers相匹配，chr4:133711-136743之前有5个氨基酸不对，其他正确</v>
      </c>
      <c r="L3279" s="41" t="s">
        <v>3866</v>
      </c>
      <c r="M3279" s="41" t="str">
        <f>VLOOKUP(I3279,错误mRNA总表!D:I,6,FALSE)</f>
        <v>纠后区间有变化（版本不一致）与Browers相匹配，chr4:133711-136743之前有5个氨基酸不对，其他正确</v>
      </c>
    </row>
    <row r="3280" spans="1:13" x14ac:dyDescent="0.2">
      <c r="A3280" s="12" t="s">
        <v>5549</v>
      </c>
      <c r="B3280" s="12" t="s">
        <v>3954</v>
      </c>
      <c r="C3280" s="12">
        <v>124420</v>
      </c>
      <c r="D3280" s="12">
        <v>133624</v>
      </c>
      <c r="E3280" s="12" t="s">
        <v>3943</v>
      </c>
      <c r="F3280" s="12">
        <v>2</v>
      </c>
      <c r="G3280" s="41" t="s">
        <v>569</v>
      </c>
      <c r="H3280" s="12" t="s">
        <v>570</v>
      </c>
      <c r="I3280" s="41" t="s">
        <v>2239</v>
      </c>
      <c r="J3280" s="41" t="s">
        <v>2239</v>
      </c>
      <c r="K3280" s="41" t="str">
        <f>VLOOKUP(J3280,错误mRNA总表!D:J,7,FALSE)</f>
        <v>纠后区间有变化（版本不一致）与Browers相匹配，chr4:133711-136743之前有5个氨基酸不对，其他正确</v>
      </c>
      <c r="L3280" s="41" t="s">
        <v>3866</v>
      </c>
      <c r="M3280" s="41" t="str">
        <f>VLOOKUP(I3280,错误mRNA总表!D:I,6,FALSE)</f>
        <v>纠后区间有变化（版本不一致）与Browers相匹配，chr4:133711-136743之前有5个氨基酸不对，其他正确</v>
      </c>
    </row>
    <row r="3281" spans="1:13" x14ac:dyDescent="0.2">
      <c r="A3281" s="12" t="s">
        <v>5549</v>
      </c>
      <c r="B3281" s="12" t="s">
        <v>3954</v>
      </c>
      <c r="C3281" s="12">
        <v>124420</v>
      </c>
      <c r="D3281" s="12">
        <v>136743</v>
      </c>
      <c r="E3281" s="12" t="s">
        <v>3940</v>
      </c>
      <c r="F3281" s="12">
        <v>91</v>
      </c>
      <c r="G3281" s="41" t="s">
        <v>569</v>
      </c>
      <c r="H3281" s="12" t="s">
        <v>570</v>
      </c>
      <c r="I3281" s="41" t="s">
        <v>2239</v>
      </c>
      <c r="J3281" s="41" t="s">
        <v>2239</v>
      </c>
      <c r="K3281" s="41" t="str">
        <f>VLOOKUP(J3281,错误mRNA总表!D:J,7,FALSE)</f>
        <v>纠后区间有变化（版本不一致）与Browers相匹配，chr4:133711-136743之前有5个氨基酸不对，其他正确</v>
      </c>
      <c r="L3281" s="41" t="s">
        <v>3866</v>
      </c>
      <c r="M3281" s="41" t="str">
        <f>VLOOKUP(I3281,错误mRNA总表!D:I,6,FALSE)</f>
        <v>纠后区间有变化（版本不一致）与Browers相匹配，chr4:133711-136743之前有5个氨基酸不对，其他正确</v>
      </c>
    </row>
    <row r="3282" spans="1:13" x14ac:dyDescent="0.2">
      <c r="A3282" s="12" t="s">
        <v>5549</v>
      </c>
      <c r="B3282" s="12" t="s">
        <v>3954</v>
      </c>
      <c r="C3282" s="12">
        <v>124420</v>
      </c>
      <c r="D3282" s="12">
        <v>136734</v>
      </c>
      <c r="E3282" s="12" t="s">
        <v>3943</v>
      </c>
      <c r="F3282" s="12">
        <v>1</v>
      </c>
      <c r="G3282" s="41" t="s">
        <v>569</v>
      </c>
      <c r="H3282" s="12" t="s">
        <v>570</v>
      </c>
      <c r="I3282" s="41" t="s">
        <v>2239</v>
      </c>
      <c r="J3282" s="41" t="s">
        <v>2239</v>
      </c>
      <c r="K3282" s="41" t="str">
        <f>VLOOKUP(J3282,错误mRNA总表!D:J,7,FALSE)</f>
        <v>纠后区间有变化（版本不一致）与Browers相匹配，chr4:133711-136743之前有5个氨基酸不对，其他正确</v>
      </c>
      <c r="L3282" s="41" t="s">
        <v>3866</v>
      </c>
      <c r="M3282" s="41" t="str">
        <f>VLOOKUP(I3282,错误mRNA总表!D:I,6,FALSE)</f>
        <v>纠后区间有变化（版本不一致）与Browers相匹配，chr4:133711-136743之前有5个氨基酸不对，其他正确</v>
      </c>
    </row>
    <row r="3283" spans="1:13" x14ac:dyDescent="0.2">
      <c r="A3283" s="12" t="s">
        <v>3951</v>
      </c>
      <c r="B3283" s="12" t="s">
        <v>3950</v>
      </c>
      <c r="C3283" s="12">
        <v>134945</v>
      </c>
      <c r="D3283" s="12">
        <v>147891</v>
      </c>
      <c r="E3283" s="12" t="s">
        <v>3943</v>
      </c>
      <c r="F3283" s="12">
        <v>1</v>
      </c>
      <c r="H3283" s="12" t="s">
        <v>3649</v>
      </c>
      <c r="I3283" s="41" t="s">
        <v>8128</v>
      </c>
      <c r="M3283" s="41" t="e">
        <f>VLOOKUP(I3283,错误mRNA总表!D:I,6,FALSE)</f>
        <v>#N/A</v>
      </c>
    </row>
    <row r="3284" spans="1:13" x14ac:dyDescent="0.2">
      <c r="A3284" s="12" t="s">
        <v>5550</v>
      </c>
      <c r="B3284" s="12" t="s">
        <v>3973</v>
      </c>
      <c r="C3284" s="12">
        <v>145293371</v>
      </c>
      <c r="D3284" s="12">
        <v>145328406</v>
      </c>
      <c r="E3284" s="12" t="s">
        <v>3943</v>
      </c>
      <c r="F3284" s="12">
        <v>6</v>
      </c>
      <c r="G3284" s="41" t="s">
        <v>139</v>
      </c>
      <c r="H3284" s="12" t="s">
        <v>3495</v>
      </c>
      <c r="I3284" s="41" t="s">
        <v>8129</v>
      </c>
      <c r="M3284" s="41" t="e">
        <f>VLOOKUP(I3284,错误mRNA总表!D:I,6,FALSE)</f>
        <v>#N/A</v>
      </c>
    </row>
    <row r="3285" spans="1:13" x14ac:dyDescent="0.2">
      <c r="A3285" s="12" t="s">
        <v>4720</v>
      </c>
      <c r="B3285" s="12" t="s">
        <v>3973</v>
      </c>
      <c r="C3285" s="12">
        <v>150190717</v>
      </c>
      <c r="D3285" s="12">
        <v>150192506</v>
      </c>
      <c r="E3285" s="12" t="s">
        <v>3943</v>
      </c>
      <c r="F3285" s="12">
        <v>3</v>
      </c>
      <c r="G3285" s="41" t="s">
        <v>139</v>
      </c>
      <c r="H3285" s="12" t="s">
        <v>3500</v>
      </c>
      <c r="I3285" s="41" t="s">
        <v>8130</v>
      </c>
      <c r="M3285" s="41" t="e">
        <f>VLOOKUP(I3285,错误mRNA总表!D:I,6,FALSE)</f>
        <v>#N/A</v>
      </c>
    </row>
    <row r="3286" spans="1:13" x14ac:dyDescent="0.2">
      <c r="A3286" s="12" t="s">
        <v>4884</v>
      </c>
      <c r="B3286" s="12" t="s">
        <v>4023</v>
      </c>
      <c r="C3286" s="12">
        <v>1143724</v>
      </c>
      <c r="D3286" s="12">
        <v>1153090</v>
      </c>
      <c r="E3286" s="12" t="s">
        <v>3943</v>
      </c>
      <c r="F3286" s="12">
        <v>1</v>
      </c>
      <c r="H3286" s="12" t="s">
        <v>6066</v>
      </c>
      <c r="I3286" s="41" t="s">
        <v>8131</v>
      </c>
      <c r="M3286" s="41" t="e">
        <f>VLOOKUP(I3286,错误mRNA总表!D:I,6,FALSE)</f>
        <v>#N/A</v>
      </c>
    </row>
    <row r="3287" spans="1:13" x14ac:dyDescent="0.2">
      <c r="A3287" s="12" t="s">
        <v>5551</v>
      </c>
      <c r="B3287" s="12" t="s">
        <v>3957</v>
      </c>
      <c r="C3287" s="12">
        <v>46638826</v>
      </c>
      <c r="D3287" s="12">
        <v>46694313</v>
      </c>
      <c r="E3287" s="12" t="s">
        <v>3943</v>
      </c>
      <c r="F3287" s="12">
        <v>2</v>
      </c>
      <c r="G3287" s="41" t="s">
        <v>36</v>
      </c>
      <c r="H3287" s="12" t="s">
        <v>6282</v>
      </c>
      <c r="I3287" s="41" t="s">
        <v>8132</v>
      </c>
      <c r="M3287" s="41" t="e">
        <f>VLOOKUP(I3287,错误mRNA总表!D:I,6,FALSE)</f>
        <v>#N/A</v>
      </c>
    </row>
    <row r="3288" spans="1:13" x14ac:dyDescent="0.2">
      <c r="A3288" s="12" t="s">
        <v>5552</v>
      </c>
      <c r="B3288" s="12" t="s">
        <v>3957</v>
      </c>
      <c r="C3288" s="12">
        <v>125439283</v>
      </c>
      <c r="D3288" s="12">
        <v>125452303</v>
      </c>
      <c r="E3288" s="12" t="s">
        <v>3940</v>
      </c>
      <c r="F3288" s="12">
        <v>1</v>
      </c>
      <c r="G3288" s="41" t="s">
        <v>36</v>
      </c>
      <c r="H3288" s="12" t="s">
        <v>6283</v>
      </c>
      <c r="I3288" s="41" t="s">
        <v>8133</v>
      </c>
      <c r="M3288" s="41" t="e">
        <f>VLOOKUP(I3288,错误mRNA总表!D:I,6,FALSE)</f>
        <v>#N/A</v>
      </c>
    </row>
    <row r="3289" spans="1:13" x14ac:dyDescent="0.2">
      <c r="A3289" s="12" t="s">
        <v>5553</v>
      </c>
      <c r="B3289" s="12" t="s">
        <v>3973</v>
      </c>
      <c r="C3289" s="12">
        <v>1571100</v>
      </c>
      <c r="D3289" s="12">
        <v>1590440</v>
      </c>
      <c r="E3289" s="12" t="s">
        <v>3943</v>
      </c>
      <c r="F3289" s="12">
        <v>1</v>
      </c>
      <c r="G3289" s="41" t="s">
        <v>139</v>
      </c>
      <c r="H3289" s="12" t="s">
        <v>315</v>
      </c>
      <c r="I3289" s="41" t="s">
        <v>2221</v>
      </c>
      <c r="J3289" s="41" t="s">
        <v>2221</v>
      </c>
      <c r="K3289" s="41" t="str">
        <f>VLOOKUP(J3289,错误mRNA总表!D:J,7,FALSE)</f>
        <v>rs号无此变体，区间略有变化，加77个氨基酸chr1:1571126-1586818</v>
      </c>
      <c r="L3289" s="41" t="s">
        <v>3866</v>
      </c>
      <c r="M3289" s="41" t="str">
        <f>VLOOKUP(I3289,错误mRNA总表!D:I,6,FALSE)</f>
        <v>rs号无此变体，区间略有变化，加77个氨基酸chr1:1571126-1586818</v>
      </c>
    </row>
    <row r="3290" spans="1:13" x14ac:dyDescent="0.2">
      <c r="A3290" s="12" t="s">
        <v>5553</v>
      </c>
      <c r="B3290" s="12" t="s">
        <v>3973</v>
      </c>
      <c r="C3290" s="12">
        <v>1571100</v>
      </c>
      <c r="D3290" s="12">
        <v>1580650</v>
      </c>
      <c r="E3290" s="12" t="s">
        <v>3940</v>
      </c>
      <c r="F3290" s="12">
        <v>229</v>
      </c>
      <c r="G3290" s="41" t="s">
        <v>139</v>
      </c>
      <c r="H3290" s="12" t="s">
        <v>315</v>
      </c>
      <c r="I3290" s="41" t="s">
        <v>2221</v>
      </c>
      <c r="J3290" s="41" t="s">
        <v>2221</v>
      </c>
      <c r="K3290" s="41" t="str">
        <f>VLOOKUP(J3290,错误mRNA总表!D:J,7,FALSE)</f>
        <v>rs号无此变体，区间略有变化，加77个氨基酸chr1:1571126-1586818</v>
      </c>
      <c r="L3290" s="41" t="s">
        <v>3866</v>
      </c>
      <c r="M3290" s="41" t="str">
        <f>VLOOKUP(I3290,错误mRNA总表!D:I,6,FALSE)</f>
        <v>rs号无此变体，区间略有变化，加77个氨基酸chr1:1571126-1586818</v>
      </c>
    </row>
    <row r="3291" spans="1:13" x14ac:dyDescent="0.2">
      <c r="A3291" s="12" t="s">
        <v>5554</v>
      </c>
      <c r="B3291" s="12" t="s">
        <v>3957</v>
      </c>
      <c r="C3291" s="12">
        <v>102733464</v>
      </c>
      <c r="D3291" s="12">
        <v>102738793</v>
      </c>
      <c r="E3291" s="12" t="s">
        <v>3940</v>
      </c>
      <c r="F3291" s="12">
        <v>1</v>
      </c>
      <c r="G3291" s="41" t="s">
        <v>36</v>
      </c>
      <c r="H3291" s="12" t="s">
        <v>201</v>
      </c>
      <c r="I3291" s="41" t="s">
        <v>2176</v>
      </c>
      <c r="J3291" s="41" t="s">
        <v>2176</v>
      </c>
      <c r="K3291" s="41" t="str">
        <f>VLOOKUP(J3291,错误mRNA总表!D:J,7,FALSE)</f>
        <v>纠后正确</v>
      </c>
      <c r="L3291" s="41" t="s">
        <v>3763</v>
      </c>
      <c r="M3291" s="41">
        <f>VLOOKUP(I3291,错误mRNA总表!D:I,6,FALSE)</f>
        <v>0</v>
      </c>
    </row>
    <row r="3292" spans="1:13" x14ac:dyDescent="0.2">
      <c r="A3292" s="12" t="s">
        <v>5555</v>
      </c>
      <c r="B3292" s="12" t="s">
        <v>3957</v>
      </c>
      <c r="C3292" s="12">
        <v>125439283</v>
      </c>
      <c r="D3292" s="12">
        <v>125452303</v>
      </c>
      <c r="E3292" s="12" t="s">
        <v>3940</v>
      </c>
      <c r="F3292" s="12">
        <v>1</v>
      </c>
      <c r="G3292" s="41" t="s">
        <v>36</v>
      </c>
      <c r="H3292" s="12" t="s">
        <v>6284</v>
      </c>
      <c r="I3292" s="41" t="s">
        <v>8134</v>
      </c>
      <c r="M3292" s="41" t="e">
        <f>VLOOKUP(I3292,错误mRNA总表!D:I,6,FALSE)</f>
        <v>#N/A</v>
      </c>
    </row>
    <row r="3293" spans="1:13" x14ac:dyDescent="0.2">
      <c r="A3293" s="12" t="s">
        <v>5556</v>
      </c>
      <c r="B3293" s="12" t="s">
        <v>4035</v>
      </c>
      <c r="C3293" s="12">
        <v>72012098</v>
      </c>
      <c r="D3293" s="12">
        <v>72440658</v>
      </c>
      <c r="E3293" s="12" t="s">
        <v>3943</v>
      </c>
      <c r="F3293" s="12">
        <v>6</v>
      </c>
      <c r="G3293" s="41" t="s">
        <v>106</v>
      </c>
      <c r="H3293" s="12" t="s">
        <v>6617</v>
      </c>
      <c r="I3293" s="41" t="s">
        <v>8135</v>
      </c>
      <c r="M3293" s="41" t="e">
        <f>VLOOKUP(I3293,错误mRNA总表!D:I,6,FALSE)</f>
        <v>#N/A</v>
      </c>
    </row>
    <row r="3294" spans="1:13" x14ac:dyDescent="0.2">
      <c r="A3294" s="12" t="s">
        <v>5557</v>
      </c>
      <c r="B3294" s="12" t="s">
        <v>3973</v>
      </c>
      <c r="C3294" s="12">
        <v>13194518</v>
      </c>
      <c r="D3294" s="12">
        <v>13199393</v>
      </c>
      <c r="E3294" s="12" t="s">
        <v>3943</v>
      </c>
      <c r="F3294" s="12">
        <v>1</v>
      </c>
      <c r="G3294" s="41" t="s">
        <v>139</v>
      </c>
      <c r="H3294" s="12" t="s">
        <v>6285</v>
      </c>
      <c r="I3294" s="41" t="s">
        <v>8136</v>
      </c>
      <c r="M3294" s="41" t="e">
        <f>VLOOKUP(I3294,错误mRNA总表!D:I,6,FALSE)</f>
        <v>#N/A</v>
      </c>
    </row>
    <row r="3295" spans="1:13" x14ac:dyDescent="0.2">
      <c r="A3295" s="12" t="s">
        <v>5558</v>
      </c>
      <c r="B3295" s="12" t="s">
        <v>3946</v>
      </c>
      <c r="C3295" s="12">
        <v>34092876</v>
      </c>
      <c r="D3295" s="12">
        <v>34100350</v>
      </c>
      <c r="E3295" s="12" t="s">
        <v>3940</v>
      </c>
      <c r="F3295" s="12">
        <v>1</v>
      </c>
      <c r="G3295" s="41" t="s">
        <v>47</v>
      </c>
      <c r="H3295" s="12" t="s">
        <v>105</v>
      </c>
      <c r="I3295" s="41" t="s">
        <v>2109</v>
      </c>
      <c r="J3295" s="41" t="s">
        <v>2109</v>
      </c>
      <c r="K3295" s="41" t="str">
        <f>VLOOKUP(J3295,错误mRNA总表!D:J,7,FALSE)</f>
        <v>纠后正确</v>
      </c>
      <c r="L3295" s="41" t="s">
        <v>3763</v>
      </c>
      <c r="M3295" s="41">
        <f>VLOOKUP(I3295,错误mRNA总表!D:I,6,FALSE)</f>
        <v>0</v>
      </c>
    </row>
    <row r="3296" spans="1:13" x14ac:dyDescent="0.2">
      <c r="A3296" s="12" t="s">
        <v>5559</v>
      </c>
      <c r="B3296" s="12" t="s">
        <v>3978</v>
      </c>
      <c r="C3296" s="12">
        <v>47324330</v>
      </c>
      <c r="D3296" s="12">
        <v>47386060</v>
      </c>
      <c r="E3296" s="12" t="s">
        <v>3940</v>
      </c>
      <c r="F3296" s="12">
        <v>1</v>
      </c>
      <c r="G3296" s="41" t="s">
        <v>86</v>
      </c>
      <c r="H3296" s="12" t="s">
        <v>6594</v>
      </c>
      <c r="I3296" s="41" t="s">
        <v>8137</v>
      </c>
      <c r="M3296" s="41" t="e">
        <f>VLOOKUP(I3296,错误mRNA总表!D:I,6,FALSE)</f>
        <v>#N/A</v>
      </c>
    </row>
    <row r="3297" spans="1:13" x14ac:dyDescent="0.2">
      <c r="A3297" s="12" t="s">
        <v>5559</v>
      </c>
      <c r="B3297" s="12" t="s">
        <v>3978</v>
      </c>
      <c r="C3297" s="12">
        <v>47324330</v>
      </c>
      <c r="D3297" s="12">
        <v>47386439</v>
      </c>
      <c r="E3297" s="12" t="s">
        <v>3943</v>
      </c>
      <c r="F3297" s="12">
        <v>1</v>
      </c>
      <c r="G3297" s="41" t="s">
        <v>86</v>
      </c>
      <c r="H3297" s="12" t="s">
        <v>6594</v>
      </c>
      <c r="I3297" s="41" t="s">
        <v>8137</v>
      </c>
      <c r="M3297" s="41" t="e">
        <f>VLOOKUP(I3297,错误mRNA总表!D:I,6,FALSE)</f>
        <v>#N/A</v>
      </c>
    </row>
    <row r="3298" spans="1:13" x14ac:dyDescent="0.2">
      <c r="A3298" s="12" t="s">
        <v>5560</v>
      </c>
      <c r="B3298" s="12" t="s">
        <v>4052</v>
      </c>
      <c r="C3298" s="12">
        <v>89623195</v>
      </c>
      <c r="D3298" s="12">
        <v>89623860</v>
      </c>
      <c r="E3298" s="12" t="s">
        <v>3943</v>
      </c>
      <c r="F3298" s="12">
        <v>1</v>
      </c>
      <c r="G3298" s="41" t="s">
        <v>93</v>
      </c>
      <c r="H3298" s="12" t="s">
        <v>6595</v>
      </c>
      <c r="I3298" s="41" t="s">
        <v>7608</v>
      </c>
      <c r="M3298" s="41" t="e">
        <f>VLOOKUP(I3298,错误mRNA总表!D:I,6,FALSE)</f>
        <v>#N/A</v>
      </c>
    </row>
    <row r="3299" spans="1:13" x14ac:dyDescent="0.2">
      <c r="A3299" s="12" t="s">
        <v>5561</v>
      </c>
      <c r="B3299" s="12" t="s">
        <v>3942</v>
      </c>
      <c r="C3299" s="12">
        <v>87960263</v>
      </c>
      <c r="D3299" s="12">
        <v>87963272</v>
      </c>
      <c r="E3299" s="12" t="s">
        <v>3940</v>
      </c>
      <c r="F3299" s="12">
        <v>1</v>
      </c>
      <c r="G3299" s="41" t="s">
        <v>186</v>
      </c>
      <c r="H3299" s="12" t="s">
        <v>6286</v>
      </c>
      <c r="I3299" s="41" t="s">
        <v>8138</v>
      </c>
      <c r="M3299" s="41" t="e">
        <f>VLOOKUP(I3299,错误mRNA总表!D:I,6,FALSE)</f>
        <v>#N/A</v>
      </c>
    </row>
    <row r="3300" spans="1:13" x14ac:dyDescent="0.2">
      <c r="A3300" s="12" t="s">
        <v>5562</v>
      </c>
      <c r="B3300" s="12" t="s">
        <v>3939</v>
      </c>
      <c r="C3300" s="12">
        <v>122318096</v>
      </c>
      <c r="D3300" s="12">
        <v>122318386</v>
      </c>
      <c r="E3300" s="12" t="s">
        <v>3940</v>
      </c>
      <c r="F3300" s="12">
        <v>1</v>
      </c>
      <c r="G3300" s="41" t="s">
        <v>73</v>
      </c>
      <c r="H3300" s="12" t="s">
        <v>1395</v>
      </c>
      <c r="I3300" s="41" t="s">
        <v>3197</v>
      </c>
      <c r="J3300" s="41" t="s">
        <v>3197</v>
      </c>
      <c r="K3300" s="41" t="str">
        <f>VLOOKUP(J3300,错误mRNA总表!D:J,7,FALSE)</f>
        <v>无变化</v>
      </c>
      <c r="L3300" s="41" t="s">
        <v>3762</v>
      </c>
      <c r="M3300" s="41">
        <f>VLOOKUP(I3300,错误mRNA总表!D:I,6,FALSE)</f>
        <v>0</v>
      </c>
    </row>
    <row r="3301" spans="1:13" x14ac:dyDescent="0.2">
      <c r="A3301" s="12" t="s">
        <v>4375</v>
      </c>
      <c r="B3301" s="12" t="s">
        <v>3964</v>
      </c>
      <c r="C3301" s="12">
        <v>4253244</v>
      </c>
      <c r="D3301" s="12">
        <v>4253393</v>
      </c>
      <c r="E3301" s="12" t="s">
        <v>3943</v>
      </c>
      <c r="F3301" s="12">
        <v>3</v>
      </c>
      <c r="H3301" s="12" t="s">
        <v>3584</v>
      </c>
      <c r="I3301" s="41" t="s">
        <v>8139</v>
      </c>
      <c r="M3301" s="41" t="e">
        <f>VLOOKUP(I3301,错误mRNA总表!D:I,6,FALSE)</f>
        <v>#N/A</v>
      </c>
    </row>
    <row r="3302" spans="1:13" x14ac:dyDescent="0.2">
      <c r="A3302" s="12" t="s">
        <v>5127</v>
      </c>
      <c r="B3302" s="12" t="s">
        <v>5563</v>
      </c>
      <c r="C3302" s="12">
        <v>302553</v>
      </c>
      <c r="D3302" s="12">
        <v>302882</v>
      </c>
      <c r="E3302" s="12" t="s">
        <v>3943</v>
      </c>
      <c r="F3302" s="12">
        <v>6</v>
      </c>
      <c r="H3302" s="12" t="s">
        <v>1048</v>
      </c>
      <c r="I3302" s="41" t="s">
        <v>8140</v>
      </c>
      <c r="J3302" s="41" t="s">
        <v>2271</v>
      </c>
      <c r="K3302" s="41" t="str">
        <f>VLOOKUP(J3302,错误mRNA总表!D:J,7,FALSE)</f>
        <v>纠后正确，少2个氨基酸chr12：122064785-122079549</v>
      </c>
      <c r="M3302" s="41" t="e">
        <f>VLOOKUP(I3302,错误mRNA总表!D:I,6,FALSE)</f>
        <v>#N/A</v>
      </c>
    </row>
    <row r="3303" spans="1:13" x14ac:dyDescent="0.2">
      <c r="A3303" s="12" t="s">
        <v>5564</v>
      </c>
      <c r="B3303" s="12" t="s">
        <v>3957</v>
      </c>
      <c r="C3303" s="12">
        <v>46638826</v>
      </c>
      <c r="D3303" s="12">
        <v>46694313</v>
      </c>
      <c r="E3303" s="12" t="s">
        <v>3943</v>
      </c>
      <c r="F3303" s="12">
        <v>2</v>
      </c>
      <c r="G3303" s="41" t="s">
        <v>36</v>
      </c>
      <c r="H3303" s="12" t="s">
        <v>6287</v>
      </c>
      <c r="I3303" s="41" t="s">
        <v>8141</v>
      </c>
      <c r="M3303" s="41" t="e">
        <f>VLOOKUP(I3303,错误mRNA总表!D:I,6,FALSE)</f>
        <v>#N/A</v>
      </c>
    </row>
    <row r="3304" spans="1:13" x14ac:dyDescent="0.2">
      <c r="A3304" s="12" t="s">
        <v>5565</v>
      </c>
      <c r="B3304" s="12" t="s">
        <v>4408</v>
      </c>
      <c r="C3304" s="12">
        <v>1074316</v>
      </c>
      <c r="D3304" s="12">
        <v>1074722</v>
      </c>
      <c r="E3304" s="12" t="s">
        <v>3940</v>
      </c>
      <c r="F3304" s="12">
        <v>1</v>
      </c>
      <c r="H3304" s="12" t="s">
        <v>3600</v>
      </c>
      <c r="I3304" s="41" t="s">
        <v>8142</v>
      </c>
      <c r="M3304" s="41" t="e">
        <f>VLOOKUP(I3304,错误mRNA总表!D:I,6,FALSE)</f>
        <v>#N/A</v>
      </c>
    </row>
    <row r="3305" spans="1:13" x14ac:dyDescent="0.2">
      <c r="A3305" s="12" t="s">
        <v>4977</v>
      </c>
      <c r="B3305" s="12" t="s">
        <v>4001</v>
      </c>
      <c r="C3305" s="12">
        <v>928284</v>
      </c>
      <c r="D3305" s="12">
        <v>943634</v>
      </c>
      <c r="E3305" s="12" t="s">
        <v>3943</v>
      </c>
      <c r="F3305" s="12">
        <v>4</v>
      </c>
      <c r="H3305" s="12" t="s">
        <v>3530</v>
      </c>
      <c r="I3305" s="41" t="s">
        <v>8143</v>
      </c>
      <c r="M3305" s="41" t="e">
        <f>VLOOKUP(I3305,错误mRNA总表!D:I,6,FALSE)</f>
        <v>#N/A</v>
      </c>
    </row>
    <row r="3306" spans="1:13" x14ac:dyDescent="0.2">
      <c r="A3306" s="12" t="s">
        <v>5566</v>
      </c>
      <c r="B3306" s="12" t="s">
        <v>3939</v>
      </c>
      <c r="C3306" s="12">
        <v>103031721</v>
      </c>
      <c r="D3306" s="12">
        <v>103046530</v>
      </c>
      <c r="E3306" s="12" t="s">
        <v>3943</v>
      </c>
      <c r="F3306" s="12">
        <v>1</v>
      </c>
      <c r="G3306" s="41" t="s">
        <v>73</v>
      </c>
      <c r="H3306" s="12" t="s">
        <v>6473</v>
      </c>
      <c r="I3306" s="41" t="s">
        <v>8144</v>
      </c>
      <c r="M3306" s="41" t="e">
        <f>VLOOKUP(I3306,错误mRNA总表!D:I,6,FALSE)</f>
        <v>#N/A</v>
      </c>
    </row>
    <row r="3307" spans="1:13" x14ac:dyDescent="0.2">
      <c r="A3307" s="12" t="s">
        <v>5125</v>
      </c>
      <c r="B3307" s="12" t="s">
        <v>3957</v>
      </c>
      <c r="C3307" s="12">
        <v>118618472</v>
      </c>
      <c r="D3307" s="12">
        <v>118620716</v>
      </c>
      <c r="E3307" s="12" t="s">
        <v>3943</v>
      </c>
      <c r="F3307" s="12">
        <v>1</v>
      </c>
      <c r="G3307" s="41" t="s">
        <v>36</v>
      </c>
      <c r="H3307" s="12" t="s">
        <v>3618</v>
      </c>
      <c r="I3307" s="41" t="s">
        <v>8145</v>
      </c>
      <c r="M3307" s="41" t="e">
        <f>VLOOKUP(I3307,错误mRNA总表!D:I,6,FALSE)</f>
        <v>#N/A</v>
      </c>
    </row>
    <row r="3308" spans="1:13" x14ac:dyDescent="0.2">
      <c r="A3308" s="12" t="s">
        <v>5125</v>
      </c>
      <c r="B3308" s="12" t="s">
        <v>3957</v>
      </c>
      <c r="C3308" s="12">
        <v>118618472</v>
      </c>
      <c r="D3308" s="12">
        <v>118621889</v>
      </c>
      <c r="E3308" s="12" t="s">
        <v>3940</v>
      </c>
      <c r="F3308" s="12">
        <v>1</v>
      </c>
      <c r="G3308" s="41" t="s">
        <v>36</v>
      </c>
      <c r="H3308" s="12" t="s">
        <v>3618</v>
      </c>
      <c r="I3308" s="41" t="s">
        <v>8145</v>
      </c>
      <c r="M3308" s="41" t="e">
        <f>VLOOKUP(I3308,错误mRNA总表!D:I,6,FALSE)</f>
        <v>#N/A</v>
      </c>
    </row>
    <row r="3309" spans="1:13" x14ac:dyDescent="0.2">
      <c r="A3309" s="12" t="s">
        <v>5567</v>
      </c>
      <c r="B3309" s="12" t="s">
        <v>3973</v>
      </c>
      <c r="C3309" s="12">
        <v>145438438</v>
      </c>
      <c r="D3309" s="12">
        <v>145441841</v>
      </c>
      <c r="E3309" s="12" t="s">
        <v>3943</v>
      </c>
      <c r="F3309" s="12">
        <v>1</v>
      </c>
      <c r="G3309" s="41" t="s">
        <v>139</v>
      </c>
      <c r="H3309" s="12" t="s">
        <v>3494</v>
      </c>
      <c r="I3309" s="41" t="s">
        <v>8095</v>
      </c>
      <c r="M3309" s="41" t="e">
        <f>VLOOKUP(I3309,错误mRNA总表!D:I,6,FALSE)</f>
        <v>#N/A</v>
      </c>
    </row>
    <row r="3310" spans="1:13" x14ac:dyDescent="0.2">
      <c r="A3310" s="12" t="s">
        <v>4330</v>
      </c>
      <c r="B3310" s="12" t="s">
        <v>3969</v>
      </c>
      <c r="C3310" s="12">
        <v>2144493</v>
      </c>
      <c r="D3310" s="12">
        <v>2144852</v>
      </c>
      <c r="E3310" s="12" t="s">
        <v>3940</v>
      </c>
      <c r="F3310" s="12">
        <v>1</v>
      </c>
      <c r="H3310" s="12" t="s">
        <v>5871</v>
      </c>
      <c r="I3310" s="41" t="s">
        <v>8146</v>
      </c>
      <c r="M3310" s="41" t="e">
        <f>VLOOKUP(I3310,错误mRNA总表!D:I,6,FALSE)</f>
        <v>#N/A</v>
      </c>
    </row>
    <row r="3311" spans="1:13" x14ac:dyDescent="0.2">
      <c r="A3311" s="12" t="s">
        <v>5568</v>
      </c>
      <c r="B3311" s="12" t="s">
        <v>3994</v>
      </c>
      <c r="C3311" s="12">
        <v>3475209</v>
      </c>
      <c r="D3311" s="12">
        <v>3478778</v>
      </c>
      <c r="E3311" s="12" t="s">
        <v>3940</v>
      </c>
      <c r="F3311" s="12">
        <v>3</v>
      </c>
      <c r="H3311" s="12" t="s">
        <v>3577</v>
      </c>
      <c r="I3311" s="41" t="s">
        <v>8147</v>
      </c>
      <c r="M3311" s="41" t="e">
        <f>VLOOKUP(I3311,错误mRNA总表!D:I,6,FALSE)</f>
        <v>#N/A</v>
      </c>
    </row>
    <row r="3312" spans="1:13" x14ac:dyDescent="0.2">
      <c r="A3312" s="12" t="s">
        <v>4331</v>
      </c>
      <c r="B3312" s="12" t="s">
        <v>3984</v>
      </c>
      <c r="C3312" s="12">
        <v>2427966</v>
      </c>
      <c r="D3312" s="12">
        <v>2429980</v>
      </c>
      <c r="E3312" s="12" t="s">
        <v>3943</v>
      </c>
      <c r="F3312" s="12">
        <v>3</v>
      </c>
      <c r="H3312" s="12" t="s">
        <v>5872</v>
      </c>
      <c r="I3312" s="41" t="s">
        <v>8148</v>
      </c>
      <c r="M3312" s="41" t="e">
        <f>VLOOKUP(I3312,错误mRNA总表!D:I,6,FALSE)</f>
        <v>#N/A</v>
      </c>
    </row>
    <row r="3313" spans="1:13" x14ac:dyDescent="0.2">
      <c r="A3313" s="12" t="s">
        <v>4331</v>
      </c>
      <c r="B3313" s="12" t="s">
        <v>3984</v>
      </c>
      <c r="C3313" s="12">
        <v>2427966</v>
      </c>
      <c r="D3313" s="12">
        <v>2430304</v>
      </c>
      <c r="E3313" s="12" t="s">
        <v>3940</v>
      </c>
      <c r="F3313" s="12">
        <v>1</v>
      </c>
      <c r="H3313" s="12" t="s">
        <v>5872</v>
      </c>
      <c r="I3313" s="41" t="s">
        <v>8148</v>
      </c>
      <c r="M3313" s="41" t="e">
        <f>VLOOKUP(I3313,错误mRNA总表!D:I,6,FALSE)</f>
        <v>#N/A</v>
      </c>
    </row>
    <row r="3314" spans="1:13" x14ac:dyDescent="0.2">
      <c r="A3314" s="12" t="s">
        <v>4331</v>
      </c>
      <c r="B3314" s="12" t="s">
        <v>3984</v>
      </c>
      <c r="C3314" s="12">
        <v>2427966</v>
      </c>
      <c r="D3314" s="12">
        <v>2430585</v>
      </c>
      <c r="E3314" s="12" t="s">
        <v>3943</v>
      </c>
      <c r="F3314" s="12">
        <v>3</v>
      </c>
      <c r="H3314" s="12" t="s">
        <v>5872</v>
      </c>
      <c r="I3314" s="41" t="s">
        <v>8148</v>
      </c>
      <c r="M3314" s="41" t="e">
        <f>VLOOKUP(I3314,错误mRNA总表!D:I,6,FALSE)</f>
        <v>#N/A</v>
      </c>
    </row>
    <row r="3315" spans="1:13" x14ac:dyDescent="0.2">
      <c r="A3315" s="12" t="s">
        <v>5154</v>
      </c>
      <c r="B3315" s="12" t="s">
        <v>4066</v>
      </c>
      <c r="C3315" s="12">
        <v>7033830</v>
      </c>
      <c r="D3315" s="12">
        <v>7035675</v>
      </c>
      <c r="E3315" s="12" t="s">
        <v>3943</v>
      </c>
      <c r="F3315" s="12">
        <v>1</v>
      </c>
      <c r="H3315" s="12" t="s">
        <v>3501</v>
      </c>
      <c r="I3315" s="41" t="s">
        <v>8149</v>
      </c>
      <c r="M3315" s="41" t="e">
        <f>VLOOKUP(I3315,错误mRNA总表!D:I,6,FALSE)</f>
        <v>#N/A</v>
      </c>
    </row>
    <row r="3316" spans="1:13" x14ac:dyDescent="0.2">
      <c r="A3316" s="12" t="s">
        <v>5569</v>
      </c>
      <c r="B3316" s="12" t="s">
        <v>4059</v>
      </c>
      <c r="C3316" s="12">
        <v>70576448</v>
      </c>
      <c r="D3316" s="12">
        <v>70917559</v>
      </c>
      <c r="E3316" s="12" t="s">
        <v>3940</v>
      </c>
      <c r="F3316" s="12">
        <v>1</v>
      </c>
      <c r="G3316" s="41" t="s">
        <v>175</v>
      </c>
      <c r="H3316" s="12" t="s">
        <v>6618</v>
      </c>
      <c r="I3316" s="41" t="s">
        <v>8150</v>
      </c>
      <c r="M3316" s="41" t="e">
        <f>VLOOKUP(I3316,错误mRNA总表!D:I,6,FALSE)</f>
        <v>#N/A</v>
      </c>
    </row>
    <row r="3317" spans="1:13" x14ac:dyDescent="0.2">
      <c r="A3317" s="12" t="s">
        <v>4295</v>
      </c>
      <c r="B3317" s="12" t="s">
        <v>3989</v>
      </c>
      <c r="C3317" s="12">
        <v>2959804</v>
      </c>
      <c r="D3317" s="12">
        <v>2959820</v>
      </c>
      <c r="E3317" s="12" t="s">
        <v>3943</v>
      </c>
      <c r="F3317" s="12">
        <v>5</v>
      </c>
      <c r="H3317" s="12" t="s">
        <v>3565</v>
      </c>
      <c r="I3317" s="41" t="s">
        <v>8151</v>
      </c>
      <c r="M3317" s="41" t="e">
        <f>VLOOKUP(I3317,错误mRNA总表!D:I,6,FALSE)</f>
        <v>#N/A</v>
      </c>
    </row>
    <row r="3318" spans="1:13" x14ac:dyDescent="0.2">
      <c r="A3318" s="12" t="s">
        <v>4295</v>
      </c>
      <c r="B3318" s="12" t="s">
        <v>3989</v>
      </c>
      <c r="C3318" s="12">
        <v>2959804</v>
      </c>
      <c r="D3318" s="12">
        <v>2960280</v>
      </c>
      <c r="E3318" s="12" t="s">
        <v>3943</v>
      </c>
      <c r="F3318" s="12">
        <v>1</v>
      </c>
      <c r="H3318" s="12" t="s">
        <v>3565</v>
      </c>
      <c r="I3318" s="41" t="s">
        <v>8151</v>
      </c>
      <c r="M3318" s="41" t="e">
        <f>VLOOKUP(I3318,错误mRNA总表!D:I,6,FALSE)</f>
        <v>#N/A</v>
      </c>
    </row>
    <row r="3319" spans="1:13" x14ac:dyDescent="0.2">
      <c r="A3319" s="12" t="s">
        <v>4295</v>
      </c>
      <c r="B3319" s="12" t="s">
        <v>3989</v>
      </c>
      <c r="C3319" s="12">
        <v>2959804</v>
      </c>
      <c r="D3319" s="12">
        <v>2960400</v>
      </c>
      <c r="E3319" s="12" t="s">
        <v>3940</v>
      </c>
      <c r="F3319" s="12">
        <v>1</v>
      </c>
      <c r="H3319" s="12" t="s">
        <v>3565</v>
      </c>
      <c r="I3319" s="41" t="s">
        <v>8151</v>
      </c>
      <c r="M3319" s="41" t="e">
        <f>VLOOKUP(I3319,错误mRNA总表!D:I,6,FALSE)</f>
        <v>#N/A</v>
      </c>
    </row>
    <row r="3320" spans="1:13" x14ac:dyDescent="0.2">
      <c r="A3320" s="12" t="s">
        <v>4361</v>
      </c>
      <c r="B3320" s="12" t="s">
        <v>3989</v>
      </c>
      <c r="C3320" s="12">
        <v>4697538</v>
      </c>
      <c r="D3320" s="12">
        <v>4702866</v>
      </c>
      <c r="E3320" s="12" t="s">
        <v>3940</v>
      </c>
      <c r="F3320" s="12">
        <v>1</v>
      </c>
      <c r="H3320" s="12" t="s">
        <v>5882</v>
      </c>
      <c r="I3320" s="41" t="s">
        <v>8152</v>
      </c>
      <c r="M3320" s="41" t="e">
        <f>VLOOKUP(I3320,错误mRNA总表!D:I,6,FALSE)</f>
        <v>#N/A</v>
      </c>
    </row>
    <row r="3321" spans="1:13" x14ac:dyDescent="0.2">
      <c r="A3321" s="12" t="s">
        <v>4885</v>
      </c>
      <c r="B3321" s="12" t="s">
        <v>3946</v>
      </c>
      <c r="C3321" s="12">
        <v>26698683</v>
      </c>
      <c r="D3321" s="12">
        <v>26699195</v>
      </c>
      <c r="E3321" s="12" t="s">
        <v>3940</v>
      </c>
      <c r="F3321" s="12">
        <v>1</v>
      </c>
      <c r="G3321" s="41" t="s">
        <v>47</v>
      </c>
      <c r="H3321" s="12" t="s">
        <v>1163</v>
      </c>
      <c r="I3321" s="41" t="s">
        <v>8153</v>
      </c>
      <c r="J3321" s="41" t="s">
        <v>3385</v>
      </c>
      <c r="K3321" s="41" t="str">
        <f>VLOOKUP(J3321,错误mRNA总表!D:J,7,FALSE)</f>
        <v>纠后正确，版本不一致，utr略有变化</v>
      </c>
      <c r="M3321" s="41" t="e">
        <f>VLOOKUP(I3321,错误mRNA总表!D:I,6,FALSE)</f>
        <v>#N/A</v>
      </c>
    </row>
    <row r="3322" spans="1:13" x14ac:dyDescent="0.2">
      <c r="A3322" s="12" t="s">
        <v>4885</v>
      </c>
      <c r="B3322" s="12" t="s">
        <v>3946</v>
      </c>
      <c r="C3322" s="12">
        <v>26698683</v>
      </c>
      <c r="D3322" s="12">
        <v>26699202</v>
      </c>
      <c r="E3322" s="12" t="s">
        <v>3940</v>
      </c>
      <c r="F3322" s="12">
        <v>1</v>
      </c>
      <c r="G3322" s="41" t="s">
        <v>47</v>
      </c>
      <c r="H3322" s="12" t="s">
        <v>1163</v>
      </c>
      <c r="I3322" s="41" t="s">
        <v>8153</v>
      </c>
      <c r="J3322" s="41" t="s">
        <v>3385</v>
      </c>
      <c r="K3322" s="41" t="str">
        <f>VLOOKUP(J3322,错误mRNA总表!D:J,7,FALSE)</f>
        <v>纠后正确，版本不一致，utr略有变化</v>
      </c>
      <c r="M3322" s="41" t="e">
        <f>VLOOKUP(I3322,错误mRNA总表!D:I,6,FALSE)</f>
        <v>#N/A</v>
      </c>
    </row>
    <row r="3323" spans="1:13" x14ac:dyDescent="0.2">
      <c r="A3323" s="12" t="s">
        <v>4885</v>
      </c>
      <c r="B3323" s="12" t="s">
        <v>3946</v>
      </c>
      <c r="C3323" s="12">
        <v>26698683</v>
      </c>
      <c r="D3323" s="12">
        <v>26699207</v>
      </c>
      <c r="E3323" s="12" t="s">
        <v>3943</v>
      </c>
      <c r="F3323" s="12">
        <v>1</v>
      </c>
      <c r="G3323" s="41" t="s">
        <v>47</v>
      </c>
      <c r="H3323" s="12" t="s">
        <v>1163</v>
      </c>
      <c r="I3323" s="41" t="s">
        <v>8153</v>
      </c>
      <c r="J3323" s="41" t="s">
        <v>3385</v>
      </c>
      <c r="K3323" s="41" t="str">
        <f>VLOOKUP(J3323,错误mRNA总表!D:J,7,FALSE)</f>
        <v>纠后正确，版本不一致，utr略有变化</v>
      </c>
      <c r="M3323" s="41" t="e">
        <f>VLOOKUP(I3323,错误mRNA总表!D:I,6,FALSE)</f>
        <v>#N/A</v>
      </c>
    </row>
    <row r="3324" spans="1:13" x14ac:dyDescent="0.2">
      <c r="A3324" s="12" t="s">
        <v>4885</v>
      </c>
      <c r="B3324" s="12" t="s">
        <v>3946</v>
      </c>
      <c r="C3324" s="12">
        <v>26698683</v>
      </c>
      <c r="D3324" s="12">
        <v>26699368</v>
      </c>
      <c r="E3324" s="12" t="s">
        <v>3940</v>
      </c>
      <c r="F3324" s="12">
        <v>1</v>
      </c>
      <c r="G3324" s="41" t="s">
        <v>47</v>
      </c>
      <c r="H3324" s="12" t="s">
        <v>1163</v>
      </c>
      <c r="I3324" s="41" t="s">
        <v>8153</v>
      </c>
      <c r="J3324" s="41" t="s">
        <v>3385</v>
      </c>
      <c r="K3324" s="41" t="str">
        <f>VLOOKUP(J3324,错误mRNA总表!D:J,7,FALSE)</f>
        <v>纠后正确，版本不一致，utr略有变化</v>
      </c>
      <c r="M3324" s="41" t="e">
        <f>VLOOKUP(I3324,错误mRNA总表!D:I,6,FALSE)</f>
        <v>#N/A</v>
      </c>
    </row>
    <row r="3325" spans="1:13" x14ac:dyDescent="0.2">
      <c r="A3325" s="12" t="s">
        <v>4885</v>
      </c>
      <c r="B3325" s="12" t="s">
        <v>3946</v>
      </c>
      <c r="C3325" s="12">
        <v>26698683</v>
      </c>
      <c r="D3325" s="12">
        <v>26724876</v>
      </c>
      <c r="E3325" s="12" t="s">
        <v>3940</v>
      </c>
      <c r="F3325" s="12">
        <v>3</v>
      </c>
      <c r="G3325" s="41" t="s">
        <v>47</v>
      </c>
      <c r="H3325" s="12" t="s">
        <v>1163</v>
      </c>
      <c r="I3325" s="41" t="s">
        <v>8153</v>
      </c>
      <c r="J3325" s="41" t="s">
        <v>3385</v>
      </c>
      <c r="K3325" s="41" t="str">
        <f>VLOOKUP(J3325,错误mRNA总表!D:J,7,FALSE)</f>
        <v>纠后正确，版本不一致，utr略有变化</v>
      </c>
      <c r="M3325" s="41" t="e">
        <f>VLOOKUP(I3325,错误mRNA总表!D:I,6,FALSE)</f>
        <v>#N/A</v>
      </c>
    </row>
    <row r="3326" spans="1:13" x14ac:dyDescent="0.2">
      <c r="A3326" s="12" t="s">
        <v>4885</v>
      </c>
      <c r="B3326" s="12" t="s">
        <v>3946</v>
      </c>
      <c r="C3326" s="12">
        <v>26698683</v>
      </c>
      <c r="D3326" s="12">
        <v>26727722</v>
      </c>
      <c r="E3326" s="12" t="s">
        <v>3943</v>
      </c>
      <c r="F3326" s="12">
        <v>1</v>
      </c>
      <c r="G3326" s="41" t="s">
        <v>47</v>
      </c>
      <c r="H3326" s="12" t="s">
        <v>1163</v>
      </c>
      <c r="I3326" s="41" t="s">
        <v>8153</v>
      </c>
      <c r="J3326" s="41" t="s">
        <v>3385</v>
      </c>
      <c r="K3326" s="41" t="str">
        <f>VLOOKUP(J3326,错误mRNA总表!D:J,7,FALSE)</f>
        <v>纠后正确，版本不一致，utr略有变化</v>
      </c>
      <c r="M3326" s="41" t="e">
        <f>VLOOKUP(I3326,错误mRNA总表!D:I,6,FALSE)</f>
        <v>#N/A</v>
      </c>
    </row>
    <row r="3327" spans="1:13" x14ac:dyDescent="0.2">
      <c r="A3327" s="12" t="s">
        <v>5570</v>
      </c>
      <c r="B3327" s="12" t="s">
        <v>3946</v>
      </c>
      <c r="C3327" s="12">
        <v>46103533</v>
      </c>
      <c r="D3327" s="12">
        <v>46115072</v>
      </c>
      <c r="E3327" s="12" t="s">
        <v>3940</v>
      </c>
      <c r="F3327" s="12">
        <v>1</v>
      </c>
      <c r="G3327" s="41" t="s">
        <v>47</v>
      </c>
      <c r="H3327" s="12" t="s">
        <v>62</v>
      </c>
      <c r="I3327" s="41" t="s">
        <v>2088</v>
      </c>
      <c r="J3327" s="41" t="s">
        <v>2088</v>
      </c>
      <c r="K3327" s="41" t="str">
        <f>VLOOKUP(J3327,错误mRNA总表!D:J,7,FALSE)</f>
        <v>纠后正确</v>
      </c>
      <c r="L3327" s="41" t="s">
        <v>3763</v>
      </c>
      <c r="M3327" s="41">
        <f>VLOOKUP(I3327,错误mRNA总表!D:I,6,FALSE)</f>
        <v>0</v>
      </c>
    </row>
    <row r="3328" spans="1:13" x14ac:dyDescent="0.2">
      <c r="A3328" s="12" t="s">
        <v>5570</v>
      </c>
      <c r="B3328" s="12" t="s">
        <v>3946</v>
      </c>
      <c r="C3328" s="12">
        <v>46103533</v>
      </c>
      <c r="D3328" s="12">
        <v>46115084</v>
      </c>
      <c r="E3328" s="12" t="s">
        <v>3940</v>
      </c>
      <c r="F3328" s="12">
        <v>2</v>
      </c>
      <c r="G3328" s="41" t="s">
        <v>47</v>
      </c>
      <c r="H3328" s="12" t="s">
        <v>62</v>
      </c>
      <c r="I3328" s="41" t="s">
        <v>2088</v>
      </c>
      <c r="J3328" s="41" t="s">
        <v>2088</v>
      </c>
      <c r="K3328" s="41" t="str">
        <f>VLOOKUP(J3328,错误mRNA总表!D:J,7,FALSE)</f>
        <v>纠后正确</v>
      </c>
      <c r="L3328" s="41" t="s">
        <v>3763</v>
      </c>
      <c r="M3328" s="41">
        <f>VLOOKUP(I3328,错误mRNA总表!D:I,6,FALSE)</f>
        <v>0</v>
      </c>
    </row>
    <row r="3329" spans="1:13" x14ac:dyDescent="0.2">
      <c r="A3329" s="12" t="s">
        <v>5570</v>
      </c>
      <c r="B3329" s="12" t="s">
        <v>3946</v>
      </c>
      <c r="C3329" s="12">
        <v>46103533</v>
      </c>
      <c r="D3329" s="12">
        <v>46115122</v>
      </c>
      <c r="E3329" s="12" t="s">
        <v>3940</v>
      </c>
      <c r="F3329" s="12">
        <v>1</v>
      </c>
      <c r="G3329" s="41" t="s">
        <v>47</v>
      </c>
      <c r="H3329" s="12" t="s">
        <v>62</v>
      </c>
      <c r="I3329" s="41" t="s">
        <v>2088</v>
      </c>
      <c r="J3329" s="41" t="s">
        <v>2088</v>
      </c>
      <c r="K3329" s="41" t="str">
        <f>VLOOKUP(J3329,错误mRNA总表!D:J,7,FALSE)</f>
        <v>纠后正确</v>
      </c>
      <c r="L3329" s="41" t="s">
        <v>3763</v>
      </c>
      <c r="M3329" s="41">
        <f>VLOOKUP(I3329,错误mRNA总表!D:I,6,FALSE)</f>
        <v>0</v>
      </c>
    </row>
    <row r="3330" spans="1:13" x14ac:dyDescent="0.2">
      <c r="A3330" s="12" t="s">
        <v>5571</v>
      </c>
      <c r="B3330" s="12" t="s">
        <v>4049</v>
      </c>
      <c r="C3330" s="12">
        <v>275660</v>
      </c>
      <c r="D3330" s="12">
        <v>336730</v>
      </c>
      <c r="E3330" s="12" t="s">
        <v>3940</v>
      </c>
      <c r="F3330" s="12">
        <v>2</v>
      </c>
      <c r="H3330" s="12" t="s">
        <v>3516</v>
      </c>
      <c r="I3330" s="41" t="s">
        <v>8154</v>
      </c>
      <c r="M3330" s="41" t="e">
        <f>VLOOKUP(I3330,错误mRNA总表!D:I,6,FALSE)</f>
        <v>#N/A</v>
      </c>
    </row>
    <row r="3331" spans="1:13" x14ac:dyDescent="0.2">
      <c r="A3331" s="12" t="s">
        <v>5571</v>
      </c>
      <c r="B3331" s="12" t="s">
        <v>4049</v>
      </c>
      <c r="C3331" s="12">
        <v>275660</v>
      </c>
      <c r="D3331" s="12">
        <v>338223</v>
      </c>
      <c r="E3331" s="12" t="s">
        <v>3943</v>
      </c>
      <c r="F3331" s="12">
        <v>5</v>
      </c>
      <c r="H3331" s="12" t="s">
        <v>3516</v>
      </c>
      <c r="I3331" s="41" t="s">
        <v>8154</v>
      </c>
      <c r="M3331" s="41" t="e">
        <f>VLOOKUP(I3331,错误mRNA总表!D:I,6,FALSE)</f>
        <v>#N/A</v>
      </c>
    </row>
    <row r="3332" spans="1:13" x14ac:dyDescent="0.2">
      <c r="A3332" s="12" t="s">
        <v>5571</v>
      </c>
      <c r="B3332" s="12" t="s">
        <v>4049</v>
      </c>
      <c r="C3332" s="12">
        <v>275660</v>
      </c>
      <c r="D3332" s="12">
        <v>338387</v>
      </c>
      <c r="E3332" s="12" t="s">
        <v>3940</v>
      </c>
      <c r="F3332" s="12">
        <v>1</v>
      </c>
      <c r="H3332" s="12" t="s">
        <v>3516</v>
      </c>
      <c r="I3332" s="41" t="s">
        <v>8154</v>
      </c>
      <c r="M3332" s="41" t="e">
        <f>VLOOKUP(I3332,错误mRNA总表!D:I,6,FALSE)</f>
        <v>#N/A</v>
      </c>
    </row>
    <row r="3333" spans="1:13" x14ac:dyDescent="0.2">
      <c r="A3333" s="12" t="s">
        <v>5571</v>
      </c>
      <c r="B3333" s="12" t="s">
        <v>4049</v>
      </c>
      <c r="C3333" s="12">
        <v>275660</v>
      </c>
      <c r="D3333" s="12">
        <v>340287</v>
      </c>
      <c r="E3333" s="12" t="s">
        <v>3943</v>
      </c>
      <c r="F3333" s="12">
        <v>1</v>
      </c>
      <c r="H3333" s="12" t="s">
        <v>3516</v>
      </c>
      <c r="I3333" s="41" t="s">
        <v>8154</v>
      </c>
      <c r="M3333" s="41" t="e">
        <f>VLOOKUP(I3333,错误mRNA总表!D:I,6,FALSE)</f>
        <v>#N/A</v>
      </c>
    </row>
    <row r="3334" spans="1:13" x14ac:dyDescent="0.2">
      <c r="A3334" s="12" t="s">
        <v>5572</v>
      </c>
      <c r="B3334" s="12" t="s">
        <v>3946</v>
      </c>
      <c r="C3334" s="12">
        <v>34868917</v>
      </c>
      <c r="D3334" s="12">
        <v>34891039</v>
      </c>
      <c r="E3334" s="12" t="s">
        <v>3943</v>
      </c>
      <c r="F3334" s="12">
        <v>21</v>
      </c>
      <c r="G3334" s="41" t="s">
        <v>47</v>
      </c>
      <c r="H3334" s="12" t="s">
        <v>3631</v>
      </c>
      <c r="I3334" s="41" t="s">
        <v>8155</v>
      </c>
      <c r="M3334" s="41" t="e">
        <f>VLOOKUP(I3334,错误mRNA总表!D:I,6,FALSE)</f>
        <v>#N/A</v>
      </c>
    </row>
    <row r="3335" spans="1:13" x14ac:dyDescent="0.2">
      <c r="A3335" s="12" t="s">
        <v>4849</v>
      </c>
      <c r="B3335" s="12" t="s">
        <v>4061</v>
      </c>
      <c r="C3335" s="12">
        <v>507059</v>
      </c>
      <c r="D3335" s="12">
        <v>519731</v>
      </c>
      <c r="E3335" s="12" t="s">
        <v>3940</v>
      </c>
      <c r="F3335" s="12">
        <v>76</v>
      </c>
      <c r="H3335" s="12" t="s">
        <v>6048</v>
      </c>
      <c r="I3335" s="41" t="s">
        <v>8156</v>
      </c>
      <c r="M3335" s="41" t="e">
        <f>VLOOKUP(I3335,错误mRNA总表!D:I,6,FALSE)</f>
        <v>#N/A</v>
      </c>
    </row>
    <row r="3336" spans="1:13" x14ac:dyDescent="0.2">
      <c r="A3336" s="12" t="s">
        <v>4849</v>
      </c>
      <c r="B3336" s="12" t="s">
        <v>4061</v>
      </c>
      <c r="C3336" s="12">
        <v>507059</v>
      </c>
      <c r="D3336" s="12">
        <v>519664</v>
      </c>
      <c r="E3336" s="12" t="s">
        <v>3940</v>
      </c>
      <c r="F3336" s="12">
        <v>3</v>
      </c>
      <c r="H3336" s="12" t="s">
        <v>6048</v>
      </c>
      <c r="I3336" s="41" t="s">
        <v>8156</v>
      </c>
      <c r="M3336" s="41" t="e">
        <f>VLOOKUP(I3336,错误mRNA总表!D:I,6,FALSE)</f>
        <v>#N/A</v>
      </c>
    </row>
    <row r="3337" spans="1:13" x14ac:dyDescent="0.2">
      <c r="A3337" s="12" t="s">
        <v>4213</v>
      </c>
      <c r="B3337" s="12" t="s">
        <v>4061</v>
      </c>
      <c r="C3337" s="12">
        <v>210960</v>
      </c>
      <c r="D3337" s="12">
        <v>254880</v>
      </c>
      <c r="E3337" s="12" t="s">
        <v>3940</v>
      </c>
      <c r="F3337" s="12">
        <v>3</v>
      </c>
      <c r="H3337" s="12" t="s">
        <v>6388</v>
      </c>
      <c r="I3337" s="41" t="s">
        <v>8157</v>
      </c>
      <c r="M3337" s="41" t="e">
        <f>VLOOKUP(I3337,错误mRNA总表!D:I,6,FALSE)</f>
        <v>#N/A</v>
      </c>
    </row>
    <row r="3338" spans="1:13" x14ac:dyDescent="0.2">
      <c r="A3338" s="12" t="s">
        <v>5027</v>
      </c>
      <c r="B3338" s="12" t="s">
        <v>4001</v>
      </c>
      <c r="C3338" s="12">
        <v>2168105</v>
      </c>
      <c r="D3338" s="12">
        <v>2168855</v>
      </c>
      <c r="E3338" s="12" t="s">
        <v>3940</v>
      </c>
      <c r="F3338" s="12">
        <v>1</v>
      </c>
      <c r="H3338" s="12" t="s">
        <v>6113</v>
      </c>
      <c r="I3338" s="41" t="s">
        <v>8158</v>
      </c>
      <c r="M3338" s="41" t="e">
        <f>VLOOKUP(I3338,错误mRNA总表!D:I,6,FALSE)</f>
        <v>#N/A</v>
      </c>
    </row>
    <row r="3339" spans="1:13" x14ac:dyDescent="0.2">
      <c r="A3339" s="12" t="s">
        <v>5027</v>
      </c>
      <c r="B3339" s="12" t="s">
        <v>4001</v>
      </c>
      <c r="C3339" s="12">
        <v>2168105</v>
      </c>
      <c r="D3339" s="12">
        <v>2168864</v>
      </c>
      <c r="E3339" s="12" t="s">
        <v>3943</v>
      </c>
      <c r="F3339" s="12">
        <v>2</v>
      </c>
      <c r="H3339" s="12" t="s">
        <v>6113</v>
      </c>
      <c r="I3339" s="41" t="s">
        <v>8158</v>
      </c>
      <c r="M3339" s="41" t="e">
        <f>VLOOKUP(I3339,错误mRNA总表!D:I,6,FALSE)</f>
        <v>#N/A</v>
      </c>
    </row>
    <row r="3340" spans="1:13" x14ac:dyDescent="0.2">
      <c r="A3340" s="12" t="s">
        <v>5265</v>
      </c>
      <c r="B3340" s="12" t="s">
        <v>5573</v>
      </c>
      <c r="C3340" s="12">
        <v>132378</v>
      </c>
      <c r="D3340" s="12">
        <v>133481</v>
      </c>
      <c r="E3340" s="12" t="s">
        <v>3943</v>
      </c>
      <c r="F3340" s="12">
        <v>2</v>
      </c>
      <c r="H3340" s="12" t="s">
        <v>531</v>
      </c>
      <c r="I3340" s="41" t="s">
        <v>8159</v>
      </c>
      <c r="J3340" s="41" t="s">
        <v>2236</v>
      </c>
      <c r="K3340" s="41" t="str">
        <f>VLOOKUP(J3340,错误mRNA总表!D:J,7,FALSE)</f>
        <v>纠后正确，少2个氨基酸chr3:53321601-53324874</v>
      </c>
      <c r="M3340" s="41" t="e">
        <f>VLOOKUP(I3340,错误mRNA总表!D:I,6,FALSE)</f>
        <v>#N/A</v>
      </c>
    </row>
    <row r="3341" spans="1:13" x14ac:dyDescent="0.2">
      <c r="A3341" s="12" t="s">
        <v>4924</v>
      </c>
      <c r="B3341" s="12" t="s">
        <v>3969</v>
      </c>
      <c r="C3341" s="12">
        <v>2245620</v>
      </c>
      <c r="D3341" s="12">
        <v>2248461</v>
      </c>
      <c r="E3341" s="12" t="s">
        <v>3940</v>
      </c>
      <c r="F3341" s="12">
        <v>90</v>
      </c>
      <c r="H3341" s="12" t="s">
        <v>6078</v>
      </c>
      <c r="I3341" s="41" t="s">
        <v>8160</v>
      </c>
      <c r="M3341" s="41" t="e">
        <f>VLOOKUP(I3341,错误mRNA总表!D:I,6,FALSE)</f>
        <v>#N/A</v>
      </c>
    </row>
    <row r="3342" spans="1:13" x14ac:dyDescent="0.2">
      <c r="A3342" s="12" t="s">
        <v>5574</v>
      </c>
      <c r="B3342" s="12" t="s">
        <v>3939</v>
      </c>
      <c r="C3342" s="12">
        <v>103031721</v>
      </c>
      <c r="D3342" s="12">
        <v>103046530</v>
      </c>
      <c r="E3342" s="12" t="s">
        <v>3943</v>
      </c>
      <c r="F3342" s="12">
        <v>1</v>
      </c>
      <c r="G3342" s="41" t="s">
        <v>73</v>
      </c>
      <c r="H3342" s="12" t="s">
        <v>6596</v>
      </c>
      <c r="I3342" s="41" t="s">
        <v>8161</v>
      </c>
      <c r="M3342" s="41" t="e">
        <f>VLOOKUP(I3342,错误mRNA总表!D:I,6,FALSE)</f>
        <v>#N/A</v>
      </c>
    </row>
    <row r="3343" spans="1:13" x14ac:dyDescent="0.2">
      <c r="A3343" s="12" t="s">
        <v>5575</v>
      </c>
      <c r="B3343" s="12" t="s">
        <v>4052</v>
      </c>
      <c r="C3343" s="12">
        <v>102505468</v>
      </c>
      <c r="D3343" s="12">
        <v>102587331</v>
      </c>
      <c r="E3343" s="12" t="s">
        <v>3943</v>
      </c>
      <c r="F3343" s="12">
        <v>3</v>
      </c>
      <c r="G3343" s="41" t="s">
        <v>93</v>
      </c>
      <c r="H3343" s="12" t="s">
        <v>891</v>
      </c>
      <c r="I3343" s="41" t="s">
        <v>2262</v>
      </c>
      <c r="J3343" s="41" t="s">
        <v>2262</v>
      </c>
      <c r="K3343" s="41" t="str">
        <f>VLOOKUP(J3343,错误mRNA总表!D:J,7,FALSE)</f>
        <v>纠后正确，少1个氨基酸chr10:102587349-102587376</v>
      </c>
      <c r="L3343" s="41" t="s">
        <v>8342</v>
      </c>
      <c r="M3343" s="41">
        <f>VLOOKUP(I3343,错误mRNA总表!D:I,6,FALSE)</f>
        <v>0</v>
      </c>
    </row>
    <row r="3344" spans="1:13" x14ac:dyDescent="0.2">
      <c r="A3344" s="12" t="s">
        <v>5576</v>
      </c>
      <c r="B3344" s="12" t="s">
        <v>4115</v>
      </c>
      <c r="C3344" s="12">
        <v>95218487</v>
      </c>
      <c r="D3344" s="12">
        <v>95237024</v>
      </c>
      <c r="E3344" s="12" t="s">
        <v>3943</v>
      </c>
      <c r="F3344" s="12">
        <v>3</v>
      </c>
      <c r="G3344" s="41" t="s">
        <v>33</v>
      </c>
      <c r="H3344" s="12" t="s">
        <v>822</v>
      </c>
      <c r="I3344" s="41" t="s">
        <v>2259</v>
      </c>
      <c r="J3344" s="41" t="s">
        <v>2259</v>
      </c>
      <c r="K3344" s="41" t="str">
        <f>VLOOKUP(J3344,错误mRNA总表!D:J,7,FALSE)</f>
        <v>纠后正确，少1个氨基酸chr9：95227244-95237086</v>
      </c>
      <c r="L3344" s="41" t="s">
        <v>8358</v>
      </c>
      <c r="M3344" s="41">
        <f>VLOOKUP(I3344,错误mRNA总表!D:I,6,FALSE)</f>
        <v>0</v>
      </c>
    </row>
    <row r="3345" spans="1:13" x14ac:dyDescent="0.2">
      <c r="A3345" s="12" t="s">
        <v>5577</v>
      </c>
      <c r="B3345" s="12" t="s">
        <v>5578</v>
      </c>
      <c r="C3345" s="12">
        <v>1457</v>
      </c>
      <c r="D3345" s="12">
        <v>42528</v>
      </c>
      <c r="E3345" s="12" t="s">
        <v>3940</v>
      </c>
      <c r="F3345" s="12">
        <v>1</v>
      </c>
      <c r="H3345" s="12" t="s">
        <v>6288</v>
      </c>
      <c r="I3345" s="41" t="s">
        <v>8162</v>
      </c>
      <c r="M3345" s="41" t="e">
        <f>VLOOKUP(I3345,错误mRNA总表!D:I,6,FALSE)</f>
        <v>#N/A</v>
      </c>
    </row>
    <row r="3346" spans="1:13" x14ac:dyDescent="0.2">
      <c r="A3346" s="12" t="s">
        <v>5577</v>
      </c>
      <c r="B3346" s="12" t="s">
        <v>5578</v>
      </c>
      <c r="C3346" s="12">
        <v>1457</v>
      </c>
      <c r="D3346" s="12">
        <v>42544</v>
      </c>
      <c r="E3346" s="12" t="s">
        <v>3943</v>
      </c>
      <c r="F3346" s="12">
        <v>3</v>
      </c>
      <c r="H3346" s="12" t="s">
        <v>6288</v>
      </c>
      <c r="I3346" s="41" t="s">
        <v>8162</v>
      </c>
      <c r="M3346" s="41" t="e">
        <f>VLOOKUP(I3346,错误mRNA总表!D:I,6,FALSE)</f>
        <v>#N/A</v>
      </c>
    </row>
    <row r="3347" spans="1:13" x14ac:dyDescent="0.2">
      <c r="A3347" s="12" t="s">
        <v>5579</v>
      </c>
      <c r="B3347" s="12" t="s">
        <v>4052</v>
      </c>
      <c r="C3347" s="12">
        <v>116853124</v>
      </c>
      <c r="D3347" s="12">
        <v>116931102</v>
      </c>
      <c r="E3347" s="12" t="s">
        <v>3940</v>
      </c>
      <c r="F3347" s="12">
        <v>2</v>
      </c>
      <c r="G3347" s="41" t="s">
        <v>93</v>
      </c>
      <c r="H3347" s="12" t="s">
        <v>6289</v>
      </c>
      <c r="I3347" s="41" t="s">
        <v>7968</v>
      </c>
      <c r="M3347" s="41" t="e">
        <f>VLOOKUP(I3347,错误mRNA总表!D:I,6,FALSE)</f>
        <v>#N/A</v>
      </c>
    </row>
    <row r="3348" spans="1:13" x14ac:dyDescent="0.2">
      <c r="A3348" s="12" t="s">
        <v>5580</v>
      </c>
      <c r="B3348" s="12" t="s">
        <v>4052</v>
      </c>
      <c r="C3348" s="12">
        <v>133747957</v>
      </c>
      <c r="D3348" s="12">
        <v>133747958</v>
      </c>
      <c r="E3348" s="12" t="s">
        <v>3943</v>
      </c>
      <c r="F3348" s="12">
        <v>1</v>
      </c>
      <c r="G3348" s="41" t="s">
        <v>93</v>
      </c>
      <c r="H3348" s="12" t="s">
        <v>6290</v>
      </c>
      <c r="I3348" s="41" t="s">
        <v>7866</v>
      </c>
      <c r="M3348" s="41" t="e">
        <f>VLOOKUP(I3348,错误mRNA总表!D:I,6,FALSE)</f>
        <v>#N/A</v>
      </c>
    </row>
    <row r="3349" spans="1:13" x14ac:dyDescent="0.2">
      <c r="A3349" s="12" t="s">
        <v>5581</v>
      </c>
      <c r="B3349" s="12" t="s">
        <v>4042</v>
      </c>
      <c r="C3349" s="12">
        <v>101844133</v>
      </c>
      <c r="D3349" s="12">
        <v>102029685</v>
      </c>
      <c r="E3349" s="12" t="s">
        <v>3940</v>
      </c>
      <c r="F3349" s="12">
        <v>2</v>
      </c>
      <c r="G3349" s="41" t="s">
        <v>113</v>
      </c>
      <c r="H3349" s="12" t="s">
        <v>6291</v>
      </c>
      <c r="I3349" s="41" t="s">
        <v>8163</v>
      </c>
      <c r="M3349" s="41" t="e">
        <f>VLOOKUP(I3349,错误mRNA总表!D:I,6,FALSE)</f>
        <v>#N/A</v>
      </c>
    </row>
    <row r="3350" spans="1:13" x14ac:dyDescent="0.2">
      <c r="A3350" s="12" t="s">
        <v>5582</v>
      </c>
      <c r="B3350" s="12" t="s">
        <v>4107</v>
      </c>
      <c r="C3350" s="12">
        <v>1292861</v>
      </c>
      <c r="D3350" s="12">
        <v>1308746</v>
      </c>
      <c r="E3350" s="12" t="s">
        <v>3940</v>
      </c>
      <c r="F3350" s="12">
        <v>116</v>
      </c>
      <c r="H3350" s="12" t="s">
        <v>3681</v>
      </c>
      <c r="I3350" s="41" t="s">
        <v>8164</v>
      </c>
      <c r="M3350" s="41" t="e">
        <f>VLOOKUP(I3350,错误mRNA总表!D:I,6,FALSE)</f>
        <v>#N/A</v>
      </c>
    </row>
    <row r="3351" spans="1:13" x14ac:dyDescent="0.2">
      <c r="A3351" s="12" t="s">
        <v>5583</v>
      </c>
      <c r="B3351" s="12" t="s">
        <v>3973</v>
      </c>
      <c r="C3351" s="12">
        <v>150266262</v>
      </c>
      <c r="D3351" s="12">
        <v>150281120</v>
      </c>
      <c r="E3351" s="12" t="s">
        <v>3943</v>
      </c>
      <c r="F3351" s="12">
        <v>1</v>
      </c>
      <c r="G3351" s="41" t="s">
        <v>139</v>
      </c>
      <c r="H3351" s="12" t="s">
        <v>3504</v>
      </c>
      <c r="I3351" s="41" t="s">
        <v>8165</v>
      </c>
      <c r="M3351" s="41" t="e">
        <f>VLOOKUP(I3351,错误mRNA总表!D:I,6,FALSE)</f>
        <v>#N/A</v>
      </c>
    </row>
    <row r="3352" spans="1:13" x14ac:dyDescent="0.2">
      <c r="A3352" s="12" t="s">
        <v>5584</v>
      </c>
      <c r="B3352" s="12" t="s">
        <v>4773</v>
      </c>
      <c r="C3352" s="12">
        <v>313367</v>
      </c>
      <c r="D3352" s="12">
        <v>313844</v>
      </c>
      <c r="E3352" s="12" t="s">
        <v>3943</v>
      </c>
      <c r="F3352" s="12">
        <v>1</v>
      </c>
      <c r="H3352" s="12" t="s">
        <v>3468</v>
      </c>
      <c r="I3352" s="41" t="s">
        <v>8166</v>
      </c>
      <c r="M3352" s="41" t="e">
        <f>VLOOKUP(I3352,错误mRNA总表!D:I,6,FALSE)</f>
        <v>#N/A</v>
      </c>
    </row>
    <row r="3353" spans="1:13" x14ac:dyDescent="0.2">
      <c r="A3353" s="12" t="s">
        <v>4620</v>
      </c>
      <c r="B3353" s="12" t="s">
        <v>4004</v>
      </c>
      <c r="C3353" s="12">
        <v>2387219</v>
      </c>
      <c r="D3353" s="12">
        <v>2532354</v>
      </c>
      <c r="E3353" s="12" t="s">
        <v>3943</v>
      </c>
      <c r="F3353" s="12">
        <v>1</v>
      </c>
      <c r="G3353" s="41" t="s">
        <v>103</v>
      </c>
      <c r="H3353" s="12" t="s">
        <v>5962</v>
      </c>
      <c r="I3353" s="41" t="s">
        <v>8167</v>
      </c>
      <c r="M3353" s="41" t="e">
        <f>VLOOKUP(I3353,错误mRNA总表!D:I,6,FALSE)</f>
        <v>#N/A</v>
      </c>
    </row>
    <row r="3354" spans="1:13" x14ac:dyDescent="0.2">
      <c r="A3354" s="12" t="s">
        <v>5585</v>
      </c>
      <c r="B3354" s="12" t="s">
        <v>3986</v>
      </c>
      <c r="C3354" s="12">
        <v>50922195</v>
      </c>
      <c r="D3354" s="12">
        <v>50931797</v>
      </c>
      <c r="E3354" s="12" t="s">
        <v>3940</v>
      </c>
      <c r="F3354" s="12">
        <v>1</v>
      </c>
      <c r="G3354" s="41" t="s">
        <v>50</v>
      </c>
      <c r="H3354" s="12" t="s">
        <v>6292</v>
      </c>
      <c r="I3354" s="41" t="s">
        <v>8168</v>
      </c>
      <c r="M3354" s="41" t="e">
        <f>VLOOKUP(I3354,错误mRNA总表!D:I,6,FALSE)</f>
        <v>#N/A</v>
      </c>
    </row>
    <row r="3355" spans="1:13" x14ac:dyDescent="0.2">
      <c r="A3355" s="12" t="s">
        <v>5107</v>
      </c>
      <c r="B3355" s="12" t="s">
        <v>4055</v>
      </c>
      <c r="C3355" s="12">
        <v>80838126</v>
      </c>
      <c r="D3355" s="12">
        <v>80839498</v>
      </c>
      <c r="E3355" s="12" t="s">
        <v>3940</v>
      </c>
      <c r="F3355" s="12">
        <v>28</v>
      </c>
      <c r="G3355" s="41" t="s">
        <v>212</v>
      </c>
      <c r="H3355" s="12" t="s">
        <v>1041</v>
      </c>
      <c r="I3355" s="41" t="s">
        <v>3371</v>
      </c>
      <c r="J3355" s="41" t="s">
        <v>3371</v>
      </c>
      <c r="K3355" s="41" t="str">
        <f>VLOOKUP(J3355,错误mRNA总表!D:J,7,FALSE)</f>
        <v>多149个氨基酸，但rs号是多152个（rs370185461）chr7:139257673-139316492</v>
      </c>
      <c r="L3355" s="41" t="s">
        <v>8368</v>
      </c>
      <c r="M3355" s="41">
        <f>VLOOKUP(I3355,错误mRNA总表!D:I,6,FALSE)</f>
        <v>0</v>
      </c>
    </row>
    <row r="3356" spans="1:13" x14ac:dyDescent="0.2">
      <c r="A3356" s="12" t="s">
        <v>5107</v>
      </c>
      <c r="B3356" s="12" t="s">
        <v>4055</v>
      </c>
      <c r="C3356" s="12">
        <v>80838126</v>
      </c>
      <c r="D3356" s="12">
        <v>80840843</v>
      </c>
      <c r="E3356" s="12" t="s">
        <v>3940</v>
      </c>
      <c r="F3356" s="12">
        <v>96</v>
      </c>
      <c r="G3356" s="41" t="s">
        <v>212</v>
      </c>
      <c r="H3356" s="12" t="s">
        <v>1041</v>
      </c>
      <c r="I3356" s="41" t="s">
        <v>3371</v>
      </c>
      <c r="J3356" s="41" t="s">
        <v>3371</v>
      </c>
      <c r="K3356" s="41" t="str">
        <f>VLOOKUP(J3356,错误mRNA总表!D:J,7,FALSE)</f>
        <v>多149个氨基酸，但rs号是多152个（rs370185461）chr7:139257673-139316492</v>
      </c>
      <c r="L3356" s="41" t="s">
        <v>8368</v>
      </c>
      <c r="M3356" s="41">
        <f>VLOOKUP(I3356,错误mRNA总表!D:I,6,FALSE)</f>
        <v>0</v>
      </c>
    </row>
    <row r="3357" spans="1:13" x14ac:dyDescent="0.2">
      <c r="A3357" s="12" t="s">
        <v>5107</v>
      </c>
      <c r="B3357" s="12" t="s">
        <v>4055</v>
      </c>
      <c r="C3357" s="12">
        <v>80838126</v>
      </c>
      <c r="D3357" s="12">
        <v>80840810</v>
      </c>
      <c r="E3357" s="12" t="s">
        <v>3943</v>
      </c>
      <c r="F3357" s="12">
        <v>1</v>
      </c>
      <c r="G3357" s="41" t="s">
        <v>212</v>
      </c>
      <c r="H3357" s="12" t="s">
        <v>1041</v>
      </c>
      <c r="I3357" s="41" t="s">
        <v>3371</v>
      </c>
      <c r="J3357" s="41" t="s">
        <v>3371</v>
      </c>
      <c r="K3357" s="41" t="str">
        <f>VLOOKUP(J3357,错误mRNA总表!D:J,7,FALSE)</f>
        <v>多149个氨基酸，但rs号是多152个（rs370185461）chr7:139257673-139316492</v>
      </c>
      <c r="L3357" s="41" t="s">
        <v>8368</v>
      </c>
      <c r="M3357" s="41">
        <f>VLOOKUP(I3357,错误mRNA总表!D:I,6,FALSE)</f>
        <v>0</v>
      </c>
    </row>
    <row r="3358" spans="1:13" x14ac:dyDescent="0.2">
      <c r="A3358" s="12" t="s">
        <v>5107</v>
      </c>
      <c r="B3358" s="12" t="s">
        <v>4055</v>
      </c>
      <c r="C3358" s="12">
        <v>80838126</v>
      </c>
      <c r="D3358" s="12">
        <v>80840825</v>
      </c>
      <c r="E3358" s="12" t="s">
        <v>3943</v>
      </c>
      <c r="F3358" s="12">
        <v>1</v>
      </c>
      <c r="G3358" s="41" t="s">
        <v>212</v>
      </c>
      <c r="H3358" s="12" t="s">
        <v>1041</v>
      </c>
      <c r="I3358" s="41" t="s">
        <v>3371</v>
      </c>
      <c r="J3358" s="41" t="s">
        <v>3371</v>
      </c>
      <c r="K3358" s="41" t="str">
        <f>VLOOKUP(J3358,错误mRNA总表!D:J,7,FALSE)</f>
        <v>多149个氨基酸，但rs号是多152个（rs370185461）chr7:139257673-139316492</v>
      </c>
      <c r="L3358" s="41" t="s">
        <v>8368</v>
      </c>
      <c r="M3358" s="41">
        <f>VLOOKUP(I3358,错误mRNA总表!D:I,6,FALSE)</f>
        <v>0</v>
      </c>
    </row>
    <row r="3359" spans="1:13" x14ac:dyDescent="0.2">
      <c r="A3359" s="12" t="s">
        <v>5107</v>
      </c>
      <c r="B3359" s="12" t="s">
        <v>4055</v>
      </c>
      <c r="C3359" s="12">
        <v>80838126</v>
      </c>
      <c r="D3359" s="12">
        <v>80840830</v>
      </c>
      <c r="E3359" s="12" t="s">
        <v>3943</v>
      </c>
      <c r="F3359" s="12">
        <v>3</v>
      </c>
      <c r="G3359" s="41" t="s">
        <v>212</v>
      </c>
      <c r="H3359" s="12" t="s">
        <v>1041</v>
      </c>
      <c r="I3359" s="41" t="s">
        <v>3371</v>
      </c>
      <c r="J3359" s="41" t="s">
        <v>3371</v>
      </c>
      <c r="K3359" s="41" t="str">
        <f>VLOOKUP(J3359,错误mRNA总表!D:J,7,FALSE)</f>
        <v>多149个氨基酸，但rs号是多152个（rs370185461）chr7:139257673-139316492</v>
      </c>
      <c r="L3359" s="41" t="s">
        <v>8368</v>
      </c>
      <c r="M3359" s="41">
        <f>VLOOKUP(I3359,错误mRNA总表!D:I,6,FALSE)</f>
        <v>0</v>
      </c>
    </row>
    <row r="3360" spans="1:13" x14ac:dyDescent="0.2">
      <c r="A3360" s="12" t="s">
        <v>5107</v>
      </c>
      <c r="B3360" s="12" t="s">
        <v>4055</v>
      </c>
      <c r="C3360" s="12">
        <v>80838126</v>
      </c>
      <c r="D3360" s="12">
        <v>80849321</v>
      </c>
      <c r="E3360" s="12" t="s">
        <v>3940</v>
      </c>
      <c r="F3360" s="12">
        <v>256</v>
      </c>
      <c r="G3360" s="41" t="s">
        <v>212</v>
      </c>
      <c r="H3360" s="12" t="s">
        <v>1041</v>
      </c>
      <c r="I3360" s="41" t="s">
        <v>3371</v>
      </c>
      <c r="J3360" s="41" t="s">
        <v>3371</v>
      </c>
      <c r="K3360" s="41" t="str">
        <f>VLOOKUP(J3360,错误mRNA总表!D:J,7,FALSE)</f>
        <v>多149个氨基酸，但rs号是多152个（rs370185461）chr7:139257673-139316492</v>
      </c>
      <c r="L3360" s="41" t="s">
        <v>8368</v>
      </c>
      <c r="M3360" s="41">
        <f>VLOOKUP(I3360,错误mRNA总表!D:I,6,FALSE)</f>
        <v>0</v>
      </c>
    </row>
    <row r="3361" spans="1:13" x14ac:dyDescent="0.2">
      <c r="A3361" s="12" t="s">
        <v>5107</v>
      </c>
      <c r="B3361" s="12" t="s">
        <v>4055</v>
      </c>
      <c r="C3361" s="12">
        <v>80838126</v>
      </c>
      <c r="D3361" s="12">
        <v>80860628</v>
      </c>
      <c r="E3361" s="12" t="s">
        <v>3940</v>
      </c>
      <c r="F3361" s="12">
        <v>72</v>
      </c>
      <c r="G3361" s="41" t="s">
        <v>212</v>
      </c>
      <c r="H3361" s="12" t="s">
        <v>1041</v>
      </c>
      <c r="I3361" s="41" t="s">
        <v>3371</v>
      </c>
      <c r="J3361" s="41" t="s">
        <v>3371</v>
      </c>
      <c r="K3361" s="41" t="str">
        <f>VLOOKUP(J3361,错误mRNA总表!D:J,7,FALSE)</f>
        <v>多149个氨基酸，但rs号是多152个（rs370185461）chr7:139257673-139316492</v>
      </c>
      <c r="L3361" s="41" t="s">
        <v>8368</v>
      </c>
      <c r="M3361" s="41">
        <f>VLOOKUP(I3361,错误mRNA总表!D:I,6,FALSE)</f>
        <v>0</v>
      </c>
    </row>
    <row r="3362" spans="1:13" x14ac:dyDescent="0.2">
      <c r="A3362" s="12" t="s">
        <v>4406</v>
      </c>
      <c r="B3362" s="12" t="s">
        <v>3969</v>
      </c>
      <c r="C3362" s="12">
        <v>3502148</v>
      </c>
      <c r="D3362" s="12">
        <v>3502185</v>
      </c>
      <c r="E3362" s="12" t="s">
        <v>3940</v>
      </c>
      <c r="F3362" s="12">
        <v>6</v>
      </c>
      <c r="H3362" s="12" t="s">
        <v>5891</v>
      </c>
      <c r="I3362" s="41" t="s">
        <v>8169</v>
      </c>
      <c r="M3362" s="41" t="e">
        <f>VLOOKUP(I3362,错误mRNA总表!D:I,6,FALSE)</f>
        <v>#N/A</v>
      </c>
    </row>
    <row r="3363" spans="1:13" x14ac:dyDescent="0.2">
      <c r="A3363" s="12" t="s">
        <v>5586</v>
      </c>
      <c r="B3363" s="12" t="s">
        <v>4055</v>
      </c>
      <c r="C3363" s="12">
        <v>11418847</v>
      </c>
      <c r="D3363" s="12">
        <v>11420333</v>
      </c>
      <c r="E3363" s="12" t="s">
        <v>3943</v>
      </c>
      <c r="F3363" s="12">
        <v>1</v>
      </c>
      <c r="G3363" s="41" t="s">
        <v>212</v>
      </c>
      <c r="H3363" s="12" t="s">
        <v>211</v>
      </c>
      <c r="I3363" s="41" t="s">
        <v>8170</v>
      </c>
      <c r="J3363" s="41" t="s">
        <v>2190</v>
      </c>
      <c r="K3363" s="41" t="str">
        <f>VLOOKUP(J3363,错误mRNA总表!D:J,7,FALSE)</f>
        <v>纠后正确</v>
      </c>
      <c r="M3363" s="41" t="e">
        <f>VLOOKUP(I3363,错误mRNA总表!D:I,6,FALSE)</f>
        <v>#N/A</v>
      </c>
    </row>
    <row r="3364" spans="1:13" x14ac:dyDescent="0.2">
      <c r="A3364" s="12" t="s">
        <v>5587</v>
      </c>
      <c r="B3364" s="12" t="s">
        <v>4004</v>
      </c>
      <c r="C3364" s="12">
        <v>48685669</v>
      </c>
      <c r="D3364" s="12">
        <v>48805816</v>
      </c>
      <c r="E3364" s="12" t="s">
        <v>3940</v>
      </c>
      <c r="F3364" s="12">
        <v>1</v>
      </c>
      <c r="G3364" s="41" t="s">
        <v>103</v>
      </c>
      <c r="H3364" s="12" t="s">
        <v>133</v>
      </c>
      <c r="I3364" s="41" t="s">
        <v>2126</v>
      </c>
      <c r="J3364" s="41" t="s">
        <v>2126</v>
      </c>
      <c r="K3364" s="41" t="str">
        <f>VLOOKUP(J3364,错误mRNA总表!D:J,7,FALSE)</f>
        <v>纠后正确</v>
      </c>
      <c r="L3364" s="41" t="s">
        <v>3763</v>
      </c>
      <c r="M3364" s="41">
        <f>VLOOKUP(I3364,错误mRNA总表!D:I,6,FALSE)</f>
        <v>0</v>
      </c>
    </row>
    <row r="3365" spans="1:13" x14ac:dyDescent="0.2">
      <c r="A3365" s="12" t="s">
        <v>5588</v>
      </c>
      <c r="B3365" s="12" t="s">
        <v>3939</v>
      </c>
      <c r="C3365" s="12">
        <v>148622175</v>
      </c>
      <c r="D3365" s="12">
        <v>148629238</v>
      </c>
      <c r="E3365" s="12" t="s">
        <v>3940</v>
      </c>
      <c r="F3365" s="12">
        <v>1</v>
      </c>
      <c r="G3365" s="41" t="s">
        <v>73</v>
      </c>
      <c r="H3365" s="12" t="s">
        <v>6293</v>
      </c>
      <c r="I3365" s="41" t="s">
        <v>8171</v>
      </c>
      <c r="M3365" s="41" t="e">
        <f>VLOOKUP(I3365,错误mRNA总表!D:I,6,FALSE)</f>
        <v>#N/A</v>
      </c>
    </row>
    <row r="3366" spans="1:13" x14ac:dyDescent="0.2">
      <c r="A3366" s="12" t="s">
        <v>5589</v>
      </c>
      <c r="B3366" s="12" t="s">
        <v>3969</v>
      </c>
      <c r="C3366" s="12">
        <v>2919236</v>
      </c>
      <c r="D3366" s="12">
        <v>2919414</v>
      </c>
      <c r="E3366" s="12" t="s">
        <v>3943</v>
      </c>
      <c r="F3366" s="12">
        <v>1</v>
      </c>
      <c r="H3366" s="12" t="s">
        <v>6294</v>
      </c>
      <c r="I3366" s="41" t="s">
        <v>8172</v>
      </c>
      <c r="M3366" s="41" t="e">
        <f>VLOOKUP(I3366,错误mRNA总表!D:I,6,FALSE)</f>
        <v>#N/A</v>
      </c>
    </row>
    <row r="3367" spans="1:13" x14ac:dyDescent="0.2">
      <c r="A3367" s="12" t="s">
        <v>5590</v>
      </c>
      <c r="B3367" s="12" t="s">
        <v>4023</v>
      </c>
      <c r="C3367" s="12">
        <v>891434</v>
      </c>
      <c r="D3367" s="12">
        <v>892202</v>
      </c>
      <c r="E3367" s="12" t="s">
        <v>3940</v>
      </c>
      <c r="F3367" s="12">
        <v>22</v>
      </c>
      <c r="H3367" s="12" t="s">
        <v>6295</v>
      </c>
      <c r="I3367" s="41" t="s">
        <v>8173</v>
      </c>
      <c r="M3367" s="41" t="e">
        <f>VLOOKUP(I3367,错误mRNA总表!D:I,6,FALSE)</f>
        <v>#N/A</v>
      </c>
    </row>
    <row r="3368" spans="1:13" x14ac:dyDescent="0.2">
      <c r="A3368" s="12" t="s">
        <v>5590</v>
      </c>
      <c r="B3368" s="12" t="s">
        <v>4023</v>
      </c>
      <c r="C3368" s="12">
        <v>891434</v>
      </c>
      <c r="D3368" s="12">
        <v>893228</v>
      </c>
      <c r="E3368" s="12" t="s">
        <v>3940</v>
      </c>
      <c r="F3368" s="12">
        <v>3</v>
      </c>
      <c r="H3368" s="12" t="s">
        <v>6295</v>
      </c>
      <c r="I3368" s="41" t="s">
        <v>8173</v>
      </c>
      <c r="M3368" s="41" t="e">
        <f>VLOOKUP(I3368,错误mRNA总表!D:I,6,FALSE)</f>
        <v>#N/A</v>
      </c>
    </row>
    <row r="3369" spans="1:13" x14ac:dyDescent="0.2">
      <c r="A3369" s="12" t="s">
        <v>5591</v>
      </c>
      <c r="B3369" s="12" t="s">
        <v>4004</v>
      </c>
      <c r="C3369" s="12">
        <v>86126288</v>
      </c>
      <c r="D3369" s="12">
        <v>86126827</v>
      </c>
      <c r="E3369" s="12" t="s">
        <v>3940</v>
      </c>
      <c r="F3369" s="12">
        <v>6</v>
      </c>
      <c r="G3369" s="41" t="s">
        <v>103</v>
      </c>
      <c r="H3369" s="12" t="s">
        <v>786</v>
      </c>
      <c r="I3369" s="41" t="s">
        <v>2217</v>
      </c>
      <c r="J3369" s="41" t="s">
        <v>2217</v>
      </c>
      <c r="K3369" s="41" t="str">
        <f>VLOOKUP(J3369,错误mRNA总表!D:J,7,FALSE)</f>
        <v>纠后正确，加2个氨基酸chr8:86126795-86126826</v>
      </c>
      <c r="L3369" s="41" t="s">
        <v>8335</v>
      </c>
      <c r="M3369" s="41">
        <f>VLOOKUP(I3369,错误mRNA总表!D:I,6,FALSE)</f>
        <v>0</v>
      </c>
    </row>
    <row r="3370" spans="1:13" x14ac:dyDescent="0.2">
      <c r="A3370" s="12" t="s">
        <v>4282</v>
      </c>
      <c r="B3370" s="12" t="s">
        <v>3984</v>
      </c>
      <c r="C3370" s="12">
        <v>4393584</v>
      </c>
      <c r="D3370" s="12">
        <v>4393882</v>
      </c>
      <c r="E3370" s="12" t="s">
        <v>3943</v>
      </c>
      <c r="F3370" s="12">
        <v>1</v>
      </c>
      <c r="H3370" s="12" t="s">
        <v>5854</v>
      </c>
      <c r="I3370" s="41" t="s">
        <v>8174</v>
      </c>
      <c r="M3370" s="41" t="e">
        <f>VLOOKUP(I3370,错误mRNA总表!D:I,6,FALSE)</f>
        <v>#N/A</v>
      </c>
    </row>
    <row r="3371" spans="1:13" x14ac:dyDescent="0.2">
      <c r="A3371" s="12" t="s">
        <v>5592</v>
      </c>
      <c r="B3371" s="12" t="s">
        <v>4004</v>
      </c>
      <c r="C3371" s="12">
        <v>86126288</v>
      </c>
      <c r="D3371" s="12">
        <v>86126827</v>
      </c>
      <c r="E3371" s="12" t="s">
        <v>3940</v>
      </c>
      <c r="F3371" s="12">
        <v>6</v>
      </c>
      <c r="G3371" s="41" t="s">
        <v>103</v>
      </c>
      <c r="H3371" s="12" t="s">
        <v>785</v>
      </c>
      <c r="I3371" s="41" t="s">
        <v>2216</v>
      </c>
      <c r="J3371" s="41" t="s">
        <v>2216</v>
      </c>
      <c r="K3371" s="41" t="str">
        <f>VLOOKUP(J3371,错误mRNA总表!D:J,7,FALSE)</f>
        <v>纠后正确，加2个氨基酸chr8:86126795-86126826</v>
      </c>
      <c r="L3371" s="41" t="s">
        <v>8335</v>
      </c>
      <c r="M3371" s="41">
        <f>VLOOKUP(I3371,错误mRNA总表!D:I,6,FALSE)</f>
        <v>0</v>
      </c>
    </row>
    <row r="3372" spans="1:13" x14ac:dyDescent="0.2">
      <c r="A3372" s="12" t="s">
        <v>5593</v>
      </c>
      <c r="B3372" s="12" t="s">
        <v>3986</v>
      </c>
      <c r="C3372" s="12">
        <v>51461887</v>
      </c>
      <c r="D3372" s="12">
        <v>51471814</v>
      </c>
      <c r="E3372" s="12" t="s">
        <v>3940</v>
      </c>
      <c r="F3372" s="12">
        <v>1</v>
      </c>
      <c r="G3372" s="41" t="s">
        <v>50</v>
      </c>
      <c r="H3372" s="12" t="s">
        <v>6296</v>
      </c>
      <c r="I3372" s="41" t="s">
        <v>8175</v>
      </c>
      <c r="M3372" s="41" t="e">
        <f>VLOOKUP(I3372,错误mRNA总表!D:I,6,FALSE)</f>
        <v>#N/A</v>
      </c>
    </row>
    <row r="3373" spans="1:13" x14ac:dyDescent="0.2">
      <c r="A3373" s="12" t="s">
        <v>5090</v>
      </c>
      <c r="B3373" s="12" t="s">
        <v>3984</v>
      </c>
      <c r="C3373" s="12">
        <v>928077</v>
      </c>
      <c r="D3373" s="12">
        <v>943429</v>
      </c>
      <c r="E3373" s="12" t="s">
        <v>3943</v>
      </c>
      <c r="F3373" s="12">
        <v>4</v>
      </c>
      <c r="H3373" s="12" t="s">
        <v>3523</v>
      </c>
      <c r="I3373" s="41" t="s">
        <v>8176</v>
      </c>
      <c r="M3373" s="41" t="e">
        <f>VLOOKUP(I3373,错误mRNA总表!D:I,6,FALSE)</f>
        <v>#N/A</v>
      </c>
    </row>
    <row r="3374" spans="1:13" x14ac:dyDescent="0.2">
      <c r="A3374" s="12" t="s">
        <v>4155</v>
      </c>
      <c r="B3374" s="12" t="s">
        <v>4061</v>
      </c>
      <c r="C3374" s="12">
        <v>712884</v>
      </c>
      <c r="D3374" s="12">
        <v>726080</v>
      </c>
      <c r="E3374" s="12" t="s">
        <v>3943</v>
      </c>
      <c r="F3374" s="12">
        <v>3</v>
      </c>
      <c r="H3374" s="12" t="s">
        <v>6383</v>
      </c>
      <c r="I3374" s="41" t="s">
        <v>8177</v>
      </c>
      <c r="M3374" s="41" t="e">
        <f>VLOOKUP(I3374,错误mRNA总表!D:I,6,FALSE)</f>
        <v>#N/A</v>
      </c>
    </row>
    <row r="3375" spans="1:13" x14ac:dyDescent="0.2">
      <c r="A3375" s="12" t="s">
        <v>5594</v>
      </c>
      <c r="B3375" s="12" t="s">
        <v>3957</v>
      </c>
      <c r="C3375" s="12">
        <v>1074875</v>
      </c>
      <c r="D3375" s="12">
        <v>1092799</v>
      </c>
      <c r="E3375" s="12" t="s">
        <v>3940</v>
      </c>
      <c r="F3375" s="12">
        <v>1083</v>
      </c>
      <c r="G3375" s="41" t="s">
        <v>36</v>
      </c>
      <c r="H3375" s="12" t="s">
        <v>901</v>
      </c>
      <c r="I3375" s="41" t="s">
        <v>2265</v>
      </c>
      <c r="J3375" s="41" t="s">
        <v>2265</v>
      </c>
      <c r="K3375" s="41" t="str">
        <f>VLOOKUP(J3375,错误mRNA总表!D:J,7,FALSE)</f>
        <v>多出1828个氨基酸，但无法验证哪个正确，NCBIrs无氨基酸注释信息chr11:1092802-1104263</v>
      </c>
      <c r="L3375" s="41" t="s">
        <v>8353</v>
      </c>
      <c r="M3375" s="41">
        <f>VLOOKUP(I3375,错误mRNA总表!D:I,6,FALSE)</f>
        <v>0</v>
      </c>
    </row>
    <row r="3376" spans="1:13" x14ac:dyDescent="0.2">
      <c r="A3376" s="12" t="s">
        <v>5594</v>
      </c>
      <c r="B3376" s="12" t="s">
        <v>3957</v>
      </c>
      <c r="C3376" s="12">
        <v>1074875</v>
      </c>
      <c r="D3376" s="12">
        <v>1093668</v>
      </c>
      <c r="E3376" s="12" t="s">
        <v>3940</v>
      </c>
      <c r="F3376" s="12">
        <v>6015</v>
      </c>
      <c r="G3376" s="41" t="s">
        <v>36</v>
      </c>
      <c r="H3376" s="12" t="s">
        <v>901</v>
      </c>
      <c r="I3376" s="41" t="s">
        <v>2265</v>
      </c>
      <c r="J3376" s="41" t="s">
        <v>2265</v>
      </c>
      <c r="K3376" s="41" t="str">
        <f>VLOOKUP(J3376,错误mRNA总表!D:J,7,FALSE)</f>
        <v>多出1828个氨基酸，但无法验证哪个正确，NCBIrs无氨基酸注释信息chr11:1092802-1104263</v>
      </c>
      <c r="L3376" s="41" t="s">
        <v>8353</v>
      </c>
      <c r="M3376" s="41">
        <f>VLOOKUP(I3376,错误mRNA总表!D:I,6,FALSE)</f>
        <v>0</v>
      </c>
    </row>
    <row r="3377" spans="1:13" x14ac:dyDescent="0.2">
      <c r="A3377" s="12" t="s">
        <v>5595</v>
      </c>
      <c r="B3377" s="12" t="s">
        <v>4023</v>
      </c>
      <c r="C3377" s="12">
        <v>762280</v>
      </c>
      <c r="D3377" s="12">
        <v>895550</v>
      </c>
      <c r="E3377" s="12" t="s">
        <v>3940</v>
      </c>
      <c r="F3377" s="12">
        <v>1</v>
      </c>
      <c r="H3377" s="12" t="s">
        <v>3636</v>
      </c>
      <c r="I3377" s="41" t="s">
        <v>8178</v>
      </c>
      <c r="M3377" s="41" t="e">
        <f>VLOOKUP(I3377,错误mRNA总表!D:I,6,FALSE)</f>
        <v>#N/A</v>
      </c>
    </row>
    <row r="3378" spans="1:13" x14ac:dyDescent="0.2">
      <c r="A3378" s="12" t="s">
        <v>5595</v>
      </c>
      <c r="B3378" s="12" t="s">
        <v>4023</v>
      </c>
      <c r="C3378" s="12">
        <v>762280</v>
      </c>
      <c r="D3378" s="12">
        <v>763397</v>
      </c>
      <c r="E3378" s="12" t="s">
        <v>3940</v>
      </c>
      <c r="F3378" s="12">
        <v>3</v>
      </c>
      <c r="H3378" s="12" t="s">
        <v>3636</v>
      </c>
      <c r="I3378" s="41" t="s">
        <v>8178</v>
      </c>
      <c r="M3378" s="41" t="e">
        <f>VLOOKUP(I3378,错误mRNA总表!D:I,6,FALSE)</f>
        <v>#N/A</v>
      </c>
    </row>
    <row r="3379" spans="1:13" x14ac:dyDescent="0.2">
      <c r="A3379" s="12" t="s">
        <v>5595</v>
      </c>
      <c r="B3379" s="12" t="s">
        <v>4023</v>
      </c>
      <c r="C3379" s="12">
        <v>762280</v>
      </c>
      <c r="D3379" s="12">
        <v>763561</v>
      </c>
      <c r="E3379" s="12" t="s">
        <v>3940</v>
      </c>
      <c r="F3379" s="12">
        <v>3</v>
      </c>
      <c r="H3379" s="12" t="s">
        <v>3636</v>
      </c>
      <c r="I3379" s="41" t="s">
        <v>8178</v>
      </c>
      <c r="M3379" s="41" t="e">
        <f>VLOOKUP(I3379,错误mRNA总表!D:I,6,FALSE)</f>
        <v>#N/A</v>
      </c>
    </row>
    <row r="3380" spans="1:13" x14ac:dyDescent="0.2">
      <c r="A3380" s="12" t="s">
        <v>5595</v>
      </c>
      <c r="B3380" s="12" t="s">
        <v>4023</v>
      </c>
      <c r="C3380" s="12">
        <v>762280</v>
      </c>
      <c r="D3380" s="12">
        <v>763693</v>
      </c>
      <c r="E3380" s="12" t="s">
        <v>3940</v>
      </c>
      <c r="F3380" s="12">
        <v>1</v>
      </c>
      <c r="H3380" s="12" t="s">
        <v>3636</v>
      </c>
      <c r="I3380" s="41" t="s">
        <v>8178</v>
      </c>
      <c r="M3380" s="41" t="e">
        <f>VLOOKUP(I3380,错误mRNA总表!D:I,6,FALSE)</f>
        <v>#N/A</v>
      </c>
    </row>
    <row r="3381" spans="1:13" x14ac:dyDescent="0.2">
      <c r="A3381" s="12" t="s">
        <v>5595</v>
      </c>
      <c r="B3381" s="12" t="s">
        <v>4023</v>
      </c>
      <c r="C3381" s="12">
        <v>762280</v>
      </c>
      <c r="D3381" s="12">
        <v>764045</v>
      </c>
      <c r="E3381" s="12" t="s">
        <v>3943</v>
      </c>
      <c r="F3381" s="12">
        <v>1</v>
      </c>
      <c r="H3381" s="12" t="s">
        <v>3636</v>
      </c>
      <c r="I3381" s="41" t="s">
        <v>8178</v>
      </c>
      <c r="M3381" s="41" t="e">
        <f>VLOOKUP(I3381,错误mRNA总表!D:I,6,FALSE)</f>
        <v>#N/A</v>
      </c>
    </row>
    <row r="3382" spans="1:13" x14ac:dyDescent="0.2">
      <c r="A3382" s="12" t="s">
        <v>5595</v>
      </c>
      <c r="B3382" s="12" t="s">
        <v>4023</v>
      </c>
      <c r="C3382" s="12">
        <v>762280</v>
      </c>
      <c r="D3382" s="12">
        <v>764501</v>
      </c>
      <c r="E3382" s="12" t="s">
        <v>3943</v>
      </c>
      <c r="F3382" s="12">
        <v>1</v>
      </c>
      <c r="H3382" s="12" t="s">
        <v>3636</v>
      </c>
      <c r="I3382" s="41" t="s">
        <v>8178</v>
      </c>
      <c r="M3382" s="41" t="e">
        <f>VLOOKUP(I3382,错误mRNA总表!D:I,6,FALSE)</f>
        <v>#N/A</v>
      </c>
    </row>
    <row r="3383" spans="1:13" x14ac:dyDescent="0.2">
      <c r="A3383" s="12" t="s">
        <v>5595</v>
      </c>
      <c r="B3383" s="12" t="s">
        <v>4023</v>
      </c>
      <c r="C3383" s="12">
        <v>762280</v>
      </c>
      <c r="D3383" s="12">
        <v>765228</v>
      </c>
      <c r="E3383" s="12" t="s">
        <v>3940</v>
      </c>
      <c r="F3383" s="12">
        <v>2</v>
      </c>
      <c r="H3383" s="12" t="s">
        <v>3636</v>
      </c>
      <c r="I3383" s="41" t="s">
        <v>8178</v>
      </c>
      <c r="M3383" s="41" t="e">
        <f>VLOOKUP(I3383,错误mRNA总表!D:I,6,FALSE)</f>
        <v>#N/A</v>
      </c>
    </row>
    <row r="3384" spans="1:13" x14ac:dyDescent="0.2">
      <c r="A3384" s="12" t="s">
        <v>5595</v>
      </c>
      <c r="B3384" s="12" t="s">
        <v>4023</v>
      </c>
      <c r="C3384" s="12">
        <v>762280</v>
      </c>
      <c r="D3384" s="12">
        <v>765290</v>
      </c>
      <c r="E3384" s="12" t="s">
        <v>3943</v>
      </c>
      <c r="F3384" s="12">
        <v>1</v>
      </c>
      <c r="H3384" s="12" t="s">
        <v>3636</v>
      </c>
      <c r="I3384" s="41" t="s">
        <v>8178</v>
      </c>
      <c r="M3384" s="41" t="e">
        <f>VLOOKUP(I3384,错误mRNA总表!D:I,6,FALSE)</f>
        <v>#N/A</v>
      </c>
    </row>
    <row r="3385" spans="1:13" x14ac:dyDescent="0.2">
      <c r="A3385" s="12" t="s">
        <v>5595</v>
      </c>
      <c r="B3385" s="12" t="s">
        <v>4023</v>
      </c>
      <c r="C3385" s="12">
        <v>762280</v>
      </c>
      <c r="D3385" s="12">
        <v>765526</v>
      </c>
      <c r="E3385" s="12" t="s">
        <v>3943</v>
      </c>
      <c r="F3385" s="12">
        <v>2</v>
      </c>
      <c r="H3385" s="12" t="s">
        <v>3636</v>
      </c>
      <c r="I3385" s="41" t="s">
        <v>8178</v>
      </c>
      <c r="M3385" s="41" t="e">
        <f>VLOOKUP(I3385,错误mRNA总表!D:I,6,FALSE)</f>
        <v>#N/A</v>
      </c>
    </row>
    <row r="3386" spans="1:13" x14ac:dyDescent="0.2">
      <c r="A3386" s="12" t="s">
        <v>5595</v>
      </c>
      <c r="B3386" s="12" t="s">
        <v>4023</v>
      </c>
      <c r="C3386" s="12">
        <v>762280</v>
      </c>
      <c r="D3386" s="12">
        <v>766121</v>
      </c>
      <c r="E3386" s="12" t="s">
        <v>3943</v>
      </c>
      <c r="F3386" s="12">
        <v>1</v>
      </c>
      <c r="H3386" s="12" t="s">
        <v>3636</v>
      </c>
      <c r="I3386" s="41" t="s">
        <v>8178</v>
      </c>
      <c r="M3386" s="41" t="e">
        <f>VLOOKUP(I3386,错误mRNA总表!D:I,6,FALSE)</f>
        <v>#N/A</v>
      </c>
    </row>
    <row r="3387" spans="1:13" x14ac:dyDescent="0.2">
      <c r="A3387" s="12" t="s">
        <v>5595</v>
      </c>
      <c r="B3387" s="12" t="s">
        <v>4023</v>
      </c>
      <c r="C3387" s="12">
        <v>762280</v>
      </c>
      <c r="D3387" s="12">
        <v>766198</v>
      </c>
      <c r="E3387" s="12" t="s">
        <v>3943</v>
      </c>
      <c r="F3387" s="12">
        <v>1</v>
      </c>
      <c r="H3387" s="12" t="s">
        <v>3636</v>
      </c>
      <c r="I3387" s="41" t="s">
        <v>8178</v>
      </c>
      <c r="M3387" s="41" t="e">
        <f>VLOOKUP(I3387,错误mRNA总表!D:I,6,FALSE)</f>
        <v>#N/A</v>
      </c>
    </row>
    <row r="3388" spans="1:13" x14ac:dyDescent="0.2">
      <c r="A3388" s="12" t="s">
        <v>5596</v>
      </c>
      <c r="B3388" s="12" t="s">
        <v>4042</v>
      </c>
      <c r="C3388" s="12">
        <v>22051853</v>
      </c>
      <c r="D3388" s="12">
        <v>22082652</v>
      </c>
      <c r="E3388" s="12" t="s">
        <v>3940</v>
      </c>
      <c r="F3388" s="12">
        <v>111</v>
      </c>
      <c r="G3388" s="41" t="s">
        <v>113</v>
      </c>
      <c r="H3388" s="12" t="s">
        <v>3625</v>
      </c>
      <c r="I3388" s="41" t="s">
        <v>7405</v>
      </c>
      <c r="M3388" s="41" t="e">
        <f>VLOOKUP(I3388,错误mRNA总表!D:I,6,FALSE)</f>
        <v>#N/A</v>
      </c>
    </row>
    <row r="3389" spans="1:13" x14ac:dyDescent="0.2">
      <c r="A3389" s="12" t="s">
        <v>5597</v>
      </c>
      <c r="B3389" s="12" t="s">
        <v>3948</v>
      </c>
      <c r="C3389" s="12">
        <v>36552549</v>
      </c>
      <c r="D3389" s="12">
        <v>36552729</v>
      </c>
      <c r="E3389" s="12" t="s">
        <v>3940</v>
      </c>
      <c r="F3389" s="12">
        <v>1</v>
      </c>
      <c r="G3389" s="41" t="s">
        <v>40</v>
      </c>
      <c r="H3389" s="12" t="s">
        <v>6558</v>
      </c>
      <c r="I3389" s="41" t="s">
        <v>8179</v>
      </c>
      <c r="M3389" s="41" t="e">
        <f>VLOOKUP(I3389,错误mRNA总表!D:I,6,FALSE)</f>
        <v>#N/A</v>
      </c>
    </row>
    <row r="3390" spans="1:13" x14ac:dyDescent="0.2">
      <c r="A3390" s="12" t="s">
        <v>5597</v>
      </c>
      <c r="B3390" s="12" t="s">
        <v>3948</v>
      </c>
      <c r="C3390" s="12">
        <v>36552549</v>
      </c>
      <c r="D3390" s="12">
        <v>36552790</v>
      </c>
      <c r="E3390" s="12" t="s">
        <v>3940</v>
      </c>
      <c r="F3390" s="12">
        <v>1</v>
      </c>
      <c r="G3390" s="41" t="s">
        <v>40</v>
      </c>
      <c r="H3390" s="12" t="s">
        <v>6558</v>
      </c>
      <c r="I3390" s="41" t="s">
        <v>8179</v>
      </c>
      <c r="M3390" s="41" t="e">
        <f>VLOOKUP(I3390,错误mRNA总表!D:I,6,FALSE)</f>
        <v>#N/A</v>
      </c>
    </row>
    <row r="3391" spans="1:13" x14ac:dyDescent="0.2">
      <c r="A3391" s="12" t="s">
        <v>5598</v>
      </c>
      <c r="B3391" s="12" t="s">
        <v>3942</v>
      </c>
      <c r="C3391" s="12">
        <v>175810940</v>
      </c>
      <c r="D3391" s="12">
        <v>175811094</v>
      </c>
      <c r="E3391" s="12" t="s">
        <v>3940</v>
      </c>
      <c r="F3391" s="12">
        <v>2</v>
      </c>
      <c r="G3391" s="41" t="s">
        <v>186</v>
      </c>
      <c r="H3391" s="12" t="s">
        <v>6297</v>
      </c>
      <c r="I3391" s="41" t="s">
        <v>8180</v>
      </c>
      <c r="M3391" s="41" t="e">
        <f>VLOOKUP(I3391,错误mRNA总表!D:I,6,FALSE)</f>
        <v>#N/A</v>
      </c>
    </row>
    <row r="3392" spans="1:13" x14ac:dyDescent="0.2">
      <c r="A3392" s="12" t="s">
        <v>4137</v>
      </c>
      <c r="B3392" s="12" t="s">
        <v>3996</v>
      </c>
      <c r="C3392" s="12">
        <v>4055571</v>
      </c>
      <c r="D3392" s="12">
        <v>4059676</v>
      </c>
      <c r="E3392" s="12" t="s">
        <v>3940</v>
      </c>
      <c r="F3392" s="12">
        <v>3</v>
      </c>
      <c r="H3392" s="12" t="s">
        <v>3580</v>
      </c>
      <c r="I3392" s="41" t="s">
        <v>8181</v>
      </c>
      <c r="M3392" s="41" t="e">
        <f>VLOOKUP(I3392,错误mRNA总表!D:I,6,FALSE)</f>
        <v>#N/A</v>
      </c>
    </row>
    <row r="3393" spans="1:13" x14ac:dyDescent="0.2">
      <c r="A3393" s="12" t="s">
        <v>4137</v>
      </c>
      <c r="B3393" s="12" t="s">
        <v>3996</v>
      </c>
      <c r="C3393" s="12">
        <v>4055571</v>
      </c>
      <c r="D3393" s="12">
        <v>4061365</v>
      </c>
      <c r="E3393" s="12" t="s">
        <v>3940</v>
      </c>
      <c r="F3393" s="12">
        <v>5</v>
      </c>
      <c r="H3393" s="12" t="s">
        <v>3580</v>
      </c>
      <c r="I3393" s="41" t="s">
        <v>8181</v>
      </c>
      <c r="M3393" s="41" t="e">
        <f>VLOOKUP(I3393,错误mRNA总表!D:I,6,FALSE)</f>
        <v>#N/A</v>
      </c>
    </row>
    <row r="3394" spans="1:13" x14ac:dyDescent="0.2">
      <c r="A3394" s="12" t="s">
        <v>4137</v>
      </c>
      <c r="B3394" s="12" t="s">
        <v>3996</v>
      </c>
      <c r="C3394" s="12">
        <v>4055571</v>
      </c>
      <c r="D3394" s="12">
        <v>4061631</v>
      </c>
      <c r="E3394" s="12" t="s">
        <v>3940</v>
      </c>
      <c r="F3394" s="12">
        <v>3</v>
      </c>
      <c r="H3394" s="12" t="s">
        <v>3580</v>
      </c>
      <c r="I3394" s="41" t="s">
        <v>8181</v>
      </c>
      <c r="M3394" s="41" t="e">
        <f>VLOOKUP(I3394,错误mRNA总表!D:I,6,FALSE)</f>
        <v>#N/A</v>
      </c>
    </row>
    <row r="3395" spans="1:13" x14ac:dyDescent="0.2">
      <c r="A3395" s="12" t="s">
        <v>5599</v>
      </c>
      <c r="B3395" s="12" t="s">
        <v>3978</v>
      </c>
      <c r="C3395" s="12">
        <v>14444076</v>
      </c>
      <c r="D3395" s="12">
        <v>14444243</v>
      </c>
      <c r="E3395" s="12" t="s">
        <v>3943</v>
      </c>
      <c r="F3395" s="12">
        <v>1</v>
      </c>
      <c r="G3395" s="41" t="s">
        <v>86</v>
      </c>
      <c r="H3395" s="12" t="s">
        <v>6575</v>
      </c>
      <c r="I3395" s="41" t="s">
        <v>7126</v>
      </c>
      <c r="M3395" s="41" t="e">
        <f>VLOOKUP(I3395,错误mRNA总表!D:I,6,FALSE)</f>
        <v>#N/A</v>
      </c>
    </row>
    <row r="3396" spans="1:13" x14ac:dyDescent="0.2">
      <c r="A3396" s="12" t="s">
        <v>5599</v>
      </c>
      <c r="B3396" s="12" t="s">
        <v>3978</v>
      </c>
      <c r="C3396" s="12">
        <v>14444076</v>
      </c>
      <c r="D3396" s="12">
        <v>14444249</v>
      </c>
      <c r="E3396" s="12" t="s">
        <v>3943</v>
      </c>
      <c r="F3396" s="12">
        <v>1</v>
      </c>
      <c r="G3396" s="41" t="s">
        <v>86</v>
      </c>
      <c r="H3396" s="12" t="s">
        <v>6575</v>
      </c>
      <c r="I3396" s="41" t="s">
        <v>7126</v>
      </c>
      <c r="M3396" s="41" t="e">
        <f>VLOOKUP(I3396,错误mRNA总表!D:I,6,FALSE)</f>
        <v>#N/A</v>
      </c>
    </row>
    <row r="3397" spans="1:13" x14ac:dyDescent="0.2">
      <c r="A3397" s="12" t="s">
        <v>5599</v>
      </c>
      <c r="B3397" s="12" t="s">
        <v>3978</v>
      </c>
      <c r="C3397" s="12">
        <v>14444076</v>
      </c>
      <c r="D3397" s="12">
        <v>14444277</v>
      </c>
      <c r="E3397" s="12" t="s">
        <v>3943</v>
      </c>
      <c r="F3397" s="12">
        <v>1</v>
      </c>
      <c r="G3397" s="41" t="s">
        <v>86</v>
      </c>
      <c r="H3397" s="12" t="s">
        <v>6575</v>
      </c>
      <c r="I3397" s="41" t="s">
        <v>7126</v>
      </c>
      <c r="M3397" s="41" t="e">
        <f>VLOOKUP(I3397,错误mRNA总表!D:I,6,FALSE)</f>
        <v>#N/A</v>
      </c>
    </row>
    <row r="3398" spans="1:13" x14ac:dyDescent="0.2">
      <c r="A3398" s="12" t="s">
        <v>5599</v>
      </c>
      <c r="B3398" s="12" t="s">
        <v>3978</v>
      </c>
      <c r="C3398" s="12">
        <v>14444076</v>
      </c>
      <c r="D3398" s="12">
        <v>14444286</v>
      </c>
      <c r="E3398" s="12" t="s">
        <v>3943</v>
      </c>
      <c r="F3398" s="12">
        <v>1</v>
      </c>
      <c r="G3398" s="41" t="s">
        <v>86</v>
      </c>
      <c r="H3398" s="12" t="s">
        <v>6575</v>
      </c>
      <c r="I3398" s="41" t="s">
        <v>7126</v>
      </c>
      <c r="M3398" s="41" t="e">
        <f>VLOOKUP(I3398,错误mRNA总表!D:I,6,FALSE)</f>
        <v>#N/A</v>
      </c>
    </row>
    <row r="3399" spans="1:13" x14ac:dyDescent="0.2">
      <c r="A3399" s="12" t="s">
        <v>5599</v>
      </c>
      <c r="B3399" s="12" t="s">
        <v>3978</v>
      </c>
      <c r="C3399" s="12">
        <v>14444076</v>
      </c>
      <c r="D3399" s="12">
        <v>14444308</v>
      </c>
      <c r="E3399" s="12" t="s">
        <v>3943</v>
      </c>
      <c r="F3399" s="12">
        <v>1</v>
      </c>
      <c r="G3399" s="41" t="s">
        <v>86</v>
      </c>
      <c r="H3399" s="12" t="s">
        <v>6575</v>
      </c>
      <c r="I3399" s="41" t="s">
        <v>7126</v>
      </c>
      <c r="M3399" s="41" t="e">
        <f>VLOOKUP(I3399,错误mRNA总表!D:I,6,FALSE)</f>
        <v>#N/A</v>
      </c>
    </row>
    <row r="3400" spans="1:13" x14ac:dyDescent="0.2">
      <c r="A3400" s="12" t="s">
        <v>5599</v>
      </c>
      <c r="B3400" s="12" t="s">
        <v>3978</v>
      </c>
      <c r="C3400" s="12">
        <v>14444076</v>
      </c>
      <c r="D3400" s="12">
        <v>14444318</v>
      </c>
      <c r="E3400" s="12" t="s">
        <v>3943</v>
      </c>
      <c r="F3400" s="12">
        <v>1</v>
      </c>
      <c r="G3400" s="41" t="s">
        <v>86</v>
      </c>
      <c r="H3400" s="12" t="s">
        <v>6575</v>
      </c>
      <c r="I3400" s="41" t="s">
        <v>7126</v>
      </c>
      <c r="M3400" s="41" t="e">
        <f>VLOOKUP(I3400,错误mRNA总表!D:I,6,FALSE)</f>
        <v>#N/A</v>
      </c>
    </row>
    <row r="3401" spans="1:13" x14ac:dyDescent="0.2">
      <c r="A3401" s="12" t="s">
        <v>5599</v>
      </c>
      <c r="B3401" s="12" t="s">
        <v>3978</v>
      </c>
      <c r="C3401" s="12">
        <v>14444076</v>
      </c>
      <c r="D3401" s="12">
        <v>14444326</v>
      </c>
      <c r="E3401" s="12" t="s">
        <v>3943</v>
      </c>
      <c r="F3401" s="12">
        <v>1</v>
      </c>
      <c r="G3401" s="41" t="s">
        <v>86</v>
      </c>
      <c r="H3401" s="12" t="s">
        <v>6575</v>
      </c>
      <c r="I3401" s="41" t="s">
        <v>7126</v>
      </c>
      <c r="M3401" s="41" t="e">
        <f>VLOOKUP(I3401,错误mRNA总表!D:I,6,FALSE)</f>
        <v>#N/A</v>
      </c>
    </row>
    <row r="3402" spans="1:13" x14ac:dyDescent="0.2">
      <c r="A3402" s="12" t="s">
        <v>5599</v>
      </c>
      <c r="B3402" s="12" t="s">
        <v>3978</v>
      </c>
      <c r="C3402" s="12">
        <v>14444076</v>
      </c>
      <c r="D3402" s="12">
        <v>14444329</v>
      </c>
      <c r="E3402" s="12" t="s">
        <v>3943</v>
      </c>
      <c r="F3402" s="12">
        <v>1</v>
      </c>
      <c r="G3402" s="41" t="s">
        <v>86</v>
      </c>
      <c r="H3402" s="12" t="s">
        <v>6575</v>
      </c>
      <c r="I3402" s="41" t="s">
        <v>7126</v>
      </c>
      <c r="M3402" s="41" t="e">
        <f>VLOOKUP(I3402,错误mRNA总表!D:I,6,FALSE)</f>
        <v>#N/A</v>
      </c>
    </row>
    <row r="3403" spans="1:13" x14ac:dyDescent="0.2">
      <c r="A3403" s="12" t="s">
        <v>5600</v>
      </c>
      <c r="B3403" s="12" t="s">
        <v>3957</v>
      </c>
      <c r="C3403" s="12">
        <v>1074875</v>
      </c>
      <c r="D3403" s="12">
        <v>1092799</v>
      </c>
      <c r="E3403" s="12" t="s">
        <v>3940</v>
      </c>
      <c r="F3403" s="12">
        <v>5484</v>
      </c>
      <c r="G3403" s="41" t="s">
        <v>36</v>
      </c>
      <c r="H3403" s="12" t="s">
        <v>901</v>
      </c>
      <c r="I3403" s="41" t="s">
        <v>2265</v>
      </c>
      <c r="J3403" s="41" t="s">
        <v>2265</v>
      </c>
      <c r="K3403" s="41" t="str">
        <f>VLOOKUP(J3403,错误mRNA总表!D:J,7,FALSE)</f>
        <v>多出1828个氨基酸，但无法验证哪个正确，NCBIrs无氨基酸注释信息chr11:1092802-1104263</v>
      </c>
      <c r="L3403" s="41" t="s">
        <v>8353</v>
      </c>
      <c r="M3403" s="41">
        <f>VLOOKUP(I3403,错误mRNA总表!D:I,6,FALSE)</f>
        <v>0</v>
      </c>
    </row>
    <row r="3404" spans="1:13" x14ac:dyDescent="0.2">
      <c r="A3404" s="12" t="s">
        <v>5600</v>
      </c>
      <c r="B3404" s="12" t="s">
        <v>3957</v>
      </c>
      <c r="C3404" s="12">
        <v>1074875</v>
      </c>
      <c r="D3404" s="12">
        <v>1093133</v>
      </c>
      <c r="E3404" s="12" t="s">
        <v>3940</v>
      </c>
      <c r="F3404" s="12">
        <v>1932</v>
      </c>
      <c r="G3404" s="41" t="s">
        <v>36</v>
      </c>
      <c r="H3404" s="12" t="s">
        <v>901</v>
      </c>
      <c r="I3404" s="41" t="s">
        <v>2265</v>
      </c>
      <c r="J3404" s="41" t="s">
        <v>2265</v>
      </c>
      <c r="K3404" s="41" t="str">
        <f>VLOOKUP(J3404,错误mRNA总表!D:J,7,FALSE)</f>
        <v>多出1828个氨基酸，但无法验证哪个正确，NCBIrs无氨基酸注释信息chr11:1092802-1104263</v>
      </c>
      <c r="L3404" s="41" t="s">
        <v>8353</v>
      </c>
      <c r="M3404" s="41">
        <f>VLOOKUP(I3404,错误mRNA总表!D:I,6,FALSE)</f>
        <v>0</v>
      </c>
    </row>
    <row r="3405" spans="1:13" x14ac:dyDescent="0.2">
      <c r="A3405" s="12" t="s">
        <v>5601</v>
      </c>
      <c r="B3405" s="12" t="s">
        <v>3946</v>
      </c>
      <c r="C3405" s="12">
        <v>35969787</v>
      </c>
      <c r="D3405" s="12">
        <v>35970175</v>
      </c>
      <c r="E3405" s="12" t="s">
        <v>3943</v>
      </c>
      <c r="F3405" s="12">
        <v>1</v>
      </c>
      <c r="G3405" s="41" t="s">
        <v>47</v>
      </c>
      <c r="H3405" s="12" t="s">
        <v>6298</v>
      </c>
      <c r="I3405" s="41" t="s">
        <v>8182</v>
      </c>
      <c r="M3405" s="41" t="e">
        <f>VLOOKUP(I3405,错误mRNA总表!D:I,6,FALSE)</f>
        <v>#N/A</v>
      </c>
    </row>
    <row r="3406" spans="1:13" x14ac:dyDescent="0.2">
      <c r="A3406" s="12" t="s">
        <v>5601</v>
      </c>
      <c r="B3406" s="12" t="s">
        <v>3946</v>
      </c>
      <c r="C3406" s="12">
        <v>35969787</v>
      </c>
      <c r="D3406" s="12">
        <v>35970339</v>
      </c>
      <c r="E3406" s="12" t="s">
        <v>3940</v>
      </c>
      <c r="F3406" s="12">
        <v>4</v>
      </c>
      <c r="G3406" s="41" t="s">
        <v>47</v>
      </c>
      <c r="H3406" s="12" t="s">
        <v>6298</v>
      </c>
      <c r="I3406" s="41" t="s">
        <v>8182</v>
      </c>
      <c r="M3406" s="41" t="e">
        <f>VLOOKUP(I3406,错误mRNA总表!D:I,6,FALSE)</f>
        <v>#N/A</v>
      </c>
    </row>
    <row r="3407" spans="1:13" x14ac:dyDescent="0.2">
      <c r="A3407" s="12" t="s">
        <v>5602</v>
      </c>
      <c r="B3407" s="12" t="s">
        <v>3973</v>
      </c>
      <c r="C3407" s="12">
        <v>145610990</v>
      </c>
      <c r="D3407" s="12">
        <v>145688681</v>
      </c>
      <c r="E3407" s="12" t="s">
        <v>3943</v>
      </c>
      <c r="F3407" s="12">
        <v>1</v>
      </c>
      <c r="G3407" s="41" t="s">
        <v>139</v>
      </c>
      <c r="H3407" s="12" t="s">
        <v>3489</v>
      </c>
      <c r="I3407" s="41" t="s">
        <v>8183</v>
      </c>
      <c r="M3407" s="41" t="e">
        <f>VLOOKUP(I3407,错误mRNA总表!D:I,6,FALSE)</f>
        <v>#N/A</v>
      </c>
    </row>
    <row r="3408" spans="1:13" x14ac:dyDescent="0.2">
      <c r="A3408" s="12" t="s">
        <v>5603</v>
      </c>
      <c r="B3408" s="12" t="s">
        <v>3946</v>
      </c>
      <c r="C3408" s="12">
        <v>29815019</v>
      </c>
      <c r="D3408" s="12">
        <v>29863658</v>
      </c>
      <c r="E3408" s="12" t="s">
        <v>3943</v>
      </c>
      <c r="F3408" s="12">
        <v>1</v>
      </c>
      <c r="G3408" s="41" t="s">
        <v>47</v>
      </c>
      <c r="H3408" s="12" t="s">
        <v>6299</v>
      </c>
      <c r="I3408" s="41" t="s">
        <v>7892</v>
      </c>
      <c r="M3408" s="41" t="e">
        <f>VLOOKUP(I3408,错误mRNA总表!D:I,6,FALSE)</f>
        <v>#N/A</v>
      </c>
    </row>
    <row r="3409" spans="1:13" x14ac:dyDescent="0.2">
      <c r="A3409" s="12" t="s">
        <v>4574</v>
      </c>
      <c r="B3409" s="12" t="s">
        <v>3948</v>
      </c>
      <c r="C3409" s="12">
        <v>141968101</v>
      </c>
      <c r="D3409" s="12">
        <v>141969145</v>
      </c>
      <c r="E3409" s="12" t="s">
        <v>3943</v>
      </c>
      <c r="F3409" s="12">
        <v>2</v>
      </c>
      <c r="G3409" s="41" t="s">
        <v>40</v>
      </c>
      <c r="H3409" s="12" t="s">
        <v>6405</v>
      </c>
      <c r="I3409" s="41" t="s">
        <v>8184</v>
      </c>
      <c r="M3409" s="41" t="e">
        <f>VLOOKUP(I3409,错误mRNA总表!D:I,6,FALSE)</f>
        <v>#N/A</v>
      </c>
    </row>
    <row r="3410" spans="1:13" x14ac:dyDescent="0.2">
      <c r="A3410" s="12" t="s">
        <v>5604</v>
      </c>
      <c r="B3410" s="12" t="s">
        <v>4059</v>
      </c>
      <c r="C3410" s="12">
        <v>3025025</v>
      </c>
      <c r="D3410" s="12">
        <v>3025752</v>
      </c>
      <c r="E3410" s="12" t="s">
        <v>3940</v>
      </c>
      <c r="F3410" s="12">
        <v>1</v>
      </c>
      <c r="G3410" s="41" t="s">
        <v>175</v>
      </c>
      <c r="H3410" s="12" t="s">
        <v>6300</v>
      </c>
      <c r="I3410" s="41" t="s">
        <v>8185</v>
      </c>
      <c r="M3410" s="41" t="e">
        <f>VLOOKUP(I3410,错误mRNA总表!D:I,6,FALSE)</f>
        <v>#N/A</v>
      </c>
    </row>
    <row r="3411" spans="1:13" x14ac:dyDescent="0.2">
      <c r="A3411" s="12" t="s">
        <v>5605</v>
      </c>
      <c r="B3411" s="12" t="s">
        <v>3966</v>
      </c>
      <c r="C3411" s="12">
        <v>36585176</v>
      </c>
      <c r="D3411" s="12">
        <v>36587845</v>
      </c>
      <c r="E3411" s="12" t="s">
        <v>3940</v>
      </c>
      <c r="F3411" s="12">
        <v>2</v>
      </c>
      <c r="G3411" s="41" t="s">
        <v>43</v>
      </c>
      <c r="H3411" s="12" t="s">
        <v>42</v>
      </c>
      <c r="I3411" s="41" t="s">
        <v>2077</v>
      </c>
      <c r="J3411" s="41" t="s">
        <v>2077</v>
      </c>
      <c r="K3411" s="41" t="str">
        <f>VLOOKUP(J3411,错误mRNA总表!D:J,7,FALSE)</f>
        <v>纠后正确</v>
      </c>
      <c r="L3411" s="41" t="s">
        <v>3763</v>
      </c>
      <c r="M3411" s="41">
        <f>VLOOKUP(I3411,错误mRNA总表!D:I,6,FALSE)</f>
        <v>0</v>
      </c>
    </row>
    <row r="3412" spans="1:13" x14ac:dyDescent="0.2">
      <c r="A3412" s="12" t="s">
        <v>4886</v>
      </c>
      <c r="B3412" s="12" t="s">
        <v>3989</v>
      </c>
      <c r="C3412" s="12">
        <v>3038543</v>
      </c>
      <c r="D3412" s="12">
        <v>3039908</v>
      </c>
      <c r="E3412" s="12" t="s">
        <v>3940</v>
      </c>
      <c r="F3412" s="12">
        <v>223</v>
      </c>
      <c r="H3412" s="12" t="s">
        <v>3429</v>
      </c>
      <c r="I3412" s="41" t="s">
        <v>8186</v>
      </c>
      <c r="M3412" s="41" t="e">
        <f>VLOOKUP(I3412,错误mRNA总表!D:I,6,FALSE)</f>
        <v>#N/A</v>
      </c>
    </row>
    <row r="3413" spans="1:13" x14ac:dyDescent="0.2">
      <c r="A3413" s="12" t="s">
        <v>4886</v>
      </c>
      <c r="B3413" s="12" t="s">
        <v>3989</v>
      </c>
      <c r="C3413" s="12">
        <v>3038543</v>
      </c>
      <c r="D3413" s="12">
        <v>3039896</v>
      </c>
      <c r="E3413" s="12" t="s">
        <v>3943</v>
      </c>
      <c r="F3413" s="12">
        <v>3</v>
      </c>
      <c r="H3413" s="12" t="s">
        <v>3429</v>
      </c>
      <c r="I3413" s="41" t="s">
        <v>8186</v>
      </c>
      <c r="M3413" s="41" t="e">
        <f>VLOOKUP(I3413,错误mRNA总表!D:I,6,FALSE)</f>
        <v>#N/A</v>
      </c>
    </row>
    <row r="3414" spans="1:13" x14ac:dyDescent="0.2">
      <c r="A3414" s="12" t="s">
        <v>4886</v>
      </c>
      <c r="B3414" s="12" t="s">
        <v>3989</v>
      </c>
      <c r="C3414" s="12">
        <v>3038543</v>
      </c>
      <c r="D3414" s="12">
        <v>3039904</v>
      </c>
      <c r="E3414" s="12" t="s">
        <v>3940</v>
      </c>
      <c r="F3414" s="12">
        <v>3</v>
      </c>
      <c r="H3414" s="12" t="s">
        <v>3429</v>
      </c>
      <c r="I3414" s="41" t="s">
        <v>8186</v>
      </c>
      <c r="M3414" s="41" t="e">
        <f>VLOOKUP(I3414,错误mRNA总表!D:I,6,FALSE)</f>
        <v>#N/A</v>
      </c>
    </row>
    <row r="3415" spans="1:13" x14ac:dyDescent="0.2">
      <c r="A3415" s="12" t="s">
        <v>4886</v>
      </c>
      <c r="B3415" s="12" t="s">
        <v>3989</v>
      </c>
      <c r="C3415" s="12">
        <v>3038543</v>
      </c>
      <c r="D3415" s="12">
        <v>3055309</v>
      </c>
      <c r="E3415" s="12" t="s">
        <v>3940</v>
      </c>
      <c r="F3415" s="12">
        <v>467</v>
      </c>
      <c r="H3415" s="12" t="s">
        <v>3429</v>
      </c>
      <c r="I3415" s="41" t="s">
        <v>8186</v>
      </c>
      <c r="M3415" s="41" t="e">
        <f>VLOOKUP(I3415,错误mRNA总表!D:I,6,FALSE)</f>
        <v>#N/A</v>
      </c>
    </row>
    <row r="3416" spans="1:13" x14ac:dyDescent="0.2">
      <c r="A3416" s="12" t="s">
        <v>5606</v>
      </c>
      <c r="B3416" s="12" t="s">
        <v>3978</v>
      </c>
      <c r="C3416" s="12">
        <v>44540462</v>
      </c>
      <c r="D3416" s="12">
        <v>44540791</v>
      </c>
      <c r="E3416" s="12" t="s">
        <v>3943</v>
      </c>
      <c r="F3416" s="12">
        <v>2</v>
      </c>
      <c r="G3416" s="41" t="s">
        <v>86</v>
      </c>
      <c r="H3416" s="12" t="s">
        <v>6301</v>
      </c>
      <c r="I3416" s="41" t="s">
        <v>8187</v>
      </c>
      <c r="M3416" s="41" t="e">
        <f>VLOOKUP(I3416,错误mRNA总表!D:I,6,FALSE)</f>
        <v>#N/A</v>
      </c>
    </row>
    <row r="3417" spans="1:13" x14ac:dyDescent="0.2">
      <c r="A3417" s="12" t="s">
        <v>5607</v>
      </c>
      <c r="B3417" s="12" t="s">
        <v>3957</v>
      </c>
      <c r="C3417" s="12">
        <v>46638826</v>
      </c>
      <c r="D3417" s="12">
        <v>46694313</v>
      </c>
      <c r="E3417" s="12" t="s">
        <v>3943</v>
      </c>
      <c r="F3417" s="12">
        <v>2</v>
      </c>
      <c r="G3417" s="41" t="s">
        <v>36</v>
      </c>
      <c r="H3417" s="12" t="s">
        <v>6302</v>
      </c>
      <c r="I3417" s="41" t="s">
        <v>8188</v>
      </c>
      <c r="M3417" s="41" t="e">
        <f>VLOOKUP(I3417,错误mRNA总表!D:I,6,FALSE)</f>
        <v>#N/A</v>
      </c>
    </row>
    <row r="3418" spans="1:13" x14ac:dyDescent="0.2">
      <c r="A3418" s="12" t="s">
        <v>5608</v>
      </c>
      <c r="B3418" s="12" t="s">
        <v>4055</v>
      </c>
      <c r="C3418" s="12">
        <v>7079944</v>
      </c>
      <c r="D3418" s="12">
        <v>7080212</v>
      </c>
      <c r="E3418" s="12" t="s">
        <v>3940</v>
      </c>
      <c r="F3418" s="12">
        <v>1</v>
      </c>
      <c r="G3418" s="41" t="s">
        <v>212</v>
      </c>
      <c r="H3418" s="12" t="s">
        <v>1004</v>
      </c>
      <c r="I3418" s="41" t="s">
        <v>3367</v>
      </c>
      <c r="J3418" s="41" t="s">
        <v>3367</v>
      </c>
      <c r="K3418" s="41" t="str">
        <f>VLOOKUP(J3418,错误mRNA总表!D:J,7,FALSE)</f>
        <v>纠后正确</v>
      </c>
      <c r="L3418" s="41" t="s">
        <v>3763</v>
      </c>
      <c r="M3418" s="41">
        <f>VLOOKUP(I3418,错误mRNA总表!D:I,6,FALSE)</f>
        <v>0</v>
      </c>
    </row>
    <row r="3419" spans="1:13" x14ac:dyDescent="0.2">
      <c r="A3419" s="12" t="s">
        <v>4511</v>
      </c>
      <c r="B3419" s="12" t="s">
        <v>3969</v>
      </c>
      <c r="C3419" s="12">
        <v>1832805</v>
      </c>
      <c r="D3419" s="12">
        <v>1852112</v>
      </c>
      <c r="E3419" s="12" t="s">
        <v>3943</v>
      </c>
      <c r="F3419" s="12">
        <v>1</v>
      </c>
      <c r="H3419" s="12" t="s">
        <v>3544</v>
      </c>
      <c r="I3419" s="41" t="s">
        <v>8189</v>
      </c>
      <c r="M3419" s="41" t="e">
        <f>VLOOKUP(I3419,错误mRNA总表!D:I,6,FALSE)</f>
        <v>#N/A</v>
      </c>
    </row>
    <row r="3420" spans="1:13" x14ac:dyDescent="0.2">
      <c r="A3420" s="12" t="s">
        <v>5609</v>
      </c>
      <c r="B3420" s="12" t="s">
        <v>3957</v>
      </c>
      <c r="C3420" s="12">
        <v>67777790</v>
      </c>
      <c r="D3420" s="12">
        <v>67789294</v>
      </c>
      <c r="E3420" s="12" t="s">
        <v>3940</v>
      </c>
      <c r="F3420" s="12">
        <v>1</v>
      </c>
      <c r="G3420" s="41" t="s">
        <v>36</v>
      </c>
      <c r="H3420" s="12" t="s">
        <v>191</v>
      </c>
      <c r="I3420" s="41" t="s">
        <v>2157</v>
      </c>
      <c r="J3420" s="41" t="s">
        <v>2157</v>
      </c>
      <c r="K3420" s="41" t="str">
        <f>VLOOKUP(J3420,错误mRNA总表!D:J,7,FALSE)</f>
        <v>纠后正确</v>
      </c>
      <c r="L3420" s="41" t="s">
        <v>3763</v>
      </c>
      <c r="M3420" s="41">
        <f>VLOOKUP(I3420,错误mRNA总表!D:I,6,FALSE)</f>
        <v>0</v>
      </c>
    </row>
    <row r="3421" spans="1:13" x14ac:dyDescent="0.2">
      <c r="A3421" s="12" t="s">
        <v>5609</v>
      </c>
      <c r="B3421" s="12" t="s">
        <v>3957</v>
      </c>
      <c r="C3421" s="12">
        <v>67777790</v>
      </c>
      <c r="D3421" s="12">
        <v>67795380</v>
      </c>
      <c r="E3421" s="12" t="s">
        <v>3940</v>
      </c>
      <c r="F3421" s="12">
        <v>1</v>
      </c>
      <c r="G3421" s="41" t="s">
        <v>36</v>
      </c>
      <c r="H3421" s="12" t="s">
        <v>191</v>
      </c>
      <c r="I3421" s="41" t="s">
        <v>2157</v>
      </c>
      <c r="J3421" s="41" t="s">
        <v>2157</v>
      </c>
      <c r="K3421" s="41" t="str">
        <f>VLOOKUP(J3421,错误mRNA总表!D:J,7,FALSE)</f>
        <v>纠后正确</v>
      </c>
      <c r="L3421" s="41" t="s">
        <v>3763</v>
      </c>
      <c r="M3421" s="41">
        <f>VLOOKUP(I3421,错误mRNA总表!D:I,6,FALSE)</f>
        <v>0</v>
      </c>
    </row>
    <row r="3422" spans="1:13" x14ac:dyDescent="0.2">
      <c r="A3422" s="12" t="s">
        <v>4376</v>
      </c>
      <c r="B3422" s="12" t="s">
        <v>3984</v>
      </c>
      <c r="C3422" s="12">
        <v>3001363</v>
      </c>
      <c r="D3422" s="12">
        <v>3023038</v>
      </c>
      <c r="E3422" s="12" t="s">
        <v>3940</v>
      </c>
      <c r="F3422" s="12">
        <v>1</v>
      </c>
      <c r="H3422" s="12" t="s">
        <v>5887</v>
      </c>
      <c r="I3422" s="41" t="s">
        <v>8190</v>
      </c>
      <c r="M3422" s="41" t="e">
        <f>VLOOKUP(I3422,错误mRNA总表!D:I,6,FALSE)</f>
        <v>#N/A</v>
      </c>
    </row>
    <row r="3423" spans="1:13" x14ac:dyDescent="0.2">
      <c r="A3423" s="12" t="s">
        <v>5610</v>
      </c>
      <c r="B3423" s="12" t="s">
        <v>5397</v>
      </c>
      <c r="C3423" s="12">
        <v>13278</v>
      </c>
      <c r="D3423" s="12">
        <v>46756</v>
      </c>
      <c r="E3423" s="12" t="s">
        <v>3940</v>
      </c>
      <c r="F3423" s="12">
        <v>1</v>
      </c>
      <c r="H3423" s="12" t="s">
        <v>6231</v>
      </c>
      <c r="I3423" s="41" t="s">
        <v>7963</v>
      </c>
      <c r="M3423" s="41" t="e">
        <f>VLOOKUP(I3423,错误mRNA总表!D:I,6,FALSE)</f>
        <v>#N/A</v>
      </c>
    </row>
    <row r="3424" spans="1:13" x14ac:dyDescent="0.2">
      <c r="A3424" s="12" t="s">
        <v>5611</v>
      </c>
      <c r="B3424" s="12" t="s">
        <v>4052</v>
      </c>
      <c r="C3424" s="12">
        <v>5196655</v>
      </c>
      <c r="D3424" s="12">
        <v>5202148</v>
      </c>
      <c r="E3424" s="12" t="s">
        <v>3940</v>
      </c>
      <c r="F3424" s="12">
        <v>55</v>
      </c>
      <c r="G3424" s="41" t="s">
        <v>93</v>
      </c>
      <c r="H3424" s="12" t="s">
        <v>6009</v>
      </c>
      <c r="I3424" s="41" t="s">
        <v>7300</v>
      </c>
      <c r="M3424" s="41" t="e">
        <f>VLOOKUP(I3424,错误mRNA总表!D:I,6,FALSE)</f>
        <v>#N/A</v>
      </c>
    </row>
    <row r="3425" spans="1:13" x14ac:dyDescent="0.2">
      <c r="A3425" s="12" t="s">
        <v>4453</v>
      </c>
      <c r="B3425" s="12" t="s">
        <v>3989</v>
      </c>
      <c r="C3425" s="12">
        <v>2461239</v>
      </c>
      <c r="D3425" s="12">
        <v>2466547</v>
      </c>
      <c r="E3425" s="12" t="s">
        <v>3943</v>
      </c>
      <c r="F3425" s="12">
        <v>1</v>
      </c>
      <c r="H3425" s="12" t="s">
        <v>3554</v>
      </c>
      <c r="I3425" s="41" t="s">
        <v>8191</v>
      </c>
      <c r="M3425" s="41" t="e">
        <f>VLOOKUP(I3425,错误mRNA总表!D:I,6,FALSE)</f>
        <v>#N/A</v>
      </c>
    </row>
    <row r="3426" spans="1:13" x14ac:dyDescent="0.2">
      <c r="A3426" s="12" t="s">
        <v>5612</v>
      </c>
      <c r="B3426" s="12" t="s">
        <v>3948</v>
      </c>
      <c r="C3426" s="12">
        <v>154002297</v>
      </c>
      <c r="D3426" s="12">
        <v>154264004</v>
      </c>
      <c r="E3426" s="12" t="s">
        <v>3943</v>
      </c>
      <c r="F3426" s="12">
        <v>2</v>
      </c>
      <c r="G3426" s="41" t="s">
        <v>40</v>
      </c>
      <c r="H3426" s="12" t="s">
        <v>257</v>
      </c>
      <c r="I3426" s="41" t="s">
        <v>8419</v>
      </c>
      <c r="J3426" s="41" t="s">
        <v>8420</v>
      </c>
      <c r="K3426" s="41" t="e">
        <f>VLOOKUP(J3426,错误mRNA总表!D:J,7,FALSE)</f>
        <v>#N/A</v>
      </c>
      <c r="M3426" s="41" t="e">
        <f>VLOOKUP(I3426,错误mRNA总表!D:I,6,FALSE)</f>
        <v>#N/A</v>
      </c>
    </row>
    <row r="3427" spans="1:13" x14ac:dyDescent="0.2">
      <c r="A3427" s="12" t="s">
        <v>5612</v>
      </c>
      <c r="B3427" s="12" t="s">
        <v>3948</v>
      </c>
      <c r="C3427" s="12">
        <v>154002297</v>
      </c>
      <c r="D3427" s="12">
        <v>154264011</v>
      </c>
      <c r="E3427" s="12" t="s">
        <v>3940</v>
      </c>
      <c r="F3427" s="12">
        <v>4</v>
      </c>
      <c r="G3427" s="41" t="s">
        <v>40</v>
      </c>
      <c r="H3427" s="12" t="s">
        <v>257</v>
      </c>
      <c r="I3427" s="41" t="s">
        <v>8192</v>
      </c>
      <c r="J3427" s="41" t="s">
        <v>8420</v>
      </c>
      <c r="K3427" s="41" t="e">
        <f>VLOOKUP(J3427,错误mRNA总表!D:J,7,FALSE)</f>
        <v>#N/A</v>
      </c>
      <c r="M3427" s="41" t="e">
        <f>VLOOKUP(I3427,错误mRNA总表!D:I,6,FALSE)</f>
        <v>#N/A</v>
      </c>
    </row>
    <row r="3428" spans="1:13" x14ac:dyDescent="0.2">
      <c r="A3428" s="12" t="s">
        <v>5613</v>
      </c>
      <c r="B3428" s="12" t="s">
        <v>3957</v>
      </c>
      <c r="C3428" s="12">
        <v>46638826</v>
      </c>
      <c r="D3428" s="12">
        <v>46694313</v>
      </c>
      <c r="E3428" s="12" t="s">
        <v>3943</v>
      </c>
      <c r="F3428" s="12">
        <v>2</v>
      </c>
      <c r="G3428" s="41" t="s">
        <v>36</v>
      </c>
      <c r="H3428" s="12" t="s">
        <v>6303</v>
      </c>
      <c r="I3428" s="41" t="s">
        <v>8193</v>
      </c>
      <c r="M3428" s="41" t="e">
        <f>VLOOKUP(I3428,错误mRNA总表!D:I,6,FALSE)</f>
        <v>#N/A</v>
      </c>
    </row>
    <row r="3429" spans="1:13" x14ac:dyDescent="0.2">
      <c r="A3429" s="12" t="s">
        <v>4194</v>
      </c>
      <c r="B3429" s="12" t="s">
        <v>4001</v>
      </c>
      <c r="C3429" s="12">
        <v>928284</v>
      </c>
      <c r="D3429" s="12">
        <v>943634</v>
      </c>
      <c r="E3429" s="12" t="s">
        <v>3943</v>
      </c>
      <c r="F3429" s="12">
        <v>4</v>
      </c>
      <c r="H3429" s="12" t="s">
        <v>3526</v>
      </c>
      <c r="I3429" s="41" t="s">
        <v>8194</v>
      </c>
      <c r="M3429" s="41" t="e">
        <f>VLOOKUP(I3429,错误mRNA总表!D:I,6,FALSE)</f>
        <v>#N/A</v>
      </c>
    </row>
    <row r="3430" spans="1:13" x14ac:dyDescent="0.2">
      <c r="A3430" s="12" t="s">
        <v>5614</v>
      </c>
      <c r="B3430" s="12" t="s">
        <v>3973</v>
      </c>
      <c r="C3430" s="12">
        <v>206516197</v>
      </c>
      <c r="D3430" s="12">
        <v>206635270</v>
      </c>
      <c r="E3430" s="12" t="s">
        <v>3940</v>
      </c>
      <c r="F3430" s="12">
        <v>4</v>
      </c>
      <c r="G3430" s="41" t="s">
        <v>139</v>
      </c>
      <c r="H3430" s="12" t="s">
        <v>196</v>
      </c>
      <c r="I3430" s="41" t="s">
        <v>3311</v>
      </c>
      <c r="J3430" s="41" t="s">
        <v>3311</v>
      </c>
      <c r="K3430" s="41" t="str">
        <f>VLOOKUP(J3430,错误mRNA总表!D:J,7,FALSE)</f>
        <v/>
      </c>
      <c r="M3430" s="41">
        <f>VLOOKUP(I3430,错误mRNA总表!D:I,6,FALSE)</f>
        <v>0</v>
      </c>
    </row>
    <row r="3431" spans="1:13" x14ac:dyDescent="0.2">
      <c r="A3431" s="12" t="s">
        <v>5614</v>
      </c>
      <c r="B3431" s="12" t="s">
        <v>3973</v>
      </c>
      <c r="C3431" s="12">
        <v>206516197</v>
      </c>
      <c r="D3431" s="12">
        <v>206636501</v>
      </c>
      <c r="E3431" s="12" t="s">
        <v>3940</v>
      </c>
      <c r="F3431" s="12">
        <v>1</v>
      </c>
      <c r="G3431" s="41" t="s">
        <v>139</v>
      </c>
      <c r="H3431" s="12" t="s">
        <v>196</v>
      </c>
      <c r="I3431" s="41" t="s">
        <v>3311</v>
      </c>
      <c r="J3431" s="41" t="s">
        <v>3311</v>
      </c>
      <c r="K3431" s="41" t="str">
        <f>VLOOKUP(J3431,错误mRNA总表!D:J,7,FALSE)</f>
        <v/>
      </c>
      <c r="M3431" s="41">
        <f>VLOOKUP(I3431,错误mRNA总表!D:I,6,FALSE)</f>
        <v>0</v>
      </c>
    </row>
    <row r="3432" spans="1:13" x14ac:dyDescent="0.2">
      <c r="A3432" s="12" t="s">
        <v>5615</v>
      </c>
      <c r="B3432" s="12" t="s">
        <v>3948</v>
      </c>
      <c r="C3432" s="12">
        <v>100331249</v>
      </c>
      <c r="D3432" s="12">
        <v>100371476</v>
      </c>
      <c r="E3432" s="12" t="s">
        <v>3940</v>
      </c>
      <c r="F3432" s="12">
        <v>1</v>
      </c>
      <c r="G3432" s="41" t="s">
        <v>40</v>
      </c>
      <c r="H3432" s="12" t="s">
        <v>748</v>
      </c>
      <c r="I3432" s="41" t="s">
        <v>3351</v>
      </c>
      <c r="J3432" s="41" t="s">
        <v>3351</v>
      </c>
      <c r="K3432" s="41" t="str">
        <f>VLOOKUP(J3432,错误mRNA总表!D:J,7,FALSE)</f>
        <v>纠后正确</v>
      </c>
      <c r="L3432" s="41" t="s">
        <v>3763</v>
      </c>
      <c r="M3432" s="41">
        <f>VLOOKUP(I3432,错误mRNA总表!D:I,6,FALSE)</f>
        <v>0</v>
      </c>
    </row>
    <row r="3433" spans="1:13" x14ac:dyDescent="0.2">
      <c r="A3433" s="12" t="s">
        <v>4926</v>
      </c>
      <c r="B3433" s="12" t="s">
        <v>3984</v>
      </c>
      <c r="C3433" s="12">
        <v>2900437</v>
      </c>
      <c r="D3433" s="12">
        <v>2900533</v>
      </c>
      <c r="E3433" s="12" t="s">
        <v>3943</v>
      </c>
      <c r="F3433" s="12">
        <v>4</v>
      </c>
      <c r="H3433" s="12" t="s">
        <v>3561</v>
      </c>
      <c r="I3433" s="41" t="s">
        <v>8195</v>
      </c>
      <c r="M3433" s="41" t="e">
        <f>VLOOKUP(I3433,错误mRNA总表!D:I,6,FALSE)</f>
        <v>#N/A</v>
      </c>
    </row>
    <row r="3434" spans="1:13" x14ac:dyDescent="0.2">
      <c r="A3434" s="12" t="s">
        <v>5616</v>
      </c>
      <c r="B3434" s="12" t="s">
        <v>3948</v>
      </c>
      <c r="C3434" s="12">
        <v>148892554</v>
      </c>
      <c r="D3434" s="12">
        <v>148921870</v>
      </c>
      <c r="E3434" s="12" t="s">
        <v>3940</v>
      </c>
      <c r="F3434" s="12">
        <v>1</v>
      </c>
      <c r="G3434" s="41" t="s">
        <v>40</v>
      </c>
      <c r="H3434" s="12" t="s">
        <v>6304</v>
      </c>
      <c r="I3434" s="41" t="s">
        <v>8196</v>
      </c>
      <c r="M3434" s="41" t="e">
        <f>VLOOKUP(I3434,错误mRNA总表!D:I,6,FALSE)</f>
        <v>#N/A</v>
      </c>
    </row>
    <row r="3435" spans="1:13" x14ac:dyDescent="0.2">
      <c r="A3435" s="12" t="s">
        <v>5486</v>
      </c>
      <c r="B3435" s="12" t="s">
        <v>3946</v>
      </c>
      <c r="C3435" s="12">
        <v>26721661</v>
      </c>
      <c r="D3435" s="12">
        <v>26727721</v>
      </c>
      <c r="E3435" s="12" t="s">
        <v>3943</v>
      </c>
      <c r="F3435" s="12">
        <v>1</v>
      </c>
      <c r="G3435" s="41" t="s">
        <v>47</v>
      </c>
      <c r="H3435" s="12" t="s">
        <v>1165</v>
      </c>
      <c r="I3435" s="41" t="s">
        <v>3387</v>
      </c>
      <c r="J3435" s="41" t="s">
        <v>3387</v>
      </c>
      <c r="K3435" s="41" t="str">
        <f>VLOOKUP(J3435,错误mRNA总表!D:J,7,FALSE)</f>
        <v>纠后正确</v>
      </c>
      <c r="L3435" s="41" t="s">
        <v>3763</v>
      </c>
      <c r="M3435" s="41">
        <f>VLOOKUP(I3435,错误mRNA总表!D:I,6,FALSE)</f>
        <v>0</v>
      </c>
    </row>
    <row r="3436" spans="1:13" x14ac:dyDescent="0.2">
      <c r="A3436" s="12" t="s">
        <v>4746</v>
      </c>
      <c r="B3436" s="12" t="s">
        <v>4199</v>
      </c>
      <c r="C3436" s="12">
        <v>429323</v>
      </c>
      <c r="D3436" s="12">
        <v>440661</v>
      </c>
      <c r="E3436" s="12" t="s">
        <v>3943</v>
      </c>
      <c r="F3436" s="12">
        <v>1</v>
      </c>
      <c r="H3436" s="12" t="s">
        <v>6012</v>
      </c>
      <c r="I3436" s="41" t="s">
        <v>8197</v>
      </c>
      <c r="M3436" s="41" t="e">
        <f>VLOOKUP(I3436,错误mRNA总表!D:I,6,FALSE)</f>
        <v>#N/A</v>
      </c>
    </row>
    <row r="3437" spans="1:13" x14ac:dyDescent="0.2">
      <c r="A3437" s="12" t="s">
        <v>4746</v>
      </c>
      <c r="B3437" s="12" t="s">
        <v>4199</v>
      </c>
      <c r="C3437" s="12">
        <v>429323</v>
      </c>
      <c r="D3437" s="12">
        <v>430974</v>
      </c>
      <c r="E3437" s="12" t="s">
        <v>3940</v>
      </c>
      <c r="F3437" s="12">
        <v>4</v>
      </c>
      <c r="H3437" s="12" t="s">
        <v>6012</v>
      </c>
      <c r="I3437" s="41" t="s">
        <v>8197</v>
      </c>
      <c r="M3437" s="41" t="e">
        <f>VLOOKUP(I3437,错误mRNA总表!D:I,6,FALSE)</f>
        <v>#N/A</v>
      </c>
    </row>
    <row r="3438" spans="1:13" x14ac:dyDescent="0.2">
      <c r="A3438" s="12" t="s">
        <v>5617</v>
      </c>
      <c r="B3438" s="12" t="s">
        <v>4018</v>
      </c>
      <c r="C3438" s="12">
        <v>34915344</v>
      </c>
      <c r="D3438" s="12">
        <v>34949497</v>
      </c>
      <c r="E3438" s="12" t="s">
        <v>3940</v>
      </c>
      <c r="F3438" s="12">
        <v>1</v>
      </c>
      <c r="G3438" s="41" t="s">
        <v>241</v>
      </c>
      <c r="H3438" s="12" t="s">
        <v>6305</v>
      </c>
      <c r="I3438" s="41" t="s">
        <v>8198</v>
      </c>
      <c r="M3438" s="41" t="e">
        <f>VLOOKUP(I3438,错误mRNA总表!D:I,6,FALSE)</f>
        <v>#N/A</v>
      </c>
    </row>
    <row r="3439" spans="1:13" x14ac:dyDescent="0.2">
      <c r="A3439" s="12" t="s">
        <v>4898</v>
      </c>
      <c r="B3439" s="12" t="s">
        <v>3952</v>
      </c>
      <c r="C3439" s="12">
        <v>248805</v>
      </c>
      <c r="D3439" s="12">
        <v>248840</v>
      </c>
      <c r="E3439" s="12" t="s">
        <v>3940</v>
      </c>
      <c r="F3439" s="12">
        <v>2</v>
      </c>
      <c r="H3439" s="12" t="s">
        <v>3656</v>
      </c>
      <c r="I3439" s="41" t="s">
        <v>6724</v>
      </c>
      <c r="M3439" s="41" t="e">
        <f>VLOOKUP(I3439,错误mRNA总表!D:I,6,FALSE)</f>
        <v>#N/A</v>
      </c>
    </row>
    <row r="3440" spans="1:13" x14ac:dyDescent="0.2">
      <c r="A3440" s="12" t="s">
        <v>5618</v>
      </c>
      <c r="B3440" s="12" t="s">
        <v>3978</v>
      </c>
      <c r="C3440" s="12">
        <v>121774209</v>
      </c>
      <c r="D3440" s="12">
        <v>121838797</v>
      </c>
      <c r="E3440" s="12" t="s">
        <v>3943</v>
      </c>
      <c r="F3440" s="12">
        <v>2</v>
      </c>
      <c r="G3440" s="41" t="s">
        <v>86</v>
      </c>
      <c r="H3440" s="12" t="s">
        <v>540</v>
      </c>
      <c r="I3440" s="41" t="s">
        <v>2491</v>
      </c>
      <c r="J3440" s="41" t="s">
        <v>2491</v>
      </c>
      <c r="K3440" s="41" t="str">
        <f>VLOOKUP(J3440,错误mRNA总表!D:J,7,FALSE)</f>
        <v/>
      </c>
      <c r="L3440" s="41" t="s">
        <v>3762</v>
      </c>
      <c r="M3440" s="41">
        <f>VLOOKUP(I3440,错误mRNA总表!D:I,6,FALSE)</f>
        <v>0</v>
      </c>
    </row>
    <row r="3441" spans="1:13" x14ac:dyDescent="0.2">
      <c r="A3441" s="12" t="s">
        <v>4388</v>
      </c>
      <c r="B3441" s="12" t="s">
        <v>3984</v>
      </c>
      <c r="C3441" s="12">
        <v>4518583</v>
      </c>
      <c r="D3441" s="12">
        <v>4518636</v>
      </c>
      <c r="E3441" s="12" t="s">
        <v>3943</v>
      </c>
      <c r="F3441" s="12">
        <v>1</v>
      </c>
      <c r="H3441" s="12" t="s">
        <v>3592</v>
      </c>
      <c r="I3441" s="41" t="s">
        <v>8199</v>
      </c>
      <c r="M3441" s="41" t="e">
        <f>VLOOKUP(I3441,错误mRNA总表!D:I,6,FALSE)</f>
        <v>#N/A</v>
      </c>
    </row>
    <row r="3442" spans="1:13" x14ac:dyDescent="0.2">
      <c r="A3442" s="12" t="s">
        <v>5619</v>
      </c>
      <c r="B3442" s="12" t="s">
        <v>4023</v>
      </c>
      <c r="C3442" s="12">
        <v>762280</v>
      </c>
      <c r="D3442" s="12">
        <v>895550</v>
      </c>
      <c r="E3442" s="12" t="s">
        <v>3940</v>
      </c>
      <c r="F3442" s="12">
        <v>1</v>
      </c>
      <c r="H3442" s="12" t="s">
        <v>3640</v>
      </c>
      <c r="I3442" s="41" t="s">
        <v>8200</v>
      </c>
      <c r="M3442" s="41" t="e">
        <f>VLOOKUP(I3442,错误mRNA总表!D:I,6,FALSE)</f>
        <v>#N/A</v>
      </c>
    </row>
    <row r="3443" spans="1:13" x14ac:dyDescent="0.2">
      <c r="A3443" s="12" t="s">
        <v>5619</v>
      </c>
      <c r="B3443" s="12" t="s">
        <v>4023</v>
      </c>
      <c r="C3443" s="12">
        <v>762280</v>
      </c>
      <c r="D3443" s="12">
        <v>763397</v>
      </c>
      <c r="E3443" s="12" t="s">
        <v>3940</v>
      </c>
      <c r="F3443" s="12">
        <v>3</v>
      </c>
      <c r="H3443" s="12" t="s">
        <v>3640</v>
      </c>
      <c r="I3443" s="41" t="s">
        <v>8200</v>
      </c>
      <c r="M3443" s="41" t="e">
        <f>VLOOKUP(I3443,错误mRNA总表!D:I,6,FALSE)</f>
        <v>#N/A</v>
      </c>
    </row>
    <row r="3444" spans="1:13" x14ac:dyDescent="0.2">
      <c r="A3444" s="12" t="s">
        <v>5619</v>
      </c>
      <c r="B3444" s="12" t="s">
        <v>4023</v>
      </c>
      <c r="C3444" s="12">
        <v>762280</v>
      </c>
      <c r="D3444" s="12">
        <v>763561</v>
      </c>
      <c r="E3444" s="12" t="s">
        <v>3940</v>
      </c>
      <c r="F3444" s="12">
        <v>3</v>
      </c>
      <c r="H3444" s="12" t="s">
        <v>3640</v>
      </c>
      <c r="I3444" s="41" t="s">
        <v>8200</v>
      </c>
      <c r="M3444" s="41" t="e">
        <f>VLOOKUP(I3444,错误mRNA总表!D:I,6,FALSE)</f>
        <v>#N/A</v>
      </c>
    </row>
    <row r="3445" spans="1:13" x14ac:dyDescent="0.2">
      <c r="A3445" s="12" t="s">
        <v>5619</v>
      </c>
      <c r="B3445" s="12" t="s">
        <v>4023</v>
      </c>
      <c r="C3445" s="12">
        <v>762280</v>
      </c>
      <c r="D3445" s="12">
        <v>763693</v>
      </c>
      <c r="E3445" s="12" t="s">
        <v>3940</v>
      </c>
      <c r="F3445" s="12">
        <v>1</v>
      </c>
      <c r="H3445" s="12" t="s">
        <v>3640</v>
      </c>
      <c r="I3445" s="41" t="s">
        <v>8200</v>
      </c>
      <c r="M3445" s="41" t="e">
        <f>VLOOKUP(I3445,错误mRNA总表!D:I,6,FALSE)</f>
        <v>#N/A</v>
      </c>
    </row>
    <row r="3446" spans="1:13" x14ac:dyDescent="0.2">
      <c r="A3446" s="12" t="s">
        <v>5619</v>
      </c>
      <c r="B3446" s="12" t="s">
        <v>4023</v>
      </c>
      <c r="C3446" s="12">
        <v>762280</v>
      </c>
      <c r="D3446" s="12">
        <v>764045</v>
      </c>
      <c r="E3446" s="12" t="s">
        <v>3943</v>
      </c>
      <c r="F3446" s="12">
        <v>1</v>
      </c>
      <c r="H3446" s="12" t="s">
        <v>3640</v>
      </c>
      <c r="I3446" s="41" t="s">
        <v>8200</v>
      </c>
      <c r="M3446" s="41" t="e">
        <f>VLOOKUP(I3446,错误mRNA总表!D:I,6,FALSE)</f>
        <v>#N/A</v>
      </c>
    </row>
    <row r="3447" spans="1:13" x14ac:dyDescent="0.2">
      <c r="A3447" s="12" t="s">
        <v>5619</v>
      </c>
      <c r="B3447" s="12" t="s">
        <v>4023</v>
      </c>
      <c r="C3447" s="12">
        <v>762280</v>
      </c>
      <c r="D3447" s="12">
        <v>764501</v>
      </c>
      <c r="E3447" s="12" t="s">
        <v>3943</v>
      </c>
      <c r="F3447" s="12">
        <v>1</v>
      </c>
      <c r="H3447" s="12" t="s">
        <v>3640</v>
      </c>
      <c r="I3447" s="41" t="s">
        <v>8200</v>
      </c>
      <c r="M3447" s="41" t="e">
        <f>VLOOKUP(I3447,错误mRNA总表!D:I,6,FALSE)</f>
        <v>#N/A</v>
      </c>
    </row>
    <row r="3448" spans="1:13" x14ac:dyDescent="0.2">
      <c r="A3448" s="12" t="s">
        <v>5619</v>
      </c>
      <c r="B3448" s="12" t="s">
        <v>4023</v>
      </c>
      <c r="C3448" s="12">
        <v>762280</v>
      </c>
      <c r="D3448" s="12">
        <v>765228</v>
      </c>
      <c r="E3448" s="12" t="s">
        <v>3940</v>
      </c>
      <c r="F3448" s="12">
        <v>2</v>
      </c>
      <c r="H3448" s="12" t="s">
        <v>3640</v>
      </c>
      <c r="I3448" s="41" t="s">
        <v>8200</v>
      </c>
      <c r="M3448" s="41" t="e">
        <f>VLOOKUP(I3448,错误mRNA总表!D:I,6,FALSE)</f>
        <v>#N/A</v>
      </c>
    </row>
    <row r="3449" spans="1:13" x14ac:dyDescent="0.2">
      <c r="A3449" s="12" t="s">
        <v>5619</v>
      </c>
      <c r="B3449" s="12" t="s">
        <v>4023</v>
      </c>
      <c r="C3449" s="12">
        <v>762280</v>
      </c>
      <c r="D3449" s="12">
        <v>765290</v>
      </c>
      <c r="E3449" s="12" t="s">
        <v>3943</v>
      </c>
      <c r="F3449" s="12">
        <v>1</v>
      </c>
      <c r="H3449" s="12" t="s">
        <v>3640</v>
      </c>
      <c r="I3449" s="41" t="s">
        <v>8200</v>
      </c>
      <c r="M3449" s="41" t="e">
        <f>VLOOKUP(I3449,错误mRNA总表!D:I,6,FALSE)</f>
        <v>#N/A</v>
      </c>
    </row>
    <row r="3450" spans="1:13" x14ac:dyDescent="0.2">
      <c r="A3450" s="12" t="s">
        <v>5619</v>
      </c>
      <c r="B3450" s="12" t="s">
        <v>4023</v>
      </c>
      <c r="C3450" s="12">
        <v>762280</v>
      </c>
      <c r="D3450" s="12">
        <v>765526</v>
      </c>
      <c r="E3450" s="12" t="s">
        <v>3943</v>
      </c>
      <c r="F3450" s="12">
        <v>2</v>
      </c>
      <c r="H3450" s="12" t="s">
        <v>3640</v>
      </c>
      <c r="I3450" s="41" t="s">
        <v>8200</v>
      </c>
      <c r="M3450" s="41" t="e">
        <f>VLOOKUP(I3450,错误mRNA总表!D:I,6,FALSE)</f>
        <v>#N/A</v>
      </c>
    </row>
    <row r="3451" spans="1:13" x14ac:dyDescent="0.2">
      <c r="A3451" s="12" t="s">
        <v>5619</v>
      </c>
      <c r="B3451" s="12" t="s">
        <v>4023</v>
      </c>
      <c r="C3451" s="12">
        <v>762280</v>
      </c>
      <c r="D3451" s="12">
        <v>766121</v>
      </c>
      <c r="E3451" s="12" t="s">
        <v>3943</v>
      </c>
      <c r="F3451" s="12">
        <v>1</v>
      </c>
      <c r="H3451" s="12" t="s">
        <v>3640</v>
      </c>
      <c r="I3451" s="41" t="s">
        <v>8200</v>
      </c>
      <c r="M3451" s="41" t="e">
        <f>VLOOKUP(I3451,错误mRNA总表!D:I,6,FALSE)</f>
        <v>#N/A</v>
      </c>
    </row>
    <row r="3452" spans="1:13" x14ac:dyDescent="0.2">
      <c r="A3452" s="12" t="s">
        <v>5619</v>
      </c>
      <c r="B3452" s="12" t="s">
        <v>4023</v>
      </c>
      <c r="C3452" s="12">
        <v>762280</v>
      </c>
      <c r="D3452" s="12">
        <v>766198</v>
      </c>
      <c r="E3452" s="12" t="s">
        <v>3943</v>
      </c>
      <c r="F3452" s="12">
        <v>1</v>
      </c>
      <c r="H3452" s="12" t="s">
        <v>3640</v>
      </c>
      <c r="I3452" s="41" t="s">
        <v>8200</v>
      </c>
      <c r="M3452" s="41" t="e">
        <f>VLOOKUP(I3452,错误mRNA总表!D:I,6,FALSE)</f>
        <v>#N/A</v>
      </c>
    </row>
    <row r="3453" spans="1:13" x14ac:dyDescent="0.2">
      <c r="A3453" s="12" t="s">
        <v>5620</v>
      </c>
      <c r="B3453" s="12" t="s">
        <v>4052</v>
      </c>
      <c r="C3453" s="12">
        <v>61005889</v>
      </c>
      <c r="D3453" s="12">
        <v>61006802</v>
      </c>
      <c r="E3453" s="12" t="s">
        <v>3940</v>
      </c>
      <c r="F3453" s="12">
        <v>1</v>
      </c>
      <c r="G3453" s="41" t="s">
        <v>93</v>
      </c>
      <c r="H3453" s="12" t="s">
        <v>6306</v>
      </c>
      <c r="I3453" s="41" t="s">
        <v>8201</v>
      </c>
      <c r="M3453" s="41" t="e">
        <f>VLOOKUP(I3453,错误mRNA总表!D:I,6,FALSE)</f>
        <v>#N/A</v>
      </c>
    </row>
    <row r="3454" spans="1:13" x14ac:dyDescent="0.2">
      <c r="A3454" s="12" t="s">
        <v>5621</v>
      </c>
      <c r="B3454" s="12" t="s">
        <v>3966</v>
      </c>
      <c r="C3454" s="12">
        <v>20778874</v>
      </c>
      <c r="D3454" s="12">
        <v>20779973</v>
      </c>
      <c r="E3454" s="12" t="s">
        <v>3940</v>
      </c>
      <c r="F3454" s="12">
        <v>1</v>
      </c>
      <c r="G3454" s="41" t="s">
        <v>43</v>
      </c>
      <c r="H3454" s="12" t="s">
        <v>6597</v>
      </c>
      <c r="I3454" s="41" t="s">
        <v>8202</v>
      </c>
      <c r="M3454" s="41" t="e">
        <f>VLOOKUP(I3454,错误mRNA总表!D:I,6,FALSE)</f>
        <v>#N/A</v>
      </c>
    </row>
    <row r="3455" spans="1:13" x14ac:dyDescent="0.2">
      <c r="A3455" s="12" t="s">
        <v>5621</v>
      </c>
      <c r="B3455" s="12" t="s">
        <v>3966</v>
      </c>
      <c r="C3455" s="12">
        <v>20778874</v>
      </c>
      <c r="D3455" s="12">
        <v>20780024</v>
      </c>
      <c r="E3455" s="12" t="s">
        <v>3940</v>
      </c>
      <c r="F3455" s="12">
        <v>1</v>
      </c>
      <c r="G3455" s="41" t="s">
        <v>43</v>
      </c>
      <c r="H3455" s="12" t="s">
        <v>6597</v>
      </c>
      <c r="I3455" s="41" t="s">
        <v>8202</v>
      </c>
      <c r="M3455" s="41" t="e">
        <f>VLOOKUP(I3455,错误mRNA总表!D:I,6,FALSE)</f>
        <v>#N/A</v>
      </c>
    </row>
    <row r="3456" spans="1:13" x14ac:dyDescent="0.2">
      <c r="A3456" s="12" t="s">
        <v>5621</v>
      </c>
      <c r="B3456" s="12" t="s">
        <v>3966</v>
      </c>
      <c r="C3456" s="12">
        <v>20778874</v>
      </c>
      <c r="D3456" s="12">
        <v>20780029</v>
      </c>
      <c r="E3456" s="12" t="s">
        <v>3940</v>
      </c>
      <c r="F3456" s="12">
        <v>1</v>
      </c>
      <c r="G3456" s="41" t="s">
        <v>43</v>
      </c>
      <c r="H3456" s="12" t="s">
        <v>6597</v>
      </c>
      <c r="I3456" s="41" t="s">
        <v>8202</v>
      </c>
      <c r="M3456" s="41" t="e">
        <f>VLOOKUP(I3456,错误mRNA总表!D:I,6,FALSE)</f>
        <v>#N/A</v>
      </c>
    </row>
    <row r="3457" spans="1:13" x14ac:dyDescent="0.2">
      <c r="A3457" s="12" t="s">
        <v>5622</v>
      </c>
      <c r="B3457" s="12" t="s">
        <v>3999</v>
      </c>
      <c r="C3457" s="12">
        <v>489200</v>
      </c>
      <c r="D3457" s="12">
        <v>497593</v>
      </c>
      <c r="E3457" s="12" t="s">
        <v>3940</v>
      </c>
      <c r="F3457" s="12">
        <v>517</v>
      </c>
      <c r="H3457" s="12" t="s">
        <v>6307</v>
      </c>
      <c r="I3457" s="41" t="s">
        <v>8203</v>
      </c>
      <c r="M3457" s="41" t="e">
        <f>VLOOKUP(I3457,错误mRNA总表!D:I,6,FALSE)</f>
        <v>#N/A</v>
      </c>
    </row>
    <row r="3458" spans="1:13" x14ac:dyDescent="0.2">
      <c r="A3458" s="12" t="s">
        <v>5622</v>
      </c>
      <c r="B3458" s="12" t="s">
        <v>3999</v>
      </c>
      <c r="C3458" s="12">
        <v>489200</v>
      </c>
      <c r="D3458" s="12">
        <v>499352</v>
      </c>
      <c r="E3458" s="12" t="s">
        <v>3940</v>
      </c>
      <c r="F3458" s="12">
        <v>1</v>
      </c>
      <c r="H3458" s="12" t="s">
        <v>6307</v>
      </c>
      <c r="I3458" s="41" t="s">
        <v>8203</v>
      </c>
      <c r="M3458" s="41" t="e">
        <f>VLOOKUP(I3458,错误mRNA总表!D:I,6,FALSE)</f>
        <v>#N/A</v>
      </c>
    </row>
    <row r="3459" spans="1:13" x14ac:dyDescent="0.2">
      <c r="A3459" s="12" t="s">
        <v>5622</v>
      </c>
      <c r="B3459" s="12" t="s">
        <v>3999</v>
      </c>
      <c r="C3459" s="12">
        <v>489200</v>
      </c>
      <c r="D3459" s="12">
        <v>499365</v>
      </c>
      <c r="E3459" s="12" t="s">
        <v>3940</v>
      </c>
      <c r="F3459" s="12">
        <v>1</v>
      </c>
      <c r="H3459" s="12" t="s">
        <v>6307</v>
      </c>
      <c r="I3459" s="41" t="s">
        <v>8203</v>
      </c>
      <c r="M3459" s="41" t="e">
        <f>VLOOKUP(I3459,错误mRNA总表!D:I,6,FALSE)</f>
        <v>#N/A</v>
      </c>
    </row>
    <row r="3460" spans="1:13" x14ac:dyDescent="0.2">
      <c r="A3460" s="12" t="s">
        <v>5623</v>
      </c>
      <c r="B3460" s="12" t="s">
        <v>3994</v>
      </c>
      <c r="C3460" s="12">
        <v>2043605</v>
      </c>
      <c r="D3460" s="12">
        <v>2046974</v>
      </c>
      <c r="E3460" s="12" t="s">
        <v>3940</v>
      </c>
      <c r="F3460" s="12">
        <v>92</v>
      </c>
      <c r="H3460" s="12" t="s">
        <v>3418</v>
      </c>
      <c r="I3460" s="41" t="s">
        <v>8204</v>
      </c>
      <c r="M3460" s="41" t="e">
        <f>VLOOKUP(I3460,错误mRNA总表!D:I,6,FALSE)</f>
        <v>#N/A</v>
      </c>
    </row>
    <row r="3461" spans="1:13" x14ac:dyDescent="0.2">
      <c r="A3461" s="12" t="s">
        <v>4917</v>
      </c>
      <c r="B3461" s="12" t="s">
        <v>3996</v>
      </c>
      <c r="C3461" s="12">
        <v>1739435</v>
      </c>
      <c r="D3461" s="12">
        <v>1743310</v>
      </c>
      <c r="E3461" s="12" t="s">
        <v>3940</v>
      </c>
      <c r="F3461" s="12">
        <v>1</v>
      </c>
      <c r="H3461" s="12" t="s">
        <v>6076</v>
      </c>
      <c r="I3461" s="41" t="s">
        <v>8205</v>
      </c>
      <c r="M3461" s="41" t="e">
        <f>VLOOKUP(I3461,错误mRNA总表!D:I,6,FALSE)</f>
        <v>#N/A</v>
      </c>
    </row>
    <row r="3462" spans="1:13" x14ac:dyDescent="0.2">
      <c r="A3462" s="12" t="s">
        <v>4917</v>
      </c>
      <c r="B3462" s="12" t="s">
        <v>3996</v>
      </c>
      <c r="C3462" s="12">
        <v>1739435</v>
      </c>
      <c r="D3462" s="12">
        <v>1743589</v>
      </c>
      <c r="E3462" s="12" t="s">
        <v>3943</v>
      </c>
      <c r="F3462" s="12">
        <v>1</v>
      </c>
      <c r="H3462" s="12" t="s">
        <v>6076</v>
      </c>
      <c r="I3462" s="41" t="s">
        <v>8205</v>
      </c>
      <c r="M3462" s="41" t="e">
        <f>VLOOKUP(I3462,错误mRNA总表!D:I,6,FALSE)</f>
        <v>#N/A</v>
      </c>
    </row>
    <row r="3463" spans="1:13" x14ac:dyDescent="0.2">
      <c r="A3463" s="12" t="s">
        <v>4917</v>
      </c>
      <c r="B3463" s="12" t="s">
        <v>3996</v>
      </c>
      <c r="C3463" s="12">
        <v>1739435</v>
      </c>
      <c r="D3463" s="12">
        <v>1744572</v>
      </c>
      <c r="E3463" s="12" t="s">
        <v>3940</v>
      </c>
      <c r="F3463" s="12">
        <v>4</v>
      </c>
      <c r="H3463" s="12" t="s">
        <v>6076</v>
      </c>
      <c r="I3463" s="41" t="s">
        <v>8205</v>
      </c>
      <c r="M3463" s="41" t="e">
        <f>VLOOKUP(I3463,错误mRNA总表!D:I,6,FALSE)</f>
        <v>#N/A</v>
      </c>
    </row>
    <row r="3464" spans="1:13" x14ac:dyDescent="0.2">
      <c r="A3464" s="12" t="s">
        <v>4917</v>
      </c>
      <c r="B3464" s="12" t="s">
        <v>3996</v>
      </c>
      <c r="C3464" s="12">
        <v>1739435</v>
      </c>
      <c r="D3464" s="12">
        <v>1745399</v>
      </c>
      <c r="E3464" s="12" t="s">
        <v>3943</v>
      </c>
      <c r="F3464" s="12">
        <v>4</v>
      </c>
      <c r="H3464" s="12" t="s">
        <v>6076</v>
      </c>
      <c r="I3464" s="41" t="s">
        <v>8205</v>
      </c>
      <c r="M3464" s="41" t="e">
        <f>VLOOKUP(I3464,错误mRNA总表!D:I,6,FALSE)</f>
        <v>#N/A</v>
      </c>
    </row>
    <row r="3465" spans="1:13" x14ac:dyDescent="0.2">
      <c r="A3465" s="12" t="s">
        <v>5624</v>
      </c>
      <c r="B3465" s="12" t="s">
        <v>4042</v>
      </c>
      <c r="C3465" s="12">
        <v>101844133</v>
      </c>
      <c r="D3465" s="12">
        <v>102029685</v>
      </c>
      <c r="E3465" s="12" t="s">
        <v>3940</v>
      </c>
      <c r="F3465" s="12">
        <v>2</v>
      </c>
      <c r="G3465" s="41" t="s">
        <v>113</v>
      </c>
      <c r="H3465" s="12" t="s">
        <v>112</v>
      </c>
      <c r="I3465" s="41" t="s">
        <v>2113</v>
      </c>
      <c r="J3465" s="41" t="s">
        <v>2113</v>
      </c>
      <c r="K3465" s="41" t="str">
        <f>VLOOKUP(J3465,错误mRNA总表!D:J,7,FALSE)</f>
        <v>纠后正确</v>
      </c>
      <c r="L3465" s="41" t="s">
        <v>3763</v>
      </c>
      <c r="M3465" s="41">
        <f>VLOOKUP(I3465,错误mRNA总表!D:I,6,FALSE)</f>
        <v>0</v>
      </c>
    </row>
    <row r="3466" spans="1:13" x14ac:dyDescent="0.2">
      <c r="A3466" s="12" t="s">
        <v>5625</v>
      </c>
      <c r="B3466" s="12" t="s">
        <v>3957</v>
      </c>
      <c r="C3466" s="12">
        <v>27676440</v>
      </c>
      <c r="D3466" s="12">
        <v>27721195</v>
      </c>
      <c r="E3466" s="12" t="s">
        <v>3943</v>
      </c>
      <c r="F3466" s="12">
        <v>1</v>
      </c>
      <c r="G3466" s="41" t="s">
        <v>36</v>
      </c>
      <c r="H3466" s="12" t="s">
        <v>6559</v>
      </c>
      <c r="I3466" s="41" t="s">
        <v>8206</v>
      </c>
      <c r="M3466" s="41" t="e">
        <f>VLOOKUP(I3466,错误mRNA总表!D:I,6,FALSE)</f>
        <v>#N/A</v>
      </c>
    </row>
    <row r="3467" spans="1:13" x14ac:dyDescent="0.2">
      <c r="A3467" s="12" t="s">
        <v>5625</v>
      </c>
      <c r="B3467" s="12" t="s">
        <v>3957</v>
      </c>
      <c r="C3467" s="12">
        <v>27676440</v>
      </c>
      <c r="D3467" s="12">
        <v>27676545</v>
      </c>
      <c r="E3467" s="12" t="s">
        <v>3943</v>
      </c>
      <c r="F3467" s="12">
        <v>1</v>
      </c>
      <c r="G3467" s="41" t="s">
        <v>36</v>
      </c>
      <c r="H3467" s="12" t="s">
        <v>6559</v>
      </c>
      <c r="I3467" s="41" t="s">
        <v>8206</v>
      </c>
      <c r="M3467" s="41" t="e">
        <f>VLOOKUP(I3467,错误mRNA总表!D:I,6,FALSE)</f>
        <v>#N/A</v>
      </c>
    </row>
    <row r="3468" spans="1:13" x14ac:dyDescent="0.2">
      <c r="A3468" s="12" t="s">
        <v>5625</v>
      </c>
      <c r="B3468" s="12" t="s">
        <v>3957</v>
      </c>
      <c r="C3468" s="12">
        <v>27676440</v>
      </c>
      <c r="D3468" s="12">
        <v>27679010</v>
      </c>
      <c r="E3468" s="12" t="s">
        <v>3943</v>
      </c>
      <c r="F3468" s="12">
        <v>1</v>
      </c>
      <c r="G3468" s="41" t="s">
        <v>36</v>
      </c>
      <c r="H3468" s="12" t="s">
        <v>6559</v>
      </c>
      <c r="I3468" s="41" t="s">
        <v>8206</v>
      </c>
      <c r="M3468" s="41" t="e">
        <f>VLOOKUP(I3468,错误mRNA总表!D:I,6,FALSE)</f>
        <v>#N/A</v>
      </c>
    </row>
    <row r="3469" spans="1:13" x14ac:dyDescent="0.2">
      <c r="A3469" s="12" t="s">
        <v>5626</v>
      </c>
      <c r="B3469" s="12" t="s">
        <v>3978</v>
      </c>
      <c r="C3469" s="12">
        <v>50304990</v>
      </c>
      <c r="D3469" s="12">
        <v>50306757</v>
      </c>
      <c r="E3469" s="12" t="s">
        <v>3940</v>
      </c>
      <c r="F3469" s="12">
        <v>1</v>
      </c>
      <c r="G3469" s="41" t="s">
        <v>86</v>
      </c>
      <c r="H3469" s="12" t="s">
        <v>188</v>
      </c>
      <c r="I3469" s="41" t="s">
        <v>8207</v>
      </c>
      <c r="J3469" s="41" t="s">
        <v>2193</v>
      </c>
      <c r="K3469" s="41" t="str">
        <f>VLOOKUP(J3469,错误mRNA总表!D:J,7,FALSE)</f>
        <v>纠后正确</v>
      </c>
      <c r="M3469" s="41" t="e">
        <f>VLOOKUP(I3469,错误mRNA总表!D:I,6,FALSE)</f>
        <v>#N/A</v>
      </c>
    </row>
    <row r="3470" spans="1:13" x14ac:dyDescent="0.2">
      <c r="A3470" s="12" t="s">
        <v>5627</v>
      </c>
      <c r="B3470" s="12" t="s">
        <v>3946</v>
      </c>
      <c r="C3470" s="12">
        <v>77681075</v>
      </c>
      <c r="D3470" s="12">
        <v>77684007</v>
      </c>
      <c r="E3470" s="12" t="s">
        <v>3940</v>
      </c>
      <c r="F3470" s="12">
        <v>44</v>
      </c>
      <c r="G3470" s="41" t="s">
        <v>47</v>
      </c>
      <c r="H3470" s="12" t="s">
        <v>6308</v>
      </c>
      <c r="I3470" s="41" t="s">
        <v>8208</v>
      </c>
      <c r="M3470" s="41" t="e">
        <f>VLOOKUP(I3470,错误mRNA总表!D:I,6,FALSE)</f>
        <v>#N/A</v>
      </c>
    </row>
    <row r="3471" spans="1:13" x14ac:dyDescent="0.2">
      <c r="A3471" s="12" t="s">
        <v>5627</v>
      </c>
      <c r="B3471" s="12" t="s">
        <v>3946</v>
      </c>
      <c r="C3471" s="12">
        <v>77681075</v>
      </c>
      <c r="D3471" s="12">
        <v>77682802</v>
      </c>
      <c r="E3471" s="12" t="s">
        <v>3940</v>
      </c>
      <c r="F3471" s="12">
        <v>1</v>
      </c>
      <c r="G3471" s="41" t="s">
        <v>47</v>
      </c>
      <c r="H3471" s="12" t="s">
        <v>6308</v>
      </c>
      <c r="I3471" s="41" t="s">
        <v>8208</v>
      </c>
      <c r="M3471" s="41" t="e">
        <f>VLOOKUP(I3471,错误mRNA总表!D:I,6,FALSE)</f>
        <v>#N/A</v>
      </c>
    </row>
    <row r="3472" spans="1:13" x14ac:dyDescent="0.2">
      <c r="A3472" s="12" t="s">
        <v>5628</v>
      </c>
      <c r="B3472" s="12" t="s">
        <v>3957</v>
      </c>
      <c r="C3472" s="12">
        <v>125439283</v>
      </c>
      <c r="D3472" s="12">
        <v>125452303</v>
      </c>
      <c r="E3472" s="12" t="s">
        <v>3940</v>
      </c>
      <c r="F3472" s="12">
        <v>1</v>
      </c>
      <c r="G3472" s="41" t="s">
        <v>36</v>
      </c>
      <c r="H3472" s="12" t="s">
        <v>206</v>
      </c>
      <c r="I3472" s="41" t="s">
        <v>8209</v>
      </c>
      <c r="J3472" s="41" t="s">
        <v>2164</v>
      </c>
      <c r="K3472" s="41" t="str">
        <f>VLOOKUP(J3472,错误mRNA总表!D:J,7,FALSE)</f>
        <v>纠后正确</v>
      </c>
      <c r="M3472" s="41" t="e">
        <f>VLOOKUP(I3472,错误mRNA总表!D:I,6,FALSE)</f>
        <v>#N/A</v>
      </c>
    </row>
    <row r="3473" spans="1:13" x14ac:dyDescent="0.2">
      <c r="A3473" s="12" t="s">
        <v>4252</v>
      </c>
      <c r="B3473" s="12" t="s">
        <v>3996</v>
      </c>
      <c r="C3473" s="12">
        <v>1274920</v>
      </c>
      <c r="D3473" s="12">
        <v>1275791</v>
      </c>
      <c r="E3473" s="12" t="s">
        <v>3940</v>
      </c>
      <c r="F3473" s="12">
        <v>2</v>
      </c>
      <c r="H3473" s="12" t="s">
        <v>6391</v>
      </c>
      <c r="I3473" s="41" t="s">
        <v>8210</v>
      </c>
      <c r="M3473" s="41" t="e">
        <f>VLOOKUP(I3473,错误mRNA总表!D:I,6,FALSE)</f>
        <v>#N/A</v>
      </c>
    </row>
    <row r="3474" spans="1:13" x14ac:dyDescent="0.2">
      <c r="A3474" s="12" t="s">
        <v>4252</v>
      </c>
      <c r="B3474" s="12" t="s">
        <v>3996</v>
      </c>
      <c r="C3474" s="12">
        <v>1274920</v>
      </c>
      <c r="D3474" s="12">
        <v>1276462</v>
      </c>
      <c r="E3474" s="12" t="s">
        <v>3940</v>
      </c>
      <c r="F3474" s="12">
        <v>21</v>
      </c>
      <c r="H3474" s="12" t="s">
        <v>6391</v>
      </c>
      <c r="I3474" s="41" t="s">
        <v>8210</v>
      </c>
      <c r="M3474" s="41" t="e">
        <f>VLOOKUP(I3474,错误mRNA总表!D:I,6,FALSE)</f>
        <v>#N/A</v>
      </c>
    </row>
    <row r="3475" spans="1:13" x14ac:dyDescent="0.2">
      <c r="A3475" s="12" t="s">
        <v>5629</v>
      </c>
      <c r="B3475" s="12" t="s">
        <v>4124</v>
      </c>
      <c r="C3475" s="12">
        <v>38294746</v>
      </c>
      <c r="D3475" s="12">
        <v>38303017</v>
      </c>
      <c r="E3475" s="12" t="s">
        <v>3940</v>
      </c>
      <c r="F3475" s="12">
        <v>1</v>
      </c>
      <c r="G3475" s="41" t="s">
        <v>1</v>
      </c>
      <c r="H3475" s="12" t="s">
        <v>421</v>
      </c>
      <c r="I3475" s="41" t="s">
        <v>2393</v>
      </c>
      <c r="J3475" s="41" t="s">
        <v>2393</v>
      </c>
      <c r="K3475" s="41" t="str">
        <f>VLOOKUP(J3475,错误mRNA总表!D:J,7,FALSE)</f>
        <v/>
      </c>
      <c r="L3475" s="41" t="s">
        <v>3762</v>
      </c>
      <c r="M3475" s="41">
        <f>VLOOKUP(I3475,错误mRNA总表!D:I,6,FALSE)</f>
        <v>0</v>
      </c>
    </row>
    <row r="3476" spans="1:13" x14ac:dyDescent="0.2">
      <c r="A3476" s="12" t="s">
        <v>5630</v>
      </c>
      <c r="B3476" s="12" t="s">
        <v>3986</v>
      </c>
      <c r="C3476" s="12">
        <v>51670585</v>
      </c>
      <c r="D3476" s="12">
        <v>51676685</v>
      </c>
      <c r="E3476" s="12" t="s">
        <v>3940</v>
      </c>
      <c r="F3476" s="12">
        <v>1</v>
      </c>
      <c r="G3476" s="41" t="s">
        <v>50</v>
      </c>
      <c r="H3476" s="12" t="s">
        <v>6474</v>
      </c>
      <c r="I3476" s="41" t="s">
        <v>8211</v>
      </c>
      <c r="M3476" s="41" t="e">
        <f>VLOOKUP(I3476,错误mRNA总表!D:I,6,FALSE)</f>
        <v>#N/A</v>
      </c>
    </row>
    <row r="3477" spans="1:13" x14ac:dyDescent="0.2">
      <c r="A3477" s="12" t="s">
        <v>5631</v>
      </c>
      <c r="B3477" s="12" t="s">
        <v>3957</v>
      </c>
      <c r="C3477" s="12">
        <v>27676440</v>
      </c>
      <c r="D3477" s="12">
        <v>27676545</v>
      </c>
      <c r="E3477" s="12" t="s">
        <v>3943</v>
      </c>
      <c r="F3477" s="12">
        <v>1</v>
      </c>
      <c r="G3477" s="41" t="s">
        <v>36</v>
      </c>
      <c r="H3477" s="12" t="s">
        <v>6598</v>
      </c>
      <c r="I3477" s="41" t="s">
        <v>8212</v>
      </c>
      <c r="M3477" s="41" t="e">
        <f>VLOOKUP(I3477,错误mRNA总表!D:I,6,FALSE)</f>
        <v>#N/A</v>
      </c>
    </row>
    <row r="3478" spans="1:13" x14ac:dyDescent="0.2">
      <c r="A3478" s="12" t="s">
        <v>5631</v>
      </c>
      <c r="B3478" s="12" t="s">
        <v>3957</v>
      </c>
      <c r="C3478" s="12">
        <v>27676440</v>
      </c>
      <c r="D3478" s="12">
        <v>27679010</v>
      </c>
      <c r="E3478" s="12" t="s">
        <v>3943</v>
      </c>
      <c r="F3478" s="12">
        <v>1</v>
      </c>
      <c r="G3478" s="41" t="s">
        <v>36</v>
      </c>
      <c r="H3478" s="12" t="s">
        <v>6598</v>
      </c>
      <c r="I3478" s="41" t="s">
        <v>8212</v>
      </c>
      <c r="M3478" s="41" t="e">
        <f>VLOOKUP(I3478,错误mRNA总表!D:I,6,FALSE)</f>
        <v>#N/A</v>
      </c>
    </row>
    <row r="3479" spans="1:13" x14ac:dyDescent="0.2">
      <c r="A3479" s="12" t="s">
        <v>5632</v>
      </c>
      <c r="B3479" s="12" t="s">
        <v>3969</v>
      </c>
      <c r="C3479" s="12">
        <v>4226965</v>
      </c>
      <c r="D3479" s="12">
        <v>4227045</v>
      </c>
      <c r="E3479" s="12" t="s">
        <v>3940</v>
      </c>
      <c r="F3479" s="12">
        <v>3</v>
      </c>
      <c r="H3479" s="12" t="s">
        <v>3434</v>
      </c>
      <c r="I3479" s="41" t="s">
        <v>8213</v>
      </c>
      <c r="M3479" s="41" t="e">
        <f>VLOOKUP(I3479,错误mRNA总表!D:I,6,FALSE)</f>
        <v>#N/A</v>
      </c>
    </row>
    <row r="3480" spans="1:13" x14ac:dyDescent="0.2">
      <c r="A3480" s="12" t="s">
        <v>5632</v>
      </c>
      <c r="B3480" s="12" t="s">
        <v>3969</v>
      </c>
      <c r="C3480" s="12">
        <v>4226965</v>
      </c>
      <c r="D3480" s="12">
        <v>4229948</v>
      </c>
      <c r="E3480" s="12" t="s">
        <v>3943</v>
      </c>
      <c r="F3480" s="12">
        <v>1</v>
      </c>
      <c r="H3480" s="12" t="s">
        <v>3434</v>
      </c>
      <c r="I3480" s="41" t="s">
        <v>8213</v>
      </c>
      <c r="M3480" s="41" t="e">
        <f>VLOOKUP(I3480,错误mRNA总表!D:I,6,FALSE)</f>
        <v>#N/A</v>
      </c>
    </row>
    <row r="3481" spans="1:13" x14ac:dyDescent="0.2">
      <c r="A3481" s="12" t="s">
        <v>5288</v>
      </c>
      <c r="B3481" s="12" t="s">
        <v>4004</v>
      </c>
      <c r="C3481" s="12">
        <v>145106167</v>
      </c>
      <c r="D3481" s="12">
        <v>145106938</v>
      </c>
      <c r="E3481" s="12" t="s">
        <v>3943</v>
      </c>
      <c r="F3481" s="12">
        <v>2</v>
      </c>
      <c r="G3481" s="41" t="s">
        <v>103</v>
      </c>
      <c r="H3481" s="12" t="s">
        <v>110</v>
      </c>
      <c r="I3481" s="41" t="s">
        <v>2112</v>
      </c>
      <c r="J3481" s="41" t="s">
        <v>2112</v>
      </c>
      <c r="K3481" s="41" t="str">
        <f>VLOOKUP(J3481,错误mRNA总表!D:J,7,FALSE)</f>
        <v>纠后正确</v>
      </c>
      <c r="L3481" s="41" t="s">
        <v>3763</v>
      </c>
      <c r="M3481" s="41">
        <f>VLOOKUP(I3481,错误mRNA总表!D:I,6,FALSE)</f>
        <v>0</v>
      </c>
    </row>
    <row r="3482" spans="1:13" x14ac:dyDescent="0.2">
      <c r="A3482" s="12" t="s">
        <v>5266</v>
      </c>
      <c r="B3482" s="12" t="s">
        <v>4023</v>
      </c>
      <c r="C3482" s="12">
        <v>1151952</v>
      </c>
      <c r="D3482" s="12">
        <v>1153090</v>
      </c>
      <c r="E3482" s="12" t="s">
        <v>3943</v>
      </c>
      <c r="F3482" s="12">
        <v>1</v>
      </c>
      <c r="H3482" s="12" t="s">
        <v>6195</v>
      </c>
      <c r="I3482" s="41" t="s">
        <v>7639</v>
      </c>
      <c r="M3482" s="41" t="e">
        <f>VLOOKUP(I3482,错误mRNA总表!D:I,6,FALSE)</f>
        <v>#N/A</v>
      </c>
    </row>
    <row r="3483" spans="1:13" x14ac:dyDescent="0.2">
      <c r="A3483" s="12" t="s">
        <v>3951</v>
      </c>
      <c r="B3483" s="12" t="s">
        <v>4045</v>
      </c>
      <c r="C3483" s="12">
        <v>134946</v>
      </c>
      <c r="D3483" s="12">
        <v>135009</v>
      </c>
      <c r="E3483" s="12" t="s">
        <v>3940</v>
      </c>
      <c r="F3483" s="12">
        <v>1</v>
      </c>
      <c r="H3483" s="12" t="s">
        <v>3649</v>
      </c>
      <c r="I3483" s="41" t="s">
        <v>6633</v>
      </c>
      <c r="M3483" s="41" t="e">
        <f>VLOOKUP(I3483,错误mRNA总表!D:I,6,FALSE)</f>
        <v>#N/A</v>
      </c>
    </row>
    <row r="3484" spans="1:13" x14ac:dyDescent="0.2">
      <c r="A3484" s="12" t="s">
        <v>5633</v>
      </c>
      <c r="B3484" s="12" t="s">
        <v>4004</v>
      </c>
      <c r="C3484" s="12">
        <v>30601682</v>
      </c>
      <c r="D3484" s="12">
        <v>30620844</v>
      </c>
      <c r="E3484" s="12" t="s">
        <v>3940</v>
      </c>
      <c r="F3484" s="12">
        <v>1</v>
      </c>
      <c r="G3484" s="41" t="s">
        <v>103</v>
      </c>
      <c r="H3484" s="12" t="s">
        <v>207</v>
      </c>
      <c r="I3484" s="41" t="s">
        <v>8214</v>
      </c>
      <c r="J3484" s="41" t="s">
        <v>2201</v>
      </c>
      <c r="K3484" s="41" t="str">
        <f>VLOOKUP(J3484,错误mRNA总表!D:J,7,FALSE)</f>
        <v>纠后正确</v>
      </c>
      <c r="M3484" s="41" t="e">
        <f>VLOOKUP(I3484,错误mRNA总表!D:I,6,FALSE)</f>
        <v>#N/A</v>
      </c>
    </row>
    <row r="3485" spans="1:13" x14ac:dyDescent="0.2">
      <c r="A3485" s="12" t="s">
        <v>5634</v>
      </c>
      <c r="B3485" s="12" t="s">
        <v>3954</v>
      </c>
      <c r="C3485" s="12">
        <v>76649706</v>
      </c>
      <c r="D3485" s="12">
        <v>76650069</v>
      </c>
      <c r="E3485" s="12" t="s">
        <v>3940</v>
      </c>
      <c r="F3485" s="12">
        <v>23</v>
      </c>
      <c r="G3485" s="41" t="s">
        <v>569</v>
      </c>
      <c r="H3485" s="12" t="s">
        <v>596</v>
      </c>
      <c r="I3485" s="41" t="s">
        <v>8215</v>
      </c>
      <c r="J3485" s="41" t="s">
        <v>2241</v>
      </c>
      <c r="K3485" s="41" t="str">
        <f>VLOOKUP(J3485,错误mRNA总表!D:J,7,FALSE)</f>
        <v>纠后正确，区间略有变化，加41个氨基酸chr4:76657491-76735366</v>
      </c>
      <c r="M3485" s="41" t="e">
        <f>VLOOKUP(I3485,错误mRNA总表!D:I,6,FALSE)</f>
        <v>#N/A</v>
      </c>
    </row>
    <row r="3486" spans="1:13" x14ac:dyDescent="0.2">
      <c r="A3486" s="12" t="s">
        <v>5634</v>
      </c>
      <c r="B3486" s="12" t="s">
        <v>3954</v>
      </c>
      <c r="C3486" s="12">
        <v>76649706</v>
      </c>
      <c r="D3486" s="12">
        <v>76657500</v>
      </c>
      <c r="E3486" s="12" t="s">
        <v>3940</v>
      </c>
      <c r="F3486" s="12">
        <v>96</v>
      </c>
      <c r="G3486" s="41" t="s">
        <v>569</v>
      </c>
      <c r="H3486" s="12" t="s">
        <v>596</v>
      </c>
      <c r="I3486" s="41" t="s">
        <v>8215</v>
      </c>
      <c r="J3486" s="41" t="s">
        <v>2241</v>
      </c>
      <c r="K3486" s="41" t="str">
        <f>VLOOKUP(J3486,错误mRNA总表!D:J,7,FALSE)</f>
        <v>纠后正确，区间略有变化，加41个氨基酸chr4:76657491-76735366</v>
      </c>
      <c r="M3486" s="41" t="e">
        <f>VLOOKUP(I3486,错误mRNA总表!D:I,6,FALSE)</f>
        <v>#N/A</v>
      </c>
    </row>
    <row r="3487" spans="1:13" x14ac:dyDescent="0.2">
      <c r="A3487" s="12" t="s">
        <v>5635</v>
      </c>
      <c r="B3487" s="12" t="s">
        <v>3948</v>
      </c>
      <c r="C3487" s="12">
        <v>50344378</v>
      </c>
      <c r="D3487" s="12">
        <v>50344382</v>
      </c>
      <c r="E3487" s="12" t="s">
        <v>3940</v>
      </c>
      <c r="F3487" s="12">
        <v>1</v>
      </c>
      <c r="G3487" s="41" t="s">
        <v>40</v>
      </c>
      <c r="H3487" s="12" t="s">
        <v>251</v>
      </c>
      <c r="I3487" s="41" t="s">
        <v>8216</v>
      </c>
      <c r="J3487" s="41" t="s">
        <v>3334</v>
      </c>
      <c r="K3487" s="41" t="str">
        <f>VLOOKUP(J3487,错误mRNA总表!D:J,7,FALSE)</f>
        <v>错误</v>
      </c>
      <c r="M3487" s="41" t="e">
        <f>VLOOKUP(I3487,错误mRNA总表!D:I,6,FALSE)</f>
        <v>#N/A</v>
      </c>
    </row>
    <row r="3488" spans="1:13" x14ac:dyDescent="0.2">
      <c r="A3488" s="12" t="s">
        <v>5635</v>
      </c>
      <c r="B3488" s="12" t="s">
        <v>3948</v>
      </c>
      <c r="C3488" s="12">
        <v>50344378</v>
      </c>
      <c r="D3488" s="12">
        <v>50367354</v>
      </c>
      <c r="E3488" s="12" t="s">
        <v>3943</v>
      </c>
      <c r="F3488" s="12">
        <v>2</v>
      </c>
      <c r="G3488" s="41" t="s">
        <v>40</v>
      </c>
      <c r="H3488" s="12" t="s">
        <v>251</v>
      </c>
      <c r="I3488" s="41" t="s">
        <v>8216</v>
      </c>
      <c r="J3488" s="41" t="s">
        <v>3334</v>
      </c>
      <c r="K3488" s="41" t="str">
        <f>VLOOKUP(J3488,错误mRNA总表!D:J,7,FALSE)</f>
        <v>错误</v>
      </c>
      <c r="M3488" s="41" t="e">
        <f>VLOOKUP(I3488,错误mRNA总表!D:I,6,FALSE)</f>
        <v>#N/A</v>
      </c>
    </row>
    <row r="3489" spans="1:13" x14ac:dyDescent="0.2">
      <c r="A3489" s="12" t="s">
        <v>5636</v>
      </c>
      <c r="B3489" s="12" t="s">
        <v>3939</v>
      </c>
      <c r="C3489" s="12">
        <v>16606122</v>
      </c>
      <c r="D3489" s="12">
        <v>16606679</v>
      </c>
      <c r="E3489" s="12" t="s">
        <v>3943</v>
      </c>
      <c r="F3489" s="12">
        <v>1</v>
      </c>
      <c r="G3489" s="41" t="s">
        <v>73</v>
      </c>
      <c r="H3489" s="12" t="s">
        <v>6309</v>
      </c>
      <c r="I3489" s="41" t="s">
        <v>8217</v>
      </c>
      <c r="M3489" s="41" t="e">
        <f>VLOOKUP(I3489,错误mRNA总表!D:I,6,FALSE)</f>
        <v>#N/A</v>
      </c>
    </row>
    <row r="3490" spans="1:13" x14ac:dyDescent="0.2">
      <c r="A3490" s="12" t="s">
        <v>4619</v>
      </c>
      <c r="B3490" s="12" t="s">
        <v>3964</v>
      </c>
      <c r="C3490" s="12">
        <v>1501605</v>
      </c>
      <c r="D3490" s="12">
        <v>1502001</v>
      </c>
      <c r="E3490" s="12" t="s">
        <v>3943</v>
      </c>
      <c r="F3490" s="12">
        <v>2</v>
      </c>
      <c r="H3490" s="12" t="s">
        <v>3538</v>
      </c>
      <c r="I3490" s="41" t="s">
        <v>8218</v>
      </c>
      <c r="M3490" s="41" t="e">
        <f>VLOOKUP(I3490,错误mRNA总表!D:I,6,FALSE)</f>
        <v>#N/A</v>
      </c>
    </row>
    <row r="3491" spans="1:13" x14ac:dyDescent="0.2">
      <c r="A3491" s="12" t="s">
        <v>4619</v>
      </c>
      <c r="B3491" s="12" t="s">
        <v>3964</v>
      </c>
      <c r="C3491" s="12">
        <v>1501605</v>
      </c>
      <c r="D3491" s="12">
        <v>1502341</v>
      </c>
      <c r="E3491" s="12" t="s">
        <v>3943</v>
      </c>
      <c r="F3491" s="12">
        <v>1</v>
      </c>
      <c r="H3491" s="12" t="s">
        <v>3538</v>
      </c>
      <c r="I3491" s="41" t="s">
        <v>8218</v>
      </c>
      <c r="M3491" s="41" t="e">
        <f>VLOOKUP(I3491,错误mRNA总表!D:I,6,FALSE)</f>
        <v>#N/A</v>
      </c>
    </row>
    <row r="3492" spans="1:13" x14ac:dyDescent="0.2">
      <c r="A3492" s="12" t="s">
        <v>5637</v>
      </c>
      <c r="B3492" s="12" t="s">
        <v>4339</v>
      </c>
      <c r="C3492" s="12">
        <v>950841</v>
      </c>
      <c r="D3492" s="12">
        <v>951407</v>
      </c>
      <c r="E3492" s="12" t="s">
        <v>3943</v>
      </c>
      <c r="F3492" s="12">
        <v>1</v>
      </c>
      <c r="H3492" s="12" t="s">
        <v>6310</v>
      </c>
      <c r="I3492" s="41" t="s">
        <v>8219</v>
      </c>
      <c r="M3492" s="41" t="e">
        <f>VLOOKUP(I3492,错误mRNA总表!D:I,6,FALSE)</f>
        <v>#N/A</v>
      </c>
    </row>
    <row r="3493" spans="1:13" x14ac:dyDescent="0.2">
      <c r="A3493" s="12" t="s">
        <v>5638</v>
      </c>
      <c r="B3493" s="12" t="s">
        <v>3957</v>
      </c>
      <c r="C3493" s="12">
        <v>46638826</v>
      </c>
      <c r="D3493" s="12">
        <v>46694313</v>
      </c>
      <c r="E3493" s="12" t="s">
        <v>3943</v>
      </c>
      <c r="F3493" s="12">
        <v>2</v>
      </c>
      <c r="G3493" s="41" t="s">
        <v>36</v>
      </c>
      <c r="H3493" s="12" t="s">
        <v>6311</v>
      </c>
      <c r="I3493" s="41" t="s">
        <v>8220</v>
      </c>
      <c r="M3493" s="41" t="e">
        <f>VLOOKUP(I3493,错误mRNA总表!D:I,6,FALSE)</f>
        <v>#N/A</v>
      </c>
    </row>
    <row r="3494" spans="1:13" x14ac:dyDescent="0.2">
      <c r="A3494" s="12" t="s">
        <v>5639</v>
      </c>
      <c r="B3494" s="12" t="s">
        <v>4052</v>
      </c>
      <c r="C3494" s="12">
        <v>11206993</v>
      </c>
      <c r="D3494" s="12">
        <v>11373419</v>
      </c>
      <c r="E3494" s="12" t="s">
        <v>3940</v>
      </c>
      <c r="F3494" s="12">
        <v>2</v>
      </c>
      <c r="G3494" s="41" t="s">
        <v>93</v>
      </c>
      <c r="H3494" s="12" t="s">
        <v>6312</v>
      </c>
      <c r="I3494" s="41" t="s">
        <v>8221</v>
      </c>
      <c r="M3494" s="41" t="e">
        <f>VLOOKUP(I3494,错误mRNA总表!D:I,6,FALSE)</f>
        <v>#N/A</v>
      </c>
    </row>
    <row r="3495" spans="1:13" x14ac:dyDescent="0.2">
      <c r="A3495" s="12" t="s">
        <v>5639</v>
      </c>
      <c r="B3495" s="12" t="s">
        <v>4052</v>
      </c>
      <c r="C3495" s="12">
        <v>11206993</v>
      </c>
      <c r="D3495" s="12">
        <v>11375226</v>
      </c>
      <c r="E3495" s="12" t="s">
        <v>3940</v>
      </c>
      <c r="F3495" s="12">
        <v>1</v>
      </c>
      <c r="G3495" s="41" t="s">
        <v>93</v>
      </c>
      <c r="H3495" s="12" t="s">
        <v>6312</v>
      </c>
      <c r="I3495" s="41" t="s">
        <v>8221</v>
      </c>
      <c r="M3495" s="41" t="e">
        <f>VLOOKUP(I3495,错误mRNA总表!D:I,6,FALSE)</f>
        <v>#N/A</v>
      </c>
    </row>
    <row r="3496" spans="1:13" x14ac:dyDescent="0.2">
      <c r="A3496" s="12" t="s">
        <v>5640</v>
      </c>
      <c r="B3496" s="12" t="s">
        <v>3994</v>
      </c>
      <c r="C3496" s="12">
        <v>1603265</v>
      </c>
      <c r="D3496" s="12">
        <v>1603906</v>
      </c>
      <c r="E3496" s="12" t="s">
        <v>3940</v>
      </c>
      <c r="F3496" s="12">
        <v>4</v>
      </c>
      <c r="H3496" s="12" t="s">
        <v>6313</v>
      </c>
      <c r="I3496" s="41" t="s">
        <v>8222</v>
      </c>
      <c r="M3496" s="41" t="e">
        <f>VLOOKUP(I3496,错误mRNA总表!D:I,6,FALSE)</f>
        <v>#N/A</v>
      </c>
    </row>
    <row r="3497" spans="1:13" x14ac:dyDescent="0.2">
      <c r="A3497" s="12" t="s">
        <v>5641</v>
      </c>
      <c r="B3497" s="12" t="s">
        <v>3962</v>
      </c>
      <c r="C3497" s="12">
        <v>35757224</v>
      </c>
      <c r="D3497" s="12">
        <v>35807790</v>
      </c>
      <c r="E3497" s="12" t="s">
        <v>3940</v>
      </c>
      <c r="F3497" s="12">
        <v>29</v>
      </c>
      <c r="G3497" s="41" t="s">
        <v>53</v>
      </c>
      <c r="H3497" s="12" t="s">
        <v>55</v>
      </c>
      <c r="I3497" s="41" t="s">
        <v>2083</v>
      </c>
      <c r="J3497" s="41" t="s">
        <v>2083</v>
      </c>
      <c r="K3497" s="41" t="str">
        <f>VLOOKUP(J3497,错误mRNA总表!D:J,7,FALSE)</f>
        <v>纠后正确</v>
      </c>
      <c r="L3497" s="41" t="s">
        <v>3763</v>
      </c>
      <c r="M3497" s="41">
        <f>VLOOKUP(I3497,错误mRNA总表!D:I,6,FALSE)</f>
        <v>0</v>
      </c>
    </row>
    <row r="3498" spans="1:13" x14ac:dyDescent="0.2">
      <c r="A3498" s="12" t="s">
        <v>5642</v>
      </c>
      <c r="B3498" s="12" t="s">
        <v>3986</v>
      </c>
      <c r="C3498" s="12">
        <v>51461887</v>
      </c>
      <c r="D3498" s="12">
        <v>51471814</v>
      </c>
      <c r="E3498" s="12" t="s">
        <v>3940</v>
      </c>
      <c r="F3498" s="12">
        <v>1</v>
      </c>
      <c r="G3498" s="41" t="s">
        <v>50</v>
      </c>
      <c r="H3498" s="12" t="s">
        <v>5880</v>
      </c>
      <c r="I3498" s="41" t="s">
        <v>6944</v>
      </c>
      <c r="M3498" s="41" t="e">
        <f>VLOOKUP(I3498,错误mRNA总表!D:I,6,FALSE)</f>
        <v>#N/A</v>
      </c>
    </row>
    <row r="3499" spans="1:13" x14ac:dyDescent="0.2">
      <c r="A3499" s="12" t="s">
        <v>5643</v>
      </c>
      <c r="B3499" s="12" t="s">
        <v>3948</v>
      </c>
      <c r="C3499" s="12">
        <v>130146079</v>
      </c>
      <c r="D3499" s="12">
        <v>130287359</v>
      </c>
      <c r="E3499" s="12" t="s">
        <v>3940</v>
      </c>
      <c r="F3499" s="12">
        <v>308</v>
      </c>
      <c r="G3499" s="41" t="s">
        <v>40</v>
      </c>
      <c r="H3499" s="12" t="s">
        <v>758</v>
      </c>
      <c r="I3499" s="41" t="s">
        <v>2249</v>
      </c>
      <c r="J3499" s="41" t="s">
        <v>2249</v>
      </c>
      <c r="K3499" s="41" t="str">
        <f>VLOOKUP(J3499,错误mRNA总表!D:J,7,FALSE)</f>
        <v>纠后正确，区间略有变化，加433个氨基酸chr7:130146517-130287359</v>
      </c>
      <c r="L3499" s="41" t="s">
        <v>3866</v>
      </c>
      <c r="M3499" s="41" t="str">
        <f>VLOOKUP(I3499,错误mRNA总表!D:I,6,FALSE)</f>
        <v>纠后正确，区间略有变化，加433个氨基酸chr7:130146517-130287359</v>
      </c>
    </row>
    <row r="3500" spans="1:13" x14ac:dyDescent="0.2">
      <c r="A3500" s="12" t="s">
        <v>5643</v>
      </c>
      <c r="B3500" s="12" t="s">
        <v>3948</v>
      </c>
      <c r="C3500" s="12">
        <v>130146079</v>
      </c>
      <c r="D3500" s="12">
        <v>130277168</v>
      </c>
      <c r="E3500" s="12" t="s">
        <v>3940</v>
      </c>
      <c r="F3500" s="12">
        <v>317</v>
      </c>
      <c r="G3500" s="41" t="s">
        <v>40</v>
      </c>
      <c r="H3500" s="12" t="s">
        <v>758</v>
      </c>
      <c r="I3500" s="41" t="s">
        <v>2249</v>
      </c>
      <c r="J3500" s="41" t="s">
        <v>2249</v>
      </c>
      <c r="K3500" s="41" t="str">
        <f>VLOOKUP(J3500,错误mRNA总表!D:J,7,FALSE)</f>
        <v>纠后正确，区间略有变化，加433个氨基酸chr7:130146517-130287359</v>
      </c>
      <c r="L3500" s="41" t="s">
        <v>3866</v>
      </c>
      <c r="M3500" s="41" t="str">
        <f>VLOOKUP(I3500,错误mRNA总表!D:I,6,FALSE)</f>
        <v>纠后正确，区间略有变化，加433个氨基酸chr7:130146517-130287359</v>
      </c>
    </row>
    <row r="3501" spans="1:13" x14ac:dyDescent="0.2">
      <c r="A3501" s="12" t="s">
        <v>5643</v>
      </c>
      <c r="B3501" s="12" t="s">
        <v>3948</v>
      </c>
      <c r="C3501" s="12">
        <v>130146079</v>
      </c>
      <c r="D3501" s="12">
        <v>130273732</v>
      </c>
      <c r="E3501" s="12" t="s">
        <v>3940</v>
      </c>
      <c r="F3501" s="12">
        <v>29</v>
      </c>
      <c r="G3501" s="41" t="s">
        <v>40</v>
      </c>
      <c r="H3501" s="12" t="s">
        <v>758</v>
      </c>
      <c r="I3501" s="41" t="s">
        <v>2249</v>
      </c>
      <c r="J3501" s="41" t="s">
        <v>2249</v>
      </c>
      <c r="K3501" s="41" t="str">
        <f>VLOOKUP(J3501,错误mRNA总表!D:J,7,FALSE)</f>
        <v>纠后正确，区间略有变化，加433个氨基酸chr7:130146517-130287359</v>
      </c>
      <c r="L3501" s="41" t="s">
        <v>3866</v>
      </c>
      <c r="M3501" s="41" t="str">
        <f>VLOOKUP(I3501,错误mRNA总表!D:I,6,FALSE)</f>
        <v>纠后正确，区间略有变化，加433个氨基酸chr7:130146517-130287359</v>
      </c>
    </row>
    <row r="3502" spans="1:13" x14ac:dyDescent="0.2">
      <c r="A3502" s="12" t="s">
        <v>5643</v>
      </c>
      <c r="B3502" s="12" t="s">
        <v>3948</v>
      </c>
      <c r="C3502" s="12">
        <v>130146079</v>
      </c>
      <c r="D3502" s="12">
        <v>130277162</v>
      </c>
      <c r="E3502" s="12" t="s">
        <v>3940</v>
      </c>
      <c r="F3502" s="12">
        <v>2</v>
      </c>
      <c r="G3502" s="41" t="s">
        <v>40</v>
      </c>
      <c r="H3502" s="12" t="s">
        <v>758</v>
      </c>
      <c r="I3502" s="41" t="s">
        <v>2249</v>
      </c>
      <c r="J3502" s="41" t="s">
        <v>2249</v>
      </c>
      <c r="K3502" s="41" t="str">
        <f>VLOOKUP(J3502,错误mRNA总表!D:J,7,FALSE)</f>
        <v>纠后正确，区间略有变化，加433个氨基酸chr7:130146517-130287359</v>
      </c>
      <c r="L3502" s="41" t="s">
        <v>3866</v>
      </c>
      <c r="M3502" s="41" t="str">
        <f>VLOOKUP(I3502,错误mRNA总表!D:I,6,FALSE)</f>
        <v>纠后正确，区间略有变化，加433个氨基酸chr7:130146517-130287359</v>
      </c>
    </row>
    <row r="3503" spans="1:13" x14ac:dyDescent="0.2">
      <c r="A3503" s="12" t="s">
        <v>5643</v>
      </c>
      <c r="B3503" s="12" t="s">
        <v>3948</v>
      </c>
      <c r="C3503" s="12">
        <v>130146079</v>
      </c>
      <c r="D3503" s="12">
        <v>130269215</v>
      </c>
      <c r="E3503" s="12" t="s">
        <v>3940</v>
      </c>
      <c r="F3503" s="12">
        <v>68</v>
      </c>
      <c r="G3503" s="41" t="s">
        <v>40</v>
      </c>
      <c r="H3503" s="12" t="s">
        <v>758</v>
      </c>
      <c r="I3503" s="41" t="s">
        <v>2249</v>
      </c>
      <c r="J3503" s="41" t="s">
        <v>2249</v>
      </c>
      <c r="K3503" s="41" t="str">
        <f>VLOOKUP(J3503,错误mRNA总表!D:J,7,FALSE)</f>
        <v>纠后正确，区间略有变化，加433个氨基酸chr7:130146517-130287359</v>
      </c>
      <c r="L3503" s="41" t="s">
        <v>3866</v>
      </c>
      <c r="M3503" s="41" t="str">
        <f>VLOOKUP(I3503,错误mRNA总表!D:I,6,FALSE)</f>
        <v>纠后正确，区间略有变化，加433个氨基酸chr7:130146517-130287359</v>
      </c>
    </row>
    <row r="3504" spans="1:13" x14ac:dyDescent="0.2">
      <c r="A3504" s="12" t="s">
        <v>5643</v>
      </c>
      <c r="B3504" s="12" t="s">
        <v>3948</v>
      </c>
      <c r="C3504" s="12">
        <v>130146079</v>
      </c>
      <c r="D3504" s="12">
        <v>130255198</v>
      </c>
      <c r="E3504" s="12" t="s">
        <v>3940</v>
      </c>
      <c r="F3504" s="12">
        <v>364</v>
      </c>
      <c r="G3504" s="41" t="s">
        <v>40</v>
      </c>
      <c r="H3504" s="12" t="s">
        <v>758</v>
      </c>
      <c r="I3504" s="41" t="s">
        <v>2249</v>
      </c>
      <c r="J3504" s="41" t="s">
        <v>2249</v>
      </c>
      <c r="K3504" s="41" t="str">
        <f>VLOOKUP(J3504,错误mRNA总表!D:J,7,FALSE)</f>
        <v>纠后正确，区间略有变化，加433个氨基酸chr7:130146517-130287359</v>
      </c>
      <c r="L3504" s="41" t="s">
        <v>3866</v>
      </c>
      <c r="M3504" s="41" t="str">
        <f>VLOOKUP(I3504,错误mRNA总表!D:I,6,FALSE)</f>
        <v>纠后正确，区间略有变化，加433个氨基酸chr7:130146517-130287359</v>
      </c>
    </row>
    <row r="3505" spans="1:13" x14ac:dyDescent="0.2">
      <c r="A3505" s="12" t="s">
        <v>5643</v>
      </c>
      <c r="B3505" s="12" t="s">
        <v>3948</v>
      </c>
      <c r="C3505" s="12">
        <v>130146079</v>
      </c>
      <c r="D3505" s="12">
        <v>130153710</v>
      </c>
      <c r="E3505" s="12" t="s">
        <v>3943</v>
      </c>
      <c r="F3505" s="12">
        <v>1</v>
      </c>
      <c r="G3505" s="41" t="s">
        <v>40</v>
      </c>
      <c r="H3505" s="12" t="s">
        <v>758</v>
      </c>
      <c r="I3505" s="41" t="s">
        <v>2249</v>
      </c>
      <c r="J3505" s="41" t="s">
        <v>2249</v>
      </c>
      <c r="K3505" s="41" t="str">
        <f>VLOOKUP(J3505,错误mRNA总表!D:J,7,FALSE)</f>
        <v>纠后正确，区间略有变化，加433个氨基酸chr7:130146517-130287359</v>
      </c>
      <c r="L3505" s="41" t="s">
        <v>3866</v>
      </c>
      <c r="M3505" s="41" t="str">
        <f>VLOOKUP(I3505,错误mRNA总表!D:I,6,FALSE)</f>
        <v>纠后正确，区间略有变化，加433个氨基酸chr7:130146517-130287359</v>
      </c>
    </row>
    <row r="3506" spans="1:13" x14ac:dyDescent="0.2">
      <c r="A3506" s="12" t="s">
        <v>5643</v>
      </c>
      <c r="B3506" s="12" t="s">
        <v>3948</v>
      </c>
      <c r="C3506" s="12">
        <v>130146079</v>
      </c>
      <c r="D3506" s="12">
        <v>130148522</v>
      </c>
      <c r="E3506" s="12" t="s">
        <v>3940</v>
      </c>
      <c r="F3506" s="12">
        <v>190</v>
      </c>
      <c r="G3506" s="41" t="s">
        <v>40</v>
      </c>
      <c r="H3506" s="12" t="s">
        <v>758</v>
      </c>
      <c r="I3506" s="41" t="s">
        <v>2249</v>
      </c>
      <c r="J3506" s="41" t="s">
        <v>2249</v>
      </c>
      <c r="K3506" s="41" t="str">
        <f>VLOOKUP(J3506,错误mRNA总表!D:J,7,FALSE)</f>
        <v>纠后正确，区间略有变化，加433个氨基酸chr7:130146517-130287359</v>
      </c>
      <c r="L3506" s="41" t="s">
        <v>3866</v>
      </c>
      <c r="M3506" s="41" t="str">
        <f>VLOOKUP(I3506,错误mRNA总表!D:I,6,FALSE)</f>
        <v>纠后正确，区间略有变化，加433个氨基酸chr7:130146517-130287359</v>
      </c>
    </row>
    <row r="3507" spans="1:13" x14ac:dyDescent="0.2">
      <c r="A3507" s="12" t="s">
        <v>5643</v>
      </c>
      <c r="B3507" s="12" t="s">
        <v>3948</v>
      </c>
      <c r="C3507" s="12">
        <v>130146079</v>
      </c>
      <c r="D3507" s="12">
        <v>130148502</v>
      </c>
      <c r="E3507" s="12" t="s">
        <v>3943</v>
      </c>
      <c r="F3507" s="12">
        <v>3</v>
      </c>
      <c r="G3507" s="41" t="s">
        <v>40</v>
      </c>
      <c r="H3507" s="12" t="s">
        <v>758</v>
      </c>
      <c r="I3507" s="41" t="s">
        <v>2249</v>
      </c>
      <c r="J3507" s="41" t="s">
        <v>2249</v>
      </c>
      <c r="K3507" s="41" t="str">
        <f>VLOOKUP(J3507,错误mRNA总表!D:J,7,FALSE)</f>
        <v>纠后正确，区间略有变化，加433个氨基酸chr7:130146517-130287359</v>
      </c>
      <c r="L3507" s="41" t="s">
        <v>3866</v>
      </c>
      <c r="M3507" s="41" t="str">
        <f>VLOOKUP(I3507,错误mRNA总表!D:I,6,FALSE)</f>
        <v>纠后正确，区间略有变化，加433个氨基酸chr7:130146517-130287359</v>
      </c>
    </row>
    <row r="3508" spans="1:13" x14ac:dyDescent="0.2">
      <c r="A3508" s="12" t="s">
        <v>5643</v>
      </c>
      <c r="B3508" s="12" t="s">
        <v>3948</v>
      </c>
      <c r="C3508" s="12">
        <v>130146079</v>
      </c>
      <c r="D3508" s="12">
        <v>130148514</v>
      </c>
      <c r="E3508" s="12" t="s">
        <v>3940</v>
      </c>
      <c r="F3508" s="12">
        <v>8</v>
      </c>
      <c r="G3508" s="41" t="s">
        <v>40</v>
      </c>
      <c r="H3508" s="12" t="s">
        <v>758</v>
      </c>
      <c r="I3508" s="41" t="s">
        <v>2249</v>
      </c>
      <c r="J3508" s="41" t="s">
        <v>2249</v>
      </c>
      <c r="K3508" s="41" t="str">
        <f>VLOOKUP(J3508,错误mRNA总表!D:J,7,FALSE)</f>
        <v>纠后正确，区间略有变化，加433个氨基酸chr7:130146517-130287359</v>
      </c>
      <c r="L3508" s="41" t="s">
        <v>3866</v>
      </c>
      <c r="M3508" s="41" t="str">
        <f>VLOOKUP(I3508,错误mRNA总表!D:I,6,FALSE)</f>
        <v>纠后正确，区间略有变化，加433个氨基酸chr7:130146517-130287359</v>
      </c>
    </row>
    <row r="3509" spans="1:13" x14ac:dyDescent="0.2">
      <c r="A3509" s="12" t="s">
        <v>5644</v>
      </c>
      <c r="B3509" s="12" t="s">
        <v>3994</v>
      </c>
      <c r="C3509" s="12">
        <v>1603265</v>
      </c>
      <c r="D3509" s="12">
        <v>1603906</v>
      </c>
      <c r="E3509" s="12" t="s">
        <v>3940</v>
      </c>
      <c r="F3509" s="12">
        <v>4</v>
      </c>
      <c r="H3509" s="12" t="s">
        <v>6314</v>
      </c>
      <c r="I3509" s="41" t="s">
        <v>8223</v>
      </c>
      <c r="M3509" s="41" t="e">
        <f>VLOOKUP(I3509,错误mRNA总表!D:I,6,FALSE)</f>
        <v>#N/A</v>
      </c>
    </row>
    <row r="3510" spans="1:13" x14ac:dyDescent="0.2">
      <c r="A3510" s="12" t="s">
        <v>5644</v>
      </c>
      <c r="B3510" s="12" t="s">
        <v>3994</v>
      </c>
      <c r="C3510" s="12">
        <v>1603265</v>
      </c>
      <c r="D3510" s="12">
        <v>1607391</v>
      </c>
      <c r="E3510" s="12" t="s">
        <v>3943</v>
      </c>
      <c r="F3510" s="12">
        <v>4</v>
      </c>
      <c r="H3510" s="12" t="s">
        <v>6314</v>
      </c>
      <c r="I3510" s="41" t="s">
        <v>8223</v>
      </c>
      <c r="M3510" s="41" t="e">
        <f>VLOOKUP(I3510,错误mRNA总表!D:I,6,FALSE)</f>
        <v>#N/A</v>
      </c>
    </row>
    <row r="3511" spans="1:13" x14ac:dyDescent="0.2">
      <c r="A3511" s="12" t="s">
        <v>5644</v>
      </c>
      <c r="B3511" s="12" t="s">
        <v>3994</v>
      </c>
      <c r="C3511" s="12">
        <v>1603265</v>
      </c>
      <c r="D3511" s="12">
        <v>1608185</v>
      </c>
      <c r="E3511" s="12" t="s">
        <v>3940</v>
      </c>
      <c r="F3511" s="12">
        <v>1</v>
      </c>
      <c r="H3511" s="12" t="s">
        <v>6314</v>
      </c>
      <c r="I3511" s="41" t="s">
        <v>8223</v>
      </c>
      <c r="M3511" s="41" t="e">
        <f>VLOOKUP(I3511,错误mRNA总表!D:I,6,FALSE)</f>
        <v>#N/A</v>
      </c>
    </row>
    <row r="3512" spans="1:13" x14ac:dyDescent="0.2">
      <c r="A3512" s="12" t="s">
        <v>5644</v>
      </c>
      <c r="B3512" s="12" t="s">
        <v>3994</v>
      </c>
      <c r="C3512" s="12">
        <v>1603265</v>
      </c>
      <c r="D3512" s="12">
        <v>1610065</v>
      </c>
      <c r="E3512" s="12" t="s">
        <v>3943</v>
      </c>
      <c r="F3512" s="12">
        <v>1</v>
      </c>
      <c r="H3512" s="12" t="s">
        <v>6314</v>
      </c>
      <c r="I3512" s="41" t="s">
        <v>8223</v>
      </c>
      <c r="M3512" s="41" t="e">
        <f>VLOOKUP(I3512,错误mRNA总表!D:I,6,FALSE)</f>
        <v>#N/A</v>
      </c>
    </row>
    <row r="3513" spans="1:13" x14ac:dyDescent="0.2">
      <c r="A3513" s="12" t="s">
        <v>5645</v>
      </c>
      <c r="B3513" s="12" t="s">
        <v>3954</v>
      </c>
      <c r="C3513" s="12">
        <v>3076408</v>
      </c>
      <c r="D3513" s="12">
        <v>3076662</v>
      </c>
      <c r="E3513" s="12" t="s">
        <v>3940</v>
      </c>
      <c r="F3513" s="12">
        <v>6</v>
      </c>
      <c r="G3513" s="41" t="s">
        <v>569</v>
      </c>
      <c r="H3513" s="12" t="s">
        <v>579</v>
      </c>
      <c r="I3513" s="41" t="s">
        <v>2240</v>
      </c>
      <c r="J3513" s="41" t="s">
        <v>2240</v>
      </c>
      <c r="K3513" s="41" t="str">
        <f>VLOOKUP(J3513,错误mRNA总表!D:J,7,FALSE)</f>
        <v>纠后正确，加2个氨基酸chr4:3076663-3241786</v>
      </c>
      <c r="L3513" s="41" t="s">
        <v>8338</v>
      </c>
      <c r="M3513" s="41">
        <f>VLOOKUP(I3513,错误mRNA总表!D:I,6,FALSE)</f>
        <v>0</v>
      </c>
    </row>
    <row r="3514" spans="1:13" x14ac:dyDescent="0.2">
      <c r="A3514" s="12" t="s">
        <v>5646</v>
      </c>
      <c r="B3514" s="12" t="s">
        <v>4049</v>
      </c>
      <c r="C3514" s="12">
        <v>287074</v>
      </c>
      <c r="D3514" s="12">
        <v>336730</v>
      </c>
      <c r="E3514" s="12" t="s">
        <v>3940</v>
      </c>
      <c r="F3514" s="12">
        <v>2</v>
      </c>
      <c r="H3514" s="12" t="s">
        <v>3517</v>
      </c>
      <c r="I3514" s="41" t="s">
        <v>8224</v>
      </c>
      <c r="M3514" s="41" t="e">
        <f>VLOOKUP(I3514,错误mRNA总表!D:I,6,FALSE)</f>
        <v>#N/A</v>
      </c>
    </row>
    <row r="3515" spans="1:13" x14ac:dyDescent="0.2">
      <c r="A3515" s="12" t="s">
        <v>5646</v>
      </c>
      <c r="B3515" s="12" t="s">
        <v>4049</v>
      </c>
      <c r="C3515" s="12">
        <v>287074</v>
      </c>
      <c r="D3515" s="12">
        <v>338223</v>
      </c>
      <c r="E3515" s="12" t="s">
        <v>3943</v>
      </c>
      <c r="F3515" s="12">
        <v>5</v>
      </c>
      <c r="H3515" s="12" t="s">
        <v>3517</v>
      </c>
      <c r="I3515" s="41" t="s">
        <v>8224</v>
      </c>
      <c r="M3515" s="41" t="e">
        <f>VLOOKUP(I3515,错误mRNA总表!D:I,6,FALSE)</f>
        <v>#N/A</v>
      </c>
    </row>
    <row r="3516" spans="1:13" x14ac:dyDescent="0.2">
      <c r="A3516" s="12" t="s">
        <v>5646</v>
      </c>
      <c r="B3516" s="12" t="s">
        <v>4049</v>
      </c>
      <c r="C3516" s="12">
        <v>287074</v>
      </c>
      <c r="D3516" s="12">
        <v>338387</v>
      </c>
      <c r="E3516" s="12" t="s">
        <v>3940</v>
      </c>
      <c r="F3516" s="12">
        <v>1</v>
      </c>
      <c r="H3516" s="12" t="s">
        <v>3517</v>
      </c>
      <c r="I3516" s="41" t="s">
        <v>8224</v>
      </c>
      <c r="M3516" s="41" t="e">
        <f>VLOOKUP(I3516,错误mRNA总表!D:I,6,FALSE)</f>
        <v>#N/A</v>
      </c>
    </row>
    <row r="3517" spans="1:13" x14ac:dyDescent="0.2">
      <c r="A3517" s="12" t="s">
        <v>5646</v>
      </c>
      <c r="B3517" s="12" t="s">
        <v>4049</v>
      </c>
      <c r="C3517" s="12">
        <v>287074</v>
      </c>
      <c r="D3517" s="12">
        <v>340287</v>
      </c>
      <c r="E3517" s="12" t="s">
        <v>3943</v>
      </c>
      <c r="F3517" s="12">
        <v>1</v>
      </c>
      <c r="H3517" s="12" t="s">
        <v>3517</v>
      </c>
      <c r="I3517" s="41" t="s">
        <v>8224</v>
      </c>
      <c r="M3517" s="41" t="e">
        <f>VLOOKUP(I3517,错误mRNA总表!D:I,6,FALSE)</f>
        <v>#N/A</v>
      </c>
    </row>
    <row r="3518" spans="1:13" x14ac:dyDescent="0.2">
      <c r="A3518" s="12" t="s">
        <v>5647</v>
      </c>
      <c r="B3518" s="12" t="s">
        <v>3994</v>
      </c>
      <c r="C3518" s="12">
        <v>2717805</v>
      </c>
      <c r="D3518" s="12">
        <v>2726594</v>
      </c>
      <c r="E3518" s="12" t="s">
        <v>3943</v>
      </c>
      <c r="F3518" s="12">
        <v>6</v>
      </c>
      <c r="H3518" s="12" t="s">
        <v>3556</v>
      </c>
      <c r="I3518" s="41" t="s">
        <v>8225</v>
      </c>
      <c r="M3518" s="41" t="e">
        <f>VLOOKUP(I3518,错误mRNA总表!D:I,6,FALSE)</f>
        <v>#N/A</v>
      </c>
    </row>
    <row r="3519" spans="1:13" x14ac:dyDescent="0.2">
      <c r="A3519" s="12" t="s">
        <v>5648</v>
      </c>
      <c r="B3519" s="12" t="s">
        <v>3946</v>
      </c>
      <c r="C3519" s="12">
        <v>34890589</v>
      </c>
      <c r="D3519" s="12">
        <v>34891067</v>
      </c>
      <c r="E3519" s="12" t="s">
        <v>3943</v>
      </c>
      <c r="F3519" s="12">
        <v>21</v>
      </c>
      <c r="G3519" s="41" t="s">
        <v>47</v>
      </c>
      <c r="H3519" s="12" t="s">
        <v>6315</v>
      </c>
      <c r="I3519" s="41" t="s">
        <v>8226</v>
      </c>
      <c r="M3519" s="41" t="e">
        <f>VLOOKUP(I3519,错误mRNA总表!D:I,6,FALSE)</f>
        <v>#N/A</v>
      </c>
    </row>
    <row r="3520" spans="1:13" x14ac:dyDescent="0.2">
      <c r="A3520" s="12" t="s">
        <v>4721</v>
      </c>
      <c r="B3520" s="12" t="s">
        <v>3984</v>
      </c>
      <c r="C3520" s="12">
        <v>4518583</v>
      </c>
      <c r="D3520" s="12">
        <v>4518636</v>
      </c>
      <c r="E3520" s="12" t="s">
        <v>3943</v>
      </c>
      <c r="F3520" s="12">
        <v>1</v>
      </c>
      <c r="H3520" s="12" t="s">
        <v>3594</v>
      </c>
      <c r="I3520" s="41" t="s">
        <v>8227</v>
      </c>
      <c r="M3520" s="41" t="e">
        <f>VLOOKUP(I3520,错误mRNA总表!D:I,6,FALSE)</f>
        <v>#N/A</v>
      </c>
    </row>
    <row r="3521" spans="1:13" x14ac:dyDescent="0.2">
      <c r="A3521" s="12" t="s">
        <v>5649</v>
      </c>
      <c r="B3521" s="12" t="s">
        <v>3978</v>
      </c>
      <c r="C3521" s="12">
        <v>195241218</v>
      </c>
      <c r="D3521" s="12">
        <v>195241806</v>
      </c>
      <c r="E3521" s="12" t="s">
        <v>3943</v>
      </c>
      <c r="F3521" s="12">
        <v>1</v>
      </c>
      <c r="G3521" s="41" t="s">
        <v>86</v>
      </c>
      <c r="H3521" s="12" t="s">
        <v>6627</v>
      </c>
      <c r="I3521" s="41" t="s">
        <v>8228</v>
      </c>
      <c r="M3521" s="41" t="e">
        <f>VLOOKUP(I3521,错误mRNA总表!D:I,6,FALSE)</f>
        <v>#N/A</v>
      </c>
    </row>
    <row r="3522" spans="1:13" x14ac:dyDescent="0.2">
      <c r="A3522" s="12" t="s">
        <v>5649</v>
      </c>
      <c r="B3522" s="12" t="s">
        <v>3978</v>
      </c>
      <c r="C3522" s="12">
        <v>195241218</v>
      </c>
      <c r="D3522" s="12">
        <v>195243006</v>
      </c>
      <c r="E3522" s="12" t="s">
        <v>3943</v>
      </c>
      <c r="F3522" s="12">
        <v>1</v>
      </c>
      <c r="G3522" s="41" t="s">
        <v>86</v>
      </c>
      <c r="H3522" s="12" t="s">
        <v>6627</v>
      </c>
      <c r="I3522" s="41" t="s">
        <v>8228</v>
      </c>
      <c r="M3522" s="41" t="e">
        <f>VLOOKUP(I3522,错误mRNA总表!D:I,6,FALSE)</f>
        <v>#N/A</v>
      </c>
    </row>
    <row r="3523" spans="1:13" x14ac:dyDescent="0.2">
      <c r="A3523" s="12" t="s">
        <v>5076</v>
      </c>
      <c r="B3523" s="12" t="s">
        <v>3957</v>
      </c>
      <c r="C3523" s="12">
        <v>118938463</v>
      </c>
      <c r="D3523" s="12">
        <v>118939941</v>
      </c>
      <c r="E3523" s="12" t="s">
        <v>3940</v>
      </c>
      <c r="F3523" s="12">
        <v>1</v>
      </c>
      <c r="G3523" s="41" t="s">
        <v>36</v>
      </c>
      <c r="H3523" s="12" t="s">
        <v>226</v>
      </c>
      <c r="I3523" s="41" t="s">
        <v>8229</v>
      </c>
      <c r="J3523" s="41" t="s">
        <v>2205</v>
      </c>
      <c r="K3523" s="41" t="str">
        <f>VLOOKUP(J3523,错误mRNA总表!D:J,7,FALSE)</f>
        <v>纠后正确</v>
      </c>
      <c r="M3523" s="41" t="e">
        <f>VLOOKUP(I3523,错误mRNA总表!D:I,6,FALSE)</f>
        <v>#N/A</v>
      </c>
    </row>
    <row r="3524" spans="1:13" x14ac:dyDescent="0.2">
      <c r="A3524" s="12" t="s">
        <v>4013</v>
      </c>
      <c r="B3524" s="12" t="s">
        <v>3984</v>
      </c>
      <c r="C3524" s="12">
        <v>2900437</v>
      </c>
      <c r="D3524" s="12">
        <v>2900533</v>
      </c>
      <c r="E3524" s="12" t="s">
        <v>3943</v>
      </c>
      <c r="F3524" s="12">
        <v>4</v>
      </c>
      <c r="H3524" s="12" t="s">
        <v>3560</v>
      </c>
      <c r="I3524" s="41" t="s">
        <v>8230</v>
      </c>
      <c r="M3524" s="41" t="e">
        <f>VLOOKUP(I3524,错误mRNA总表!D:I,6,FALSE)</f>
        <v>#N/A</v>
      </c>
    </row>
    <row r="3525" spans="1:13" x14ac:dyDescent="0.2">
      <c r="A3525" s="12" t="s">
        <v>5650</v>
      </c>
      <c r="B3525" s="12" t="s">
        <v>4061</v>
      </c>
      <c r="C3525" s="12">
        <v>190645</v>
      </c>
      <c r="D3525" s="12">
        <v>254880</v>
      </c>
      <c r="E3525" s="12" t="s">
        <v>3940</v>
      </c>
      <c r="F3525" s="12">
        <v>3</v>
      </c>
      <c r="H3525" s="12" t="s">
        <v>3653</v>
      </c>
      <c r="I3525" s="41" t="s">
        <v>8231</v>
      </c>
      <c r="M3525" s="41" t="e">
        <f>VLOOKUP(I3525,错误mRNA总表!D:I,6,FALSE)</f>
        <v>#N/A</v>
      </c>
    </row>
    <row r="3526" spans="1:13" x14ac:dyDescent="0.2">
      <c r="A3526" s="12" t="s">
        <v>5651</v>
      </c>
      <c r="B3526" s="12" t="s">
        <v>3946</v>
      </c>
      <c r="C3526" s="12">
        <v>35969787</v>
      </c>
      <c r="D3526" s="12">
        <v>35970175</v>
      </c>
      <c r="E3526" s="12" t="s">
        <v>3943</v>
      </c>
      <c r="F3526" s="12">
        <v>1</v>
      </c>
      <c r="G3526" s="41" t="s">
        <v>47</v>
      </c>
      <c r="H3526" s="12" t="s">
        <v>6599</v>
      </c>
      <c r="I3526" s="41" t="s">
        <v>8232</v>
      </c>
      <c r="M3526" s="41" t="e">
        <f>VLOOKUP(I3526,错误mRNA总表!D:I,6,FALSE)</f>
        <v>#N/A</v>
      </c>
    </row>
    <row r="3527" spans="1:13" x14ac:dyDescent="0.2">
      <c r="A3527" s="12" t="s">
        <v>5651</v>
      </c>
      <c r="B3527" s="12" t="s">
        <v>3946</v>
      </c>
      <c r="C3527" s="12">
        <v>35969787</v>
      </c>
      <c r="D3527" s="12">
        <v>35970339</v>
      </c>
      <c r="E3527" s="12" t="s">
        <v>3940</v>
      </c>
      <c r="F3527" s="12">
        <v>4</v>
      </c>
      <c r="G3527" s="41" t="s">
        <v>47</v>
      </c>
      <c r="H3527" s="12" t="s">
        <v>6599</v>
      </c>
      <c r="I3527" s="41" t="s">
        <v>8232</v>
      </c>
      <c r="M3527" s="41" t="e">
        <f>VLOOKUP(I3527,错误mRNA总表!D:I,6,FALSE)</f>
        <v>#N/A</v>
      </c>
    </row>
    <row r="3528" spans="1:13" x14ac:dyDescent="0.2">
      <c r="A3528" s="12" t="s">
        <v>5652</v>
      </c>
      <c r="B3528" s="12" t="s">
        <v>3948</v>
      </c>
      <c r="C3528" s="12">
        <v>100472701</v>
      </c>
      <c r="D3528" s="12">
        <v>100472933</v>
      </c>
      <c r="E3528" s="12" t="s">
        <v>3940</v>
      </c>
      <c r="F3528" s="12">
        <v>1</v>
      </c>
      <c r="G3528" s="41" t="s">
        <v>40</v>
      </c>
      <c r="H3528" s="12" t="s">
        <v>6316</v>
      </c>
      <c r="I3528" s="41" t="s">
        <v>8233</v>
      </c>
      <c r="M3528" s="41" t="e">
        <f>VLOOKUP(I3528,错误mRNA总表!D:I,6,FALSE)</f>
        <v>#N/A</v>
      </c>
    </row>
    <row r="3529" spans="1:13" x14ac:dyDescent="0.2">
      <c r="A3529" s="12" t="s">
        <v>5653</v>
      </c>
      <c r="B3529" s="12" t="s">
        <v>3984</v>
      </c>
      <c r="C3529" s="12">
        <v>1331022</v>
      </c>
      <c r="D3529" s="12">
        <v>1331221</v>
      </c>
      <c r="E3529" s="12" t="s">
        <v>3940</v>
      </c>
      <c r="F3529" s="12">
        <v>4</v>
      </c>
      <c r="H3529" s="12" t="s">
        <v>3536</v>
      </c>
      <c r="I3529" s="41" t="s">
        <v>8234</v>
      </c>
      <c r="M3529" s="41" t="e">
        <f>VLOOKUP(I3529,错误mRNA总表!D:I,6,FALSE)</f>
        <v>#N/A</v>
      </c>
    </row>
    <row r="3530" spans="1:13" x14ac:dyDescent="0.2">
      <c r="A3530" s="12" t="s">
        <v>5653</v>
      </c>
      <c r="B3530" s="12" t="s">
        <v>3984</v>
      </c>
      <c r="C3530" s="12">
        <v>1331022</v>
      </c>
      <c r="D3530" s="12">
        <v>1331341</v>
      </c>
      <c r="E3530" s="12" t="s">
        <v>3940</v>
      </c>
      <c r="F3530" s="12">
        <v>1</v>
      </c>
      <c r="H3530" s="12" t="s">
        <v>3536</v>
      </c>
      <c r="I3530" s="41" t="s">
        <v>8234</v>
      </c>
      <c r="M3530" s="41" t="e">
        <f>VLOOKUP(I3530,错误mRNA总表!D:I,6,FALSE)</f>
        <v>#N/A</v>
      </c>
    </row>
    <row r="3531" spans="1:13" x14ac:dyDescent="0.2">
      <c r="A3531" s="12" t="s">
        <v>4053</v>
      </c>
      <c r="B3531" s="12" t="s">
        <v>3984</v>
      </c>
      <c r="C3531" s="12">
        <v>1095341</v>
      </c>
      <c r="D3531" s="12">
        <v>1099166</v>
      </c>
      <c r="E3531" s="12" t="s">
        <v>3943</v>
      </c>
      <c r="F3531" s="12">
        <v>14</v>
      </c>
      <c r="H3531" s="12" t="s">
        <v>3531</v>
      </c>
      <c r="I3531" s="41" t="s">
        <v>8235</v>
      </c>
      <c r="M3531" s="41" t="e">
        <f>VLOOKUP(I3531,错误mRNA总表!D:I,6,FALSE)</f>
        <v>#N/A</v>
      </c>
    </row>
    <row r="3532" spans="1:13" x14ac:dyDescent="0.2">
      <c r="A3532" s="12" t="s">
        <v>5654</v>
      </c>
      <c r="B3532" s="12" t="s">
        <v>4052</v>
      </c>
      <c r="C3532" s="12">
        <v>12938625</v>
      </c>
      <c r="D3532" s="12">
        <v>12939093</v>
      </c>
      <c r="E3532" s="12" t="s">
        <v>3943</v>
      </c>
      <c r="F3532" s="12">
        <v>1</v>
      </c>
      <c r="G3532" s="41" t="s">
        <v>93</v>
      </c>
      <c r="H3532" s="12" t="s">
        <v>6560</v>
      </c>
      <c r="I3532" s="41" t="s">
        <v>8236</v>
      </c>
      <c r="M3532" s="41" t="e">
        <f>VLOOKUP(I3532,错误mRNA总表!D:I,6,FALSE)</f>
        <v>#N/A</v>
      </c>
    </row>
    <row r="3533" spans="1:13" x14ac:dyDescent="0.2">
      <c r="A3533" s="12" t="s">
        <v>5655</v>
      </c>
      <c r="B3533" s="12" t="s">
        <v>3957</v>
      </c>
      <c r="C3533" s="12">
        <v>67758575</v>
      </c>
      <c r="D3533" s="12">
        <v>67765163</v>
      </c>
      <c r="E3533" s="12" t="s">
        <v>3940</v>
      </c>
      <c r="F3533" s="12">
        <v>1</v>
      </c>
      <c r="G3533" s="41" t="s">
        <v>36</v>
      </c>
      <c r="H3533" s="12" t="s">
        <v>228</v>
      </c>
      <c r="I3533" s="41" t="s">
        <v>2204</v>
      </c>
      <c r="J3533" s="41" t="s">
        <v>2204</v>
      </c>
      <c r="K3533" s="41" t="str">
        <f>VLOOKUP(J3533,错误mRNA总表!D:J,7,FALSE)</f>
        <v>纠后正确</v>
      </c>
      <c r="L3533" s="41" t="s">
        <v>3763</v>
      </c>
      <c r="M3533" s="41">
        <f>VLOOKUP(I3533,错误mRNA总表!D:I,6,FALSE)</f>
        <v>0</v>
      </c>
    </row>
    <row r="3534" spans="1:13" x14ac:dyDescent="0.2">
      <c r="A3534" s="12" t="s">
        <v>4492</v>
      </c>
      <c r="B3534" s="12" t="s">
        <v>4047</v>
      </c>
      <c r="C3534" s="12">
        <v>1264869</v>
      </c>
      <c r="D3534" s="12">
        <v>1264883</v>
      </c>
      <c r="E3534" s="12" t="s">
        <v>3940</v>
      </c>
      <c r="F3534" s="12">
        <v>2</v>
      </c>
      <c r="G3534" s="41" t="s">
        <v>1409</v>
      </c>
      <c r="H3534" s="12" t="s">
        <v>1362</v>
      </c>
      <c r="I3534" s="41" t="s">
        <v>7612</v>
      </c>
      <c r="J3534" s="41" t="s">
        <v>3403</v>
      </c>
      <c r="K3534" s="41" t="str">
        <f>VLOOKUP(J3534,错误mRNA总表!D:J,7,FALSE)</f>
        <v/>
      </c>
      <c r="M3534" s="41" t="e">
        <f>VLOOKUP(I3534,错误mRNA总表!D:I,6,FALSE)</f>
        <v>#N/A</v>
      </c>
    </row>
    <row r="3535" spans="1:13" x14ac:dyDescent="0.2">
      <c r="A3535" s="12" t="s">
        <v>4492</v>
      </c>
      <c r="B3535" s="12" t="s">
        <v>4047</v>
      </c>
      <c r="C3535" s="12">
        <v>1264869</v>
      </c>
      <c r="D3535" s="12">
        <v>1264893</v>
      </c>
      <c r="E3535" s="12" t="s">
        <v>3940</v>
      </c>
      <c r="F3535" s="12">
        <v>1</v>
      </c>
      <c r="G3535" s="41" t="s">
        <v>1409</v>
      </c>
      <c r="H3535" s="12" t="s">
        <v>1362</v>
      </c>
      <c r="I3535" s="41" t="s">
        <v>7612</v>
      </c>
      <c r="J3535" s="41" t="s">
        <v>3403</v>
      </c>
      <c r="K3535" s="41" t="str">
        <f>VLOOKUP(J3535,错误mRNA总表!D:J,7,FALSE)</f>
        <v/>
      </c>
      <c r="M3535" s="41" t="e">
        <f>VLOOKUP(I3535,错误mRNA总表!D:I,6,FALSE)</f>
        <v>#N/A</v>
      </c>
    </row>
    <row r="3536" spans="1:13" x14ac:dyDescent="0.2">
      <c r="A3536" s="12" t="s">
        <v>4308</v>
      </c>
      <c r="B3536" s="12" t="s">
        <v>3969</v>
      </c>
      <c r="C3536" s="12">
        <v>2423429</v>
      </c>
      <c r="D3536" s="12">
        <v>2428734</v>
      </c>
      <c r="E3536" s="12" t="s">
        <v>3943</v>
      </c>
      <c r="F3536" s="12">
        <v>1</v>
      </c>
      <c r="H3536" s="12" t="s">
        <v>5862</v>
      </c>
      <c r="I3536" s="41" t="s">
        <v>8237</v>
      </c>
      <c r="M3536" s="41" t="e">
        <f>VLOOKUP(I3536,错误mRNA总表!D:I,6,FALSE)</f>
        <v>#N/A</v>
      </c>
    </row>
    <row r="3537" spans="1:13" x14ac:dyDescent="0.2">
      <c r="A3537" s="12" t="s">
        <v>5656</v>
      </c>
      <c r="B3537" s="12" t="s">
        <v>3948</v>
      </c>
      <c r="C3537" s="12">
        <v>101928405</v>
      </c>
      <c r="D3537" s="12">
        <v>101952188</v>
      </c>
      <c r="E3537" s="12" t="s">
        <v>3940</v>
      </c>
      <c r="F3537" s="12">
        <v>246</v>
      </c>
      <c r="G3537" s="41" t="s">
        <v>40</v>
      </c>
      <c r="H3537" s="12" t="s">
        <v>749</v>
      </c>
      <c r="I3537" s="41" t="s">
        <v>2246</v>
      </c>
      <c r="J3537" s="41" t="s">
        <v>2246</v>
      </c>
      <c r="K3537" s="41" t="str">
        <f>VLOOKUP(J3537,错误mRNA总表!D:J,7,FALSE)</f>
        <v>多82个氨基酸，但无法验证哪个正确，NCBIrs无氨基酸注释信息chr7:101957639-101962097</v>
      </c>
      <c r="L3537" s="41" t="s">
        <v>8369</v>
      </c>
      <c r="M3537" s="41">
        <f>VLOOKUP(I3537,错误mRNA总表!D:I,6,FALSE)</f>
        <v>0</v>
      </c>
    </row>
    <row r="3538" spans="1:13" x14ac:dyDescent="0.2">
      <c r="A3538" s="12" t="s">
        <v>5657</v>
      </c>
      <c r="B3538" s="12" t="s">
        <v>3948</v>
      </c>
      <c r="C3538" s="12">
        <v>50455032</v>
      </c>
      <c r="D3538" s="12">
        <v>50455035</v>
      </c>
      <c r="E3538" s="12" t="s">
        <v>3943</v>
      </c>
      <c r="F3538" s="12">
        <v>4</v>
      </c>
      <c r="G3538" s="41" t="s">
        <v>40</v>
      </c>
      <c r="H3538" s="12" t="s">
        <v>724</v>
      </c>
      <c r="I3538" s="41" t="s">
        <v>3339</v>
      </c>
      <c r="J3538" s="41" t="s">
        <v>3339</v>
      </c>
      <c r="K3538" s="41" t="str">
        <f>VLOOKUP(J3538,错误mRNA总表!D:J,7,FALSE)</f>
        <v>纠后正确</v>
      </c>
      <c r="L3538" s="41" t="s">
        <v>3763</v>
      </c>
      <c r="M3538" s="41">
        <f>VLOOKUP(I3538,错误mRNA总表!D:I,6,FALSE)</f>
        <v>0</v>
      </c>
    </row>
    <row r="3539" spans="1:13" x14ac:dyDescent="0.2">
      <c r="A3539" s="12" t="s">
        <v>4706</v>
      </c>
      <c r="B3539" s="12" t="s">
        <v>3964</v>
      </c>
      <c r="C3539" s="12">
        <v>3670160</v>
      </c>
      <c r="D3539" s="12">
        <v>3670161</v>
      </c>
      <c r="E3539" s="12" t="s">
        <v>3940</v>
      </c>
      <c r="F3539" s="12">
        <v>2</v>
      </c>
      <c r="H3539" s="12" t="s">
        <v>3432</v>
      </c>
      <c r="I3539" s="41" t="s">
        <v>7726</v>
      </c>
      <c r="M3539" s="41" t="e">
        <f>VLOOKUP(I3539,错误mRNA总表!D:I,6,FALSE)</f>
        <v>#N/A</v>
      </c>
    </row>
    <row r="3540" spans="1:13" x14ac:dyDescent="0.2">
      <c r="A3540" s="12" t="s">
        <v>5658</v>
      </c>
      <c r="B3540" s="12" t="s">
        <v>3948</v>
      </c>
      <c r="C3540" s="12">
        <v>150709297</v>
      </c>
      <c r="D3540" s="12">
        <v>150713902</v>
      </c>
      <c r="E3540" s="12" t="s">
        <v>3940</v>
      </c>
      <c r="F3540" s="12">
        <v>1</v>
      </c>
      <c r="G3540" s="41" t="s">
        <v>40</v>
      </c>
      <c r="H3540" s="12" t="s">
        <v>6317</v>
      </c>
      <c r="I3540" s="41" t="s">
        <v>8238</v>
      </c>
      <c r="M3540" s="41" t="e">
        <f>VLOOKUP(I3540,错误mRNA总表!D:I,6,FALSE)</f>
        <v>#N/A</v>
      </c>
    </row>
    <row r="3541" spans="1:13" x14ac:dyDescent="0.2">
      <c r="A3541" s="12" t="s">
        <v>5659</v>
      </c>
      <c r="B3541" s="12" t="s">
        <v>4124</v>
      </c>
      <c r="C3541" s="12">
        <v>133064717</v>
      </c>
      <c r="D3541" s="12">
        <v>133075904</v>
      </c>
      <c r="E3541" s="12" t="s">
        <v>3940</v>
      </c>
      <c r="F3541" s="12">
        <v>1</v>
      </c>
      <c r="G3541" s="41" t="s">
        <v>1</v>
      </c>
      <c r="H3541" s="12" t="s">
        <v>444</v>
      </c>
      <c r="I3541" s="41" t="s">
        <v>8239</v>
      </c>
      <c r="J3541" s="41" t="s">
        <v>2232</v>
      </c>
      <c r="K3541" s="41" t="str">
        <f>VLOOKUP(J3541,错误mRNA总表!D:J,7,FALSE)</f>
        <v/>
      </c>
      <c r="M3541" s="41" t="e">
        <f>VLOOKUP(I3541,错误mRNA总表!D:I,6,FALSE)</f>
        <v>#N/A</v>
      </c>
    </row>
    <row r="3542" spans="1:13" x14ac:dyDescent="0.2">
      <c r="A3542" s="12" t="s">
        <v>5659</v>
      </c>
      <c r="B3542" s="12" t="s">
        <v>4124</v>
      </c>
      <c r="C3542" s="12">
        <v>133064717</v>
      </c>
      <c r="D3542" s="12">
        <v>133076116</v>
      </c>
      <c r="E3542" s="12" t="s">
        <v>3943</v>
      </c>
      <c r="F3542" s="12">
        <v>1</v>
      </c>
      <c r="G3542" s="41" t="s">
        <v>1</v>
      </c>
      <c r="H3542" s="12" t="s">
        <v>444</v>
      </c>
      <c r="I3542" s="41" t="s">
        <v>8239</v>
      </c>
      <c r="J3542" s="41" t="s">
        <v>2232</v>
      </c>
      <c r="K3542" s="41" t="str">
        <f>VLOOKUP(J3542,错误mRNA总表!D:J,7,FALSE)</f>
        <v/>
      </c>
      <c r="M3542" s="41" t="e">
        <f>VLOOKUP(I3542,错误mRNA总表!D:I,6,FALSE)</f>
        <v>#N/A</v>
      </c>
    </row>
    <row r="3543" spans="1:13" x14ac:dyDescent="0.2">
      <c r="A3543" s="12" t="s">
        <v>5660</v>
      </c>
      <c r="B3543" s="12" t="s">
        <v>4023</v>
      </c>
      <c r="C3543" s="12">
        <v>1436236</v>
      </c>
      <c r="D3543" s="12">
        <v>1438791</v>
      </c>
      <c r="E3543" s="12" t="s">
        <v>3940</v>
      </c>
      <c r="F3543" s="12">
        <v>1</v>
      </c>
      <c r="H3543" s="12" t="s">
        <v>6318</v>
      </c>
      <c r="I3543" s="41" t="s">
        <v>8240</v>
      </c>
      <c r="M3543" s="41" t="e">
        <f>VLOOKUP(I3543,错误mRNA总表!D:I,6,FALSE)</f>
        <v>#N/A</v>
      </c>
    </row>
    <row r="3544" spans="1:13" x14ac:dyDescent="0.2">
      <c r="A3544" s="12" t="s">
        <v>5661</v>
      </c>
      <c r="B3544" s="12" t="s">
        <v>4115</v>
      </c>
      <c r="C3544" s="12">
        <v>84672562</v>
      </c>
      <c r="D3544" s="12">
        <v>84673083</v>
      </c>
      <c r="E3544" s="12" t="s">
        <v>3943</v>
      </c>
      <c r="F3544" s="12">
        <v>1</v>
      </c>
      <c r="G3544" s="41" t="s">
        <v>33</v>
      </c>
      <c r="H3544" s="12" t="s">
        <v>6561</v>
      </c>
      <c r="I3544" s="41" t="s">
        <v>8241</v>
      </c>
      <c r="M3544" s="41" t="e">
        <f>VLOOKUP(I3544,错误mRNA总表!D:I,6,FALSE)</f>
        <v>#N/A</v>
      </c>
    </row>
    <row r="3545" spans="1:13" x14ac:dyDescent="0.2">
      <c r="A3545" s="12" t="s">
        <v>5661</v>
      </c>
      <c r="B3545" s="12" t="s">
        <v>4115</v>
      </c>
      <c r="C3545" s="12">
        <v>84672562</v>
      </c>
      <c r="D3545" s="12">
        <v>84674361</v>
      </c>
      <c r="E3545" s="12" t="s">
        <v>3940</v>
      </c>
      <c r="F3545" s="12">
        <v>1</v>
      </c>
      <c r="G3545" s="41" t="s">
        <v>33</v>
      </c>
      <c r="H3545" s="12" t="s">
        <v>6561</v>
      </c>
      <c r="I3545" s="41" t="s">
        <v>8241</v>
      </c>
      <c r="M3545" s="41" t="e">
        <f>VLOOKUP(I3545,错误mRNA总表!D:I,6,FALSE)</f>
        <v>#N/A</v>
      </c>
    </row>
    <row r="3546" spans="1:13" x14ac:dyDescent="0.2">
      <c r="A3546" s="12" t="s">
        <v>5661</v>
      </c>
      <c r="B3546" s="12" t="s">
        <v>4115</v>
      </c>
      <c r="C3546" s="12">
        <v>84672562</v>
      </c>
      <c r="D3546" s="12">
        <v>84675971</v>
      </c>
      <c r="E3546" s="12" t="s">
        <v>3940</v>
      </c>
      <c r="F3546" s="12">
        <v>1</v>
      </c>
      <c r="G3546" s="41" t="s">
        <v>33</v>
      </c>
      <c r="H3546" s="12" t="s">
        <v>6561</v>
      </c>
      <c r="I3546" s="41" t="s">
        <v>8241</v>
      </c>
      <c r="M3546" s="41" t="e">
        <f>VLOOKUP(I3546,错误mRNA总表!D:I,6,FALSE)</f>
        <v>#N/A</v>
      </c>
    </row>
    <row r="3547" spans="1:13" x14ac:dyDescent="0.2">
      <c r="A3547" s="12" t="s">
        <v>5662</v>
      </c>
      <c r="B3547" s="12" t="s">
        <v>4115</v>
      </c>
      <c r="C3547" s="12">
        <v>3465047</v>
      </c>
      <c r="D3547" s="12">
        <v>3465459</v>
      </c>
      <c r="E3547" s="12" t="s">
        <v>3943</v>
      </c>
      <c r="F3547" s="12">
        <v>1</v>
      </c>
      <c r="G3547" s="41" t="s">
        <v>33</v>
      </c>
      <c r="H3547" s="12" t="s">
        <v>6475</v>
      </c>
      <c r="I3547" s="41" t="s">
        <v>8242</v>
      </c>
      <c r="M3547" s="41" t="e">
        <f>VLOOKUP(I3547,错误mRNA总表!D:I,6,FALSE)</f>
        <v>#N/A</v>
      </c>
    </row>
    <row r="3548" spans="1:13" x14ac:dyDescent="0.2">
      <c r="A3548" s="12" t="s">
        <v>5663</v>
      </c>
      <c r="B3548" s="12" t="s">
        <v>4115</v>
      </c>
      <c r="C3548" s="12">
        <v>139510734</v>
      </c>
      <c r="D3548" s="12">
        <v>139511234</v>
      </c>
      <c r="E3548" s="12" t="s">
        <v>3943</v>
      </c>
      <c r="F3548" s="12">
        <v>1</v>
      </c>
      <c r="G3548" s="41" t="s">
        <v>33</v>
      </c>
      <c r="H3548" s="12" t="s">
        <v>6476</v>
      </c>
      <c r="I3548" s="41" t="s">
        <v>8243</v>
      </c>
      <c r="M3548" s="41" t="e">
        <f>VLOOKUP(I3548,错误mRNA总表!D:I,6,FALSE)</f>
        <v>#N/A</v>
      </c>
    </row>
    <row r="3549" spans="1:13" x14ac:dyDescent="0.2">
      <c r="A3549" s="12" t="s">
        <v>5664</v>
      </c>
      <c r="B3549" s="12" t="s">
        <v>4049</v>
      </c>
      <c r="C3549" s="12">
        <v>920682</v>
      </c>
      <c r="D3549" s="12">
        <v>921990</v>
      </c>
      <c r="E3549" s="12" t="s">
        <v>3943</v>
      </c>
      <c r="F3549" s="12">
        <v>2</v>
      </c>
      <c r="H3549" s="12" t="s">
        <v>6319</v>
      </c>
      <c r="I3549" s="41" t="s">
        <v>8244</v>
      </c>
      <c r="M3549" s="41" t="e">
        <f>VLOOKUP(I3549,错误mRNA总表!D:I,6,FALSE)</f>
        <v>#N/A</v>
      </c>
    </row>
    <row r="3550" spans="1:13" x14ac:dyDescent="0.2">
      <c r="A3550" s="12" t="s">
        <v>5664</v>
      </c>
      <c r="B3550" s="12" t="s">
        <v>4049</v>
      </c>
      <c r="C3550" s="12">
        <v>920682</v>
      </c>
      <c r="D3550" s="12">
        <v>922067</v>
      </c>
      <c r="E3550" s="12" t="s">
        <v>3943</v>
      </c>
      <c r="F3550" s="12">
        <v>1</v>
      </c>
      <c r="H3550" s="12" t="s">
        <v>6319</v>
      </c>
      <c r="I3550" s="41" t="s">
        <v>8244</v>
      </c>
      <c r="M3550" s="41" t="e">
        <f>VLOOKUP(I3550,错误mRNA总表!D:I,6,FALSE)</f>
        <v>#N/A</v>
      </c>
    </row>
    <row r="3551" spans="1:13" x14ac:dyDescent="0.2">
      <c r="A3551" s="12" t="s">
        <v>5664</v>
      </c>
      <c r="B3551" s="12" t="s">
        <v>4049</v>
      </c>
      <c r="C3551" s="12">
        <v>920682</v>
      </c>
      <c r="D3551" s="12">
        <v>922800</v>
      </c>
      <c r="E3551" s="12" t="s">
        <v>3943</v>
      </c>
      <c r="F3551" s="12">
        <v>2</v>
      </c>
      <c r="H3551" s="12" t="s">
        <v>6319</v>
      </c>
      <c r="I3551" s="41" t="s">
        <v>8244</v>
      </c>
      <c r="M3551" s="41" t="e">
        <f>VLOOKUP(I3551,错误mRNA总表!D:I,6,FALSE)</f>
        <v>#N/A</v>
      </c>
    </row>
    <row r="3552" spans="1:13" x14ac:dyDescent="0.2">
      <c r="A3552" s="12" t="s">
        <v>5664</v>
      </c>
      <c r="B3552" s="12" t="s">
        <v>4049</v>
      </c>
      <c r="C3552" s="12">
        <v>920682</v>
      </c>
      <c r="D3552" s="12">
        <v>922877</v>
      </c>
      <c r="E3552" s="12" t="s">
        <v>3943</v>
      </c>
      <c r="F3552" s="12">
        <v>1</v>
      </c>
      <c r="H3552" s="12" t="s">
        <v>6319</v>
      </c>
      <c r="I3552" s="41" t="s">
        <v>8244</v>
      </c>
      <c r="M3552" s="41" t="e">
        <f>VLOOKUP(I3552,错误mRNA总表!D:I,6,FALSE)</f>
        <v>#N/A</v>
      </c>
    </row>
    <row r="3553" spans="1:13" x14ac:dyDescent="0.2">
      <c r="A3553" s="12" t="s">
        <v>5664</v>
      </c>
      <c r="B3553" s="12" t="s">
        <v>4049</v>
      </c>
      <c r="C3553" s="12">
        <v>920682</v>
      </c>
      <c r="D3553" s="12">
        <v>924429</v>
      </c>
      <c r="E3553" s="12" t="s">
        <v>3943</v>
      </c>
      <c r="F3553" s="12">
        <v>2</v>
      </c>
      <c r="H3553" s="12" t="s">
        <v>6319</v>
      </c>
      <c r="I3553" s="41" t="s">
        <v>8244</v>
      </c>
      <c r="M3553" s="41" t="e">
        <f>VLOOKUP(I3553,错误mRNA总表!D:I,6,FALSE)</f>
        <v>#N/A</v>
      </c>
    </row>
    <row r="3554" spans="1:13" x14ac:dyDescent="0.2">
      <c r="A3554" s="12" t="s">
        <v>5664</v>
      </c>
      <c r="B3554" s="12" t="s">
        <v>4049</v>
      </c>
      <c r="C3554" s="12">
        <v>920682</v>
      </c>
      <c r="D3554" s="12">
        <v>924506</v>
      </c>
      <c r="E3554" s="12" t="s">
        <v>3943</v>
      </c>
      <c r="F3554" s="12">
        <v>1</v>
      </c>
      <c r="H3554" s="12" t="s">
        <v>6319</v>
      </c>
      <c r="I3554" s="41" t="s">
        <v>8244</v>
      </c>
      <c r="M3554" s="41" t="e">
        <f>VLOOKUP(I3554,错误mRNA总表!D:I,6,FALSE)</f>
        <v>#N/A</v>
      </c>
    </row>
    <row r="3555" spans="1:13" x14ac:dyDescent="0.2">
      <c r="A3555" s="12" t="s">
        <v>5665</v>
      </c>
      <c r="B3555" s="12" t="s">
        <v>3942</v>
      </c>
      <c r="C3555" s="12">
        <v>99724925</v>
      </c>
      <c r="D3555" s="12">
        <v>99728497</v>
      </c>
      <c r="E3555" s="12" t="s">
        <v>3943</v>
      </c>
      <c r="F3555" s="12">
        <v>1</v>
      </c>
      <c r="G3555" s="41" t="s">
        <v>186</v>
      </c>
      <c r="H3555" s="12" t="s">
        <v>6320</v>
      </c>
      <c r="I3555" s="41" t="s">
        <v>8245</v>
      </c>
      <c r="M3555" s="41" t="e">
        <f>VLOOKUP(I3555,错误mRNA总表!D:I,6,FALSE)</f>
        <v>#N/A</v>
      </c>
    </row>
    <row r="3556" spans="1:13" x14ac:dyDescent="0.2">
      <c r="A3556" s="12" t="s">
        <v>5666</v>
      </c>
      <c r="B3556" s="12" t="s">
        <v>3942</v>
      </c>
      <c r="C3556" s="12">
        <v>69803699</v>
      </c>
      <c r="D3556" s="12">
        <v>69805066</v>
      </c>
      <c r="E3556" s="12" t="s">
        <v>3943</v>
      </c>
      <c r="F3556" s="12">
        <v>1</v>
      </c>
      <c r="G3556" s="41" t="s">
        <v>186</v>
      </c>
      <c r="H3556" s="12" t="s">
        <v>6321</v>
      </c>
      <c r="I3556" s="41" t="s">
        <v>8246</v>
      </c>
      <c r="M3556" s="41" t="e">
        <f>VLOOKUP(I3556,错误mRNA总表!D:I,6,FALSE)</f>
        <v>#N/A</v>
      </c>
    </row>
    <row r="3557" spans="1:13" x14ac:dyDescent="0.2">
      <c r="A3557" s="12" t="s">
        <v>5666</v>
      </c>
      <c r="B3557" s="12" t="s">
        <v>3942</v>
      </c>
      <c r="C3557" s="12">
        <v>69803699</v>
      </c>
      <c r="D3557" s="12">
        <v>69805136</v>
      </c>
      <c r="E3557" s="12" t="s">
        <v>3943</v>
      </c>
      <c r="F3557" s="12">
        <v>2</v>
      </c>
      <c r="G3557" s="41" t="s">
        <v>186</v>
      </c>
      <c r="H3557" s="12" t="s">
        <v>6321</v>
      </c>
      <c r="I3557" s="41" t="s">
        <v>8246</v>
      </c>
      <c r="M3557" s="41" t="e">
        <f>VLOOKUP(I3557,错误mRNA总表!D:I,6,FALSE)</f>
        <v>#N/A</v>
      </c>
    </row>
    <row r="3558" spans="1:13" x14ac:dyDescent="0.2">
      <c r="A3558" s="12" t="s">
        <v>5666</v>
      </c>
      <c r="B3558" s="12" t="s">
        <v>3942</v>
      </c>
      <c r="C3558" s="12">
        <v>69803699</v>
      </c>
      <c r="D3558" s="12">
        <v>69805873</v>
      </c>
      <c r="E3558" s="12" t="s">
        <v>3943</v>
      </c>
      <c r="F3558" s="12">
        <v>1</v>
      </c>
      <c r="G3558" s="41" t="s">
        <v>186</v>
      </c>
      <c r="H3558" s="12" t="s">
        <v>6321</v>
      </c>
      <c r="I3558" s="41" t="s">
        <v>8246</v>
      </c>
      <c r="M3558" s="41" t="e">
        <f>VLOOKUP(I3558,错误mRNA总表!D:I,6,FALSE)</f>
        <v>#N/A</v>
      </c>
    </row>
    <row r="3559" spans="1:13" x14ac:dyDescent="0.2">
      <c r="A3559" s="12" t="s">
        <v>5666</v>
      </c>
      <c r="B3559" s="12" t="s">
        <v>3942</v>
      </c>
      <c r="C3559" s="12">
        <v>69803699</v>
      </c>
      <c r="D3559" s="12">
        <v>69805943</v>
      </c>
      <c r="E3559" s="12" t="s">
        <v>3943</v>
      </c>
      <c r="F3559" s="12">
        <v>2</v>
      </c>
      <c r="G3559" s="41" t="s">
        <v>186</v>
      </c>
      <c r="H3559" s="12" t="s">
        <v>6321</v>
      </c>
      <c r="I3559" s="41" t="s">
        <v>8246</v>
      </c>
      <c r="M3559" s="41" t="e">
        <f>VLOOKUP(I3559,错误mRNA总表!D:I,6,FALSE)</f>
        <v>#N/A</v>
      </c>
    </row>
    <row r="3560" spans="1:13" x14ac:dyDescent="0.2">
      <c r="A3560" s="12" t="s">
        <v>5666</v>
      </c>
      <c r="B3560" s="12" t="s">
        <v>3942</v>
      </c>
      <c r="C3560" s="12">
        <v>69803699</v>
      </c>
      <c r="D3560" s="12">
        <v>69806695</v>
      </c>
      <c r="E3560" s="12" t="s">
        <v>3943</v>
      </c>
      <c r="F3560" s="12">
        <v>1</v>
      </c>
      <c r="G3560" s="41" t="s">
        <v>186</v>
      </c>
      <c r="H3560" s="12" t="s">
        <v>6321</v>
      </c>
      <c r="I3560" s="41" t="s">
        <v>8246</v>
      </c>
      <c r="M3560" s="41" t="e">
        <f>VLOOKUP(I3560,错误mRNA总表!D:I,6,FALSE)</f>
        <v>#N/A</v>
      </c>
    </row>
    <row r="3561" spans="1:13" x14ac:dyDescent="0.2">
      <c r="A3561" s="12" t="s">
        <v>5666</v>
      </c>
      <c r="B3561" s="12" t="s">
        <v>3942</v>
      </c>
      <c r="C3561" s="12">
        <v>69803699</v>
      </c>
      <c r="D3561" s="12">
        <v>69806765</v>
      </c>
      <c r="E3561" s="12" t="s">
        <v>3943</v>
      </c>
      <c r="F3561" s="12">
        <v>2</v>
      </c>
      <c r="G3561" s="41" t="s">
        <v>186</v>
      </c>
      <c r="H3561" s="12" t="s">
        <v>6321</v>
      </c>
      <c r="I3561" s="41" t="s">
        <v>8246</v>
      </c>
      <c r="M3561" s="41" t="e">
        <f>VLOOKUP(I3561,错误mRNA总表!D:I,6,FALSE)</f>
        <v>#N/A</v>
      </c>
    </row>
    <row r="3562" spans="1:13" x14ac:dyDescent="0.2">
      <c r="A3562" s="12" t="s">
        <v>5666</v>
      </c>
      <c r="B3562" s="12" t="s">
        <v>3942</v>
      </c>
      <c r="C3562" s="12">
        <v>69803699</v>
      </c>
      <c r="D3562" s="12">
        <v>69807505</v>
      </c>
      <c r="E3562" s="12" t="s">
        <v>3943</v>
      </c>
      <c r="F3562" s="12">
        <v>1</v>
      </c>
      <c r="G3562" s="41" t="s">
        <v>186</v>
      </c>
      <c r="H3562" s="12" t="s">
        <v>6321</v>
      </c>
      <c r="I3562" s="41" t="s">
        <v>8246</v>
      </c>
      <c r="M3562" s="41" t="e">
        <f>VLOOKUP(I3562,错误mRNA总表!D:I,6,FALSE)</f>
        <v>#N/A</v>
      </c>
    </row>
    <row r="3563" spans="1:13" x14ac:dyDescent="0.2">
      <c r="A3563" s="12" t="s">
        <v>5666</v>
      </c>
      <c r="B3563" s="12" t="s">
        <v>3942</v>
      </c>
      <c r="C3563" s="12">
        <v>69803699</v>
      </c>
      <c r="D3563" s="12">
        <v>69807575</v>
      </c>
      <c r="E3563" s="12" t="s">
        <v>3943</v>
      </c>
      <c r="F3563" s="12">
        <v>2</v>
      </c>
      <c r="G3563" s="41" t="s">
        <v>186</v>
      </c>
      <c r="H3563" s="12" t="s">
        <v>6321</v>
      </c>
      <c r="I3563" s="41" t="s">
        <v>8246</v>
      </c>
      <c r="M3563" s="41" t="e">
        <f>VLOOKUP(I3563,错误mRNA总表!D:I,6,FALSE)</f>
        <v>#N/A</v>
      </c>
    </row>
    <row r="3564" spans="1:13" x14ac:dyDescent="0.2">
      <c r="A3564" s="12" t="s">
        <v>5667</v>
      </c>
      <c r="B3564" s="12" t="s">
        <v>3978</v>
      </c>
      <c r="C3564" s="12">
        <v>197233064</v>
      </c>
      <c r="D3564" s="12">
        <v>197233373</v>
      </c>
      <c r="E3564" s="12" t="s">
        <v>3943</v>
      </c>
      <c r="F3564" s="12">
        <v>2</v>
      </c>
      <c r="G3564" s="41" t="s">
        <v>86</v>
      </c>
      <c r="H3564" s="12" t="s">
        <v>6477</v>
      </c>
      <c r="I3564" s="41" t="s">
        <v>8247</v>
      </c>
      <c r="M3564" s="41" t="e">
        <f>VLOOKUP(I3564,错误mRNA总表!D:I,6,FALSE)</f>
        <v>#N/A</v>
      </c>
    </row>
    <row r="3565" spans="1:13" x14ac:dyDescent="0.2">
      <c r="A3565" s="12" t="s">
        <v>5668</v>
      </c>
      <c r="B3565" s="12" t="s">
        <v>4199</v>
      </c>
      <c r="C3565" s="12">
        <v>376009</v>
      </c>
      <c r="D3565" s="12">
        <v>376541</v>
      </c>
      <c r="E3565" s="12" t="s">
        <v>3943</v>
      </c>
      <c r="F3565" s="12">
        <v>2</v>
      </c>
      <c r="H3565" s="12" t="s">
        <v>6322</v>
      </c>
      <c r="I3565" s="41" t="s">
        <v>8248</v>
      </c>
      <c r="M3565" s="41" t="e">
        <f>VLOOKUP(I3565,错误mRNA总表!D:I,6,FALSE)</f>
        <v>#N/A</v>
      </c>
    </row>
    <row r="3566" spans="1:13" x14ac:dyDescent="0.2">
      <c r="A3566" s="12" t="s">
        <v>5669</v>
      </c>
      <c r="B3566" s="12" t="s">
        <v>3973</v>
      </c>
      <c r="C3566" s="12">
        <v>145136108</v>
      </c>
      <c r="D3566" s="12">
        <v>145139089</v>
      </c>
      <c r="E3566" s="12" t="s">
        <v>3940</v>
      </c>
      <c r="F3566" s="12">
        <v>1</v>
      </c>
      <c r="G3566" s="41" t="s">
        <v>139</v>
      </c>
      <c r="H3566" s="12" t="s">
        <v>6323</v>
      </c>
      <c r="I3566" s="41" t="s">
        <v>8249</v>
      </c>
      <c r="M3566" s="41" t="e">
        <f>VLOOKUP(I3566,错误mRNA总表!D:I,6,FALSE)</f>
        <v>#N/A</v>
      </c>
    </row>
    <row r="3567" spans="1:13" x14ac:dyDescent="0.2">
      <c r="A3567" s="12" t="s">
        <v>5670</v>
      </c>
      <c r="B3567" s="12" t="s">
        <v>3973</v>
      </c>
      <c r="C3567" s="12">
        <v>246934900</v>
      </c>
      <c r="D3567" s="12">
        <v>246984053</v>
      </c>
      <c r="E3567" s="12" t="s">
        <v>3940</v>
      </c>
      <c r="F3567" s="12">
        <v>1</v>
      </c>
      <c r="G3567" s="41" t="s">
        <v>139</v>
      </c>
      <c r="H3567" s="12" t="s">
        <v>3507</v>
      </c>
      <c r="I3567" s="41" t="s">
        <v>8250</v>
      </c>
      <c r="M3567" s="41" t="e">
        <f>VLOOKUP(I3567,错误mRNA总表!D:I,6,FALSE)</f>
        <v>#N/A</v>
      </c>
    </row>
    <row r="3568" spans="1:13" x14ac:dyDescent="0.2">
      <c r="A3568" s="12" t="s">
        <v>5670</v>
      </c>
      <c r="B3568" s="12" t="s">
        <v>3973</v>
      </c>
      <c r="C3568" s="12">
        <v>246934900</v>
      </c>
      <c r="D3568" s="12">
        <v>246950312</v>
      </c>
      <c r="E3568" s="12" t="s">
        <v>3940</v>
      </c>
      <c r="F3568" s="12">
        <v>1</v>
      </c>
      <c r="G3568" s="41" t="s">
        <v>139</v>
      </c>
      <c r="H3568" s="12" t="s">
        <v>3507</v>
      </c>
      <c r="I3568" s="41" t="s">
        <v>8250</v>
      </c>
      <c r="M3568" s="41" t="e">
        <f>VLOOKUP(I3568,错误mRNA总表!D:I,6,FALSE)</f>
        <v>#N/A</v>
      </c>
    </row>
    <row r="3569" spans="1:13" x14ac:dyDescent="0.2">
      <c r="A3569" s="12" t="s">
        <v>5670</v>
      </c>
      <c r="B3569" s="12" t="s">
        <v>3973</v>
      </c>
      <c r="C3569" s="12">
        <v>246934900</v>
      </c>
      <c r="D3569" s="12">
        <v>246935197</v>
      </c>
      <c r="E3569" s="12" t="s">
        <v>3940</v>
      </c>
      <c r="F3569" s="12">
        <v>1</v>
      </c>
      <c r="G3569" s="41" t="s">
        <v>139</v>
      </c>
      <c r="H3569" s="12" t="s">
        <v>3507</v>
      </c>
      <c r="I3569" s="41" t="s">
        <v>8250</v>
      </c>
      <c r="M3569" s="41" t="e">
        <f>VLOOKUP(I3569,错误mRNA总表!D:I,6,FALSE)</f>
        <v>#N/A</v>
      </c>
    </row>
    <row r="3570" spans="1:13" x14ac:dyDescent="0.2">
      <c r="A3570" s="12" t="s">
        <v>5671</v>
      </c>
      <c r="B3570" s="12" t="s">
        <v>3986</v>
      </c>
      <c r="C3570" s="12">
        <v>21800852</v>
      </c>
      <c r="D3570" s="12">
        <v>21821746</v>
      </c>
      <c r="E3570" s="12" t="s">
        <v>3940</v>
      </c>
      <c r="F3570" s="12">
        <v>1</v>
      </c>
      <c r="G3570" s="41" t="s">
        <v>50</v>
      </c>
      <c r="H3570" s="12" t="s">
        <v>1243</v>
      </c>
      <c r="I3570" s="41" t="s">
        <v>3390</v>
      </c>
      <c r="J3570" s="41" t="s">
        <v>3390</v>
      </c>
      <c r="K3570" s="41" t="str">
        <f>VLOOKUP(J3570,错误mRNA总表!D:J,7,FALSE)</f>
        <v>纠后正确，utr略有变化，版本不一致</v>
      </c>
      <c r="L3570" s="41" t="s">
        <v>3899</v>
      </c>
      <c r="M3570" s="41">
        <f>VLOOKUP(I3570,错误mRNA总表!D:I,6,FALSE)</f>
        <v>0</v>
      </c>
    </row>
    <row r="3571" spans="1:13" x14ac:dyDescent="0.2">
      <c r="A3571" s="12" t="s">
        <v>5672</v>
      </c>
      <c r="B3571" s="12" t="s">
        <v>4018</v>
      </c>
      <c r="C3571" s="12">
        <v>10207468</v>
      </c>
      <c r="D3571" s="12">
        <v>10214505</v>
      </c>
      <c r="E3571" s="12" t="s">
        <v>3943</v>
      </c>
      <c r="F3571" s="12">
        <v>2</v>
      </c>
      <c r="G3571" s="41" t="s">
        <v>241</v>
      </c>
      <c r="H3571" s="12" t="s">
        <v>6324</v>
      </c>
      <c r="I3571" s="41" t="s">
        <v>8251</v>
      </c>
      <c r="M3571" s="41" t="e">
        <f>VLOOKUP(I3571,错误mRNA总表!D:I,6,FALSE)</f>
        <v>#N/A</v>
      </c>
    </row>
    <row r="3572" spans="1:13" x14ac:dyDescent="0.2">
      <c r="A3572" s="12" t="s">
        <v>5672</v>
      </c>
      <c r="B3572" s="12" t="s">
        <v>4018</v>
      </c>
      <c r="C3572" s="12">
        <v>10207468</v>
      </c>
      <c r="D3572" s="12">
        <v>10212820</v>
      </c>
      <c r="E3572" s="12" t="s">
        <v>3940</v>
      </c>
      <c r="F3572" s="12">
        <v>1</v>
      </c>
      <c r="G3572" s="41" t="s">
        <v>241</v>
      </c>
      <c r="H3572" s="12" t="s">
        <v>6324</v>
      </c>
      <c r="I3572" s="41" t="s">
        <v>8251</v>
      </c>
      <c r="M3572" s="41" t="e">
        <f>VLOOKUP(I3572,错误mRNA总表!D:I,6,FALSE)</f>
        <v>#N/A</v>
      </c>
    </row>
    <row r="3573" spans="1:13" x14ac:dyDescent="0.2">
      <c r="A3573" s="12" t="s">
        <v>5672</v>
      </c>
      <c r="B3573" s="12" t="s">
        <v>4018</v>
      </c>
      <c r="C3573" s="12">
        <v>10207468</v>
      </c>
      <c r="D3573" s="12">
        <v>10212972</v>
      </c>
      <c r="E3573" s="12" t="s">
        <v>3940</v>
      </c>
      <c r="F3573" s="12">
        <v>1</v>
      </c>
      <c r="G3573" s="41" t="s">
        <v>241</v>
      </c>
      <c r="H3573" s="12" t="s">
        <v>6324</v>
      </c>
      <c r="I3573" s="41" t="s">
        <v>8251</v>
      </c>
      <c r="M3573" s="41" t="e">
        <f>VLOOKUP(I3573,错误mRNA总表!D:I,6,FALSE)</f>
        <v>#N/A</v>
      </c>
    </row>
    <row r="3574" spans="1:13" x14ac:dyDescent="0.2">
      <c r="A3574" s="12" t="s">
        <v>5673</v>
      </c>
      <c r="B3574" s="12" t="s">
        <v>4052</v>
      </c>
      <c r="C3574" s="12">
        <v>43248359</v>
      </c>
      <c r="D3574" s="12">
        <v>43250354</v>
      </c>
      <c r="E3574" s="12" t="s">
        <v>3940</v>
      </c>
      <c r="F3574" s="12">
        <v>1</v>
      </c>
      <c r="G3574" s="41" t="s">
        <v>93</v>
      </c>
      <c r="H3574" s="12" t="s">
        <v>6478</v>
      </c>
      <c r="I3574" s="41" t="s">
        <v>8252</v>
      </c>
      <c r="M3574" s="41" t="e">
        <f>VLOOKUP(I3574,错误mRNA总表!D:I,6,FALSE)</f>
        <v>#N/A</v>
      </c>
    </row>
    <row r="3575" spans="1:13" x14ac:dyDescent="0.2">
      <c r="A3575" s="12" t="s">
        <v>5673</v>
      </c>
      <c r="B3575" s="12" t="s">
        <v>4052</v>
      </c>
      <c r="C3575" s="12">
        <v>43248359</v>
      </c>
      <c r="D3575" s="12">
        <v>43250445</v>
      </c>
      <c r="E3575" s="12" t="s">
        <v>3940</v>
      </c>
      <c r="F3575" s="12">
        <v>2</v>
      </c>
      <c r="G3575" s="41" t="s">
        <v>93</v>
      </c>
      <c r="H3575" s="12" t="s">
        <v>6478</v>
      </c>
      <c r="I3575" s="41" t="s">
        <v>8252</v>
      </c>
      <c r="M3575" s="41" t="e">
        <f>VLOOKUP(I3575,错误mRNA总表!D:I,6,FALSE)</f>
        <v>#N/A</v>
      </c>
    </row>
    <row r="3576" spans="1:13" x14ac:dyDescent="0.2">
      <c r="A3576" s="12" t="s">
        <v>5673</v>
      </c>
      <c r="B3576" s="12" t="s">
        <v>4052</v>
      </c>
      <c r="C3576" s="12">
        <v>43248359</v>
      </c>
      <c r="D3576" s="12">
        <v>43250542</v>
      </c>
      <c r="E3576" s="12" t="s">
        <v>3940</v>
      </c>
      <c r="F3576" s="12">
        <v>2</v>
      </c>
      <c r="G3576" s="41" t="s">
        <v>93</v>
      </c>
      <c r="H3576" s="12" t="s">
        <v>6478</v>
      </c>
      <c r="I3576" s="41" t="s">
        <v>8252</v>
      </c>
      <c r="M3576" s="41" t="e">
        <f>VLOOKUP(I3576,错误mRNA总表!D:I,6,FALSE)</f>
        <v>#N/A</v>
      </c>
    </row>
    <row r="3577" spans="1:13" x14ac:dyDescent="0.2">
      <c r="A3577" s="12" t="s">
        <v>5673</v>
      </c>
      <c r="B3577" s="12" t="s">
        <v>4052</v>
      </c>
      <c r="C3577" s="12">
        <v>43248359</v>
      </c>
      <c r="D3577" s="12">
        <v>43250611</v>
      </c>
      <c r="E3577" s="12" t="s">
        <v>3943</v>
      </c>
      <c r="F3577" s="12">
        <v>1</v>
      </c>
      <c r="G3577" s="41" t="s">
        <v>93</v>
      </c>
      <c r="H3577" s="12" t="s">
        <v>6478</v>
      </c>
      <c r="I3577" s="41" t="s">
        <v>8252</v>
      </c>
      <c r="M3577" s="41" t="e">
        <f>VLOOKUP(I3577,错误mRNA总表!D:I,6,FALSE)</f>
        <v>#N/A</v>
      </c>
    </row>
    <row r="3578" spans="1:13" x14ac:dyDescent="0.2">
      <c r="A3578" s="12" t="s">
        <v>5673</v>
      </c>
      <c r="B3578" s="12" t="s">
        <v>4052</v>
      </c>
      <c r="C3578" s="12">
        <v>43248359</v>
      </c>
      <c r="D3578" s="12">
        <v>43250764</v>
      </c>
      <c r="E3578" s="12" t="s">
        <v>3940</v>
      </c>
      <c r="F3578" s="12">
        <v>1</v>
      </c>
      <c r="G3578" s="41" t="s">
        <v>93</v>
      </c>
      <c r="H3578" s="12" t="s">
        <v>6478</v>
      </c>
      <c r="I3578" s="41" t="s">
        <v>8252</v>
      </c>
      <c r="M3578" s="41" t="e">
        <f>VLOOKUP(I3578,错误mRNA总表!D:I,6,FALSE)</f>
        <v>#N/A</v>
      </c>
    </row>
    <row r="3579" spans="1:13" x14ac:dyDescent="0.2">
      <c r="A3579" s="12" t="s">
        <v>5674</v>
      </c>
      <c r="B3579" s="12" t="s">
        <v>3978</v>
      </c>
      <c r="C3579" s="12">
        <v>195663426</v>
      </c>
      <c r="D3579" s="12">
        <v>195667385</v>
      </c>
      <c r="E3579" s="12" t="s">
        <v>3943</v>
      </c>
      <c r="F3579" s="12">
        <v>1</v>
      </c>
      <c r="G3579" s="41" t="s">
        <v>86</v>
      </c>
      <c r="H3579" s="12" t="s">
        <v>3411</v>
      </c>
      <c r="I3579" s="41" t="s">
        <v>8253</v>
      </c>
      <c r="M3579" s="41" t="e">
        <f>VLOOKUP(I3579,错误mRNA总表!D:I,6,FALSE)</f>
        <v>#N/A</v>
      </c>
    </row>
    <row r="3580" spans="1:13" x14ac:dyDescent="0.2">
      <c r="A3580" s="12" t="s">
        <v>5674</v>
      </c>
      <c r="B3580" s="12" t="s">
        <v>3978</v>
      </c>
      <c r="C3580" s="12">
        <v>195663426</v>
      </c>
      <c r="D3580" s="12">
        <v>195667458</v>
      </c>
      <c r="E3580" s="12" t="s">
        <v>3943</v>
      </c>
      <c r="F3580" s="12">
        <v>1</v>
      </c>
      <c r="G3580" s="41" t="s">
        <v>86</v>
      </c>
      <c r="H3580" s="12" t="s">
        <v>3411</v>
      </c>
      <c r="I3580" s="41" t="s">
        <v>8253</v>
      </c>
      <c r="M3580" s="41" t="e">
        <f>VLOOKUP(I3580,错误mRNA总表!D:I,6,FALSE)</f>
        <v>#N/A</v>
      </c>
    </row>
    <row r="3581" spans="1:13" x14ac:dyDescent="0.2">
      <c r="A3581" s="12" t="s">
        <v>5675</v>
      </c>
      <c r="B3581" s="12" t="s">
        <v>3973</v>
      </c>
      <c r="C3581" s="12">
        <v>142834448</v>
      </c>
      <c r="D3581" s="12">
        <v>142840801</v>
      </c>
      <c r="E3581" s="12" t="s">
        <v>3943</v>
      </c>
      <c r="F3581" s="12">
        <v>2</v>
      </c>
      <c r="G3581" s="41" t="s">
        <v>139</v>
      </c>
      <c r="H3581" s="12" t="s">
        <v>6325</v>
      </c>
      <c r="I3581" s="41" t="s">
        <v>8254</v>
      </c>
      <c r="M3581" s="41" t="e">
        <f>VLOOKUP(I3581,错误mRNA总表!D:I,6,FALSE)</f>
        <v>#N/A</v>
      </c>
    </row>
    <row r="3582" spans="1:13" x14ac:dyDescent="0.2">
      <c r="A3582" s="12" t="s">
        <v>5675</v>
      </c>
      <c r="B3582" s="12" t="s">
        <v>3973</v>
      </c>
      <c r="C3582" s="12">
        <v>142834448</v>
      </c>
      <c r="D3582" s="12">
        <v>142842335</v>
      </c>
      <c r="E3582" s="12" t="s">
        <v>3940</v>
      </c>
      <c r="F3582" s="12">
        <v>1</v>
      </c>
      <c r="G3582" s="41" t="s">
        <v>139</v>
      </c>
      <c r="H3582" s="12" t="s">
        <v>6325</v>
      </c>
      <c r="I3582" s="41" t="s">
        <v>8254</v>
      </c>
      <c r="M3582" s="41" t="e">
        <f>VLOOKUP(I3582,错误mRNA总表!D:I,6,FALSE)</f>
        <v>#N/A</v>
      </c>
    </row>
    <row r="3583" spans="1:13" x14ac:dyDescent="0.2">
      <c r="A3583" s="12" t="s">
        <v>5675</v>
      </c>
      <c r="B3583" s="12" t="s">
        <v>3973</v>
      </c>
      <c r="C3583" s="12">
        <v>142834448</v>
      </c>
      <c r="D3583" s="12">
        <v>142842487</v>
      </c>
      <c r="E3583" s="12" t="s">
        <v>3940</v>
      </c>
      <c r="F3583" s="12">
        <v>1</v>
      </c>
      <c r="G3583" s="41" t="s">
        <v>139</v>
      </c>
      <c r="H3583" s="12" t="s">
        <v>6325</v>
      </c>
      <c r="I3583" s="41" t="s">
        <v>8254</v>
      </c>
      <c r="M3583" s="41" t="e">
        <f>VLOOKUP(I3583,错误mRNA总表!D:I,6,FALSE)</f>
        <v>#N/A</v>
      </c>
    </row>
    <row r="3584" spans="1:13" x14ac:dyDescent="0.2">
      <c r="A3584" s="12" t="s">
        <v>5676</v>
      </c>
      <c r="B3584" s="12" t="s">
        <v>4115</v>
      </c>
      <c r="C3584" s="12">
        <v>99942170</v>
      </c>
      <c r="D3584" s="12">
        <v>99942313</v>
      </c>
      <c r="E3584" s="12" t="s">
        <v>3940</v>
      </c>
      <c r="F3584" s="12">
        <v>2</v>
      </c>
      <c r="G3584" s="41" t="s">
        <v>33</v>
      </c>
      <c r="H3584" s="12" t="s">
        <v>6562</v>
      </c>
      <c r="I3584" s="41" t="s">
        <v>8255</v>
      </c>
      <c r="M3584" s="41" t="e">
        <f>VLOOKUP(I3584,错误mRNA总表!D:I,6,FALSE)</f>
        <v>#N/A</v>
      </c>
    </row>
    <row r="3585" spans="1:13" x14ac:dyDescent="0.2">
      <c r="A3585" s="12" t="s">
        <v>5677</v>
      </c>
      <c r="B3585" s="12" t="s">
        <v>3952</v>
      </c>
      <c r="C3585" s="12">
        <v>659357</v>
      </c>
      <c r="D3585" s="12">
        <v>663195</v>
      </c>
      <c r="E3585" s="12" t="s">
        <v>3940</v>
      </c>
      <c r="F3585" s="12">
        <v>1</v>
      </c>
      <c r="H3585" s="12" t="s">
        <v>6326</v>
      </c>
      <c r="I3585" s="41" t="s">
        <v>8256</v>
      </c>
      <c r="M3585" s="41" t="e">
        <f>VLOOKUP(I3585,错误mRNA总表!D:I,6,FALSE)</f>
        <v>#N/A</v>
      </c>
    </row>
    <row r="3586" spans="1:13" x14ac:dyDescent="0.2">
      <c r="A3586" s="12" t="s">
        <v>5677</v>
      </c>
      <c r="B3586" s="12" t="s">
        <v>3952</v>
      </c>
      <c r="C3586" s="12">
        <v>659357</v>
      </c>
      <c r="D3586" s="12">
        <v>671684</v>
      </c>
      <c r="E3586" s="12" t="s">
        <v>3943</v>
      </c>
      <c r="F3586" s="12">
        <v>1</v>
      </c>
      <c r="H3586" s="12" t="s">
        <v>6326</v>
      </c>
      <c r="I3586" s="41" t="s">
        <v>8256</v>
      </c>
      <c r="M3586" s="41" t="e">
        <f>VLOOKUP(I3586,错误mRNA总表!D:I,6,FALSE)</f>
        <v>#N/A</v>
      </c>
    </row>
    <row r="3587" spans="1:13" x14ac:dyDescent="0.2">
      <c r="A3587" s="12" t="s">
        <v>5678</v>
      </c>
      <c r="B3587" s="12" t="s">
        <v>4012</v>
      </c>
      <c r="C3587" s="12">
        <v>950534</v>
      </c>
      <c r="D3587" s="12">
        <v>953571</v>
      </c>
      <c r="E3587" s="12" t="s">
        <v>3943</v>
      </c>
      <c r="F3587" s="12">
        <v>2</v>
      </c>
      <c r="G3587" s="41" t="s">
        <v>121</v>
      </c>
      <c r="H3587" s="12" t="s">
        <v>6327</v>
      </c>
      <c r="I3587" s="41" t="s">
        <v>8257</v>
      </c>
      <c r="M3587" s="41" t="e">
        <f>VLOOKUP(I3587,错误mRNA总表!D:I,6,FALSE)</f>
        <v>#N/A</v>
      </c>
    </row>
    <row r="3588" spans="1:13" x14ac:dyDescent="0.2">
      <c r="A3588" s="12" t="s">
        <v>5679</v>
      </c>
      <c r="B3588" s="12" t="s">
        <v>3942</v>
      </c>
      <c r="C3588" s="12">
        <v>21481416</v>
      </c>
      <c r="D3588" s="12">
        <v>21481463</v>
      </c>
      <c r="E3588" s="12" t="s">
        <v>3943</v>
      </c>
      <c r="F3588" s="12">
        <v>2</v>
      </c>
      <c r="G3588" s="41" t="s">
        <v>186</v>
      </c>
      <c r="H3588" s="12" t="s">
        <v>6563</v>
      </c>
      <c r="I3588" s="41" t="s">
        <v>8258</v>
      </c>
      <c r="M3588" s="41" t="e">
        <f>VLOOKUP(I3588,错误mRNA总表!D:I,6,FALSE)</f>
        <v>#N/A</v>
      </c>
    </row>
    <row r="3589" spans="1:13" x14ac:dyDescent="0.2">
      <c r="A3589" s="12" t="s">
        <v>5680</v>
      </c>
      <c r="B3589" s="12" t="s">
        <v>3986</v>
      </c>
      <c r="C3589" s="12">
        <v>19862304</v>
      </c>
      <c r="D3589" s="12">
        <v>19863241</v>
      </c>
      <c r="E3589" s="12" t="s">
        <v>3943</v>
      </c>
      <c r="F3589" s="12">
        <v>1</v>
      </c>
      <c r="G3589" s="41" t="s">
        <v>50</v>
      </c>
      <c r="H3589" s="12" t="s">
        <v>6479</v>
      </c>
      <c r="I3589" s="41" t="s">
        <v>8259</v>
      </c>
      <c r="M3589" s="41" t="e">
        <f>VLOOKUP(I3589,错误mRNA总表!D:I,6,FALSE)</f>
        <v>#N/A</v>
      </c>
    </row>
    <row r="3590" spans="1:13" x14ac:dyDescent="0.2">
      <c r="A3590" s="12" t="s">
        <v>5680</v>
      </c>
      <c r="B3590" s="12" t="s">
        <v>3986</v>
      </c>
      <c r="C3590" s="12">
        <v>19862304</v>
      </c>
      <c r="D3590" s="12">
        <v>19863290</v>
      </c>
      <c r="E3590" s="12" t="s">
        <v>3943</v>
      </c>
      <c r="F3590" s="12">
        <v>2</v>
      </c>
      <c r="G3590" s="41" t="s">
        <v>50</v>
      </c>
      <c r="H3590" s="12" t="s">
        <v>6479</v>
      </c>
      <c r="I3590" s="41" t="s">
        <v>8259</v>
      </c>
      <c r="M3590" s="41" t="e">
        <f>VLOOKUP(I3590,错误mRNA总表!D:I,6,FALSE)</f>
        <v>#N/A</v>
      </c>
    </row>
    <row r="3591" spans="1:13" x14ac:dyDescent="0.2">
      <c r="A3591" s="12" t="s">
        <v>5680</v>
      </c>
      <c r="B3591" s="12" t="s">
        <v>3986</v>
      </c>
      <c r="C3591" s="12">
        <v>19862304</v>
      </c>
      <c r="D3591" s="12">
        <v>19863340</v>
      </c>
      <c r="E3591" s="12" t="s">
        <v>3943</v>
      </c>
      <c r="F3591" s="12">
        <v>1</v>
      </c>
      <c r="G3591" s="41" t="s">
        <v>50</v>
      </c>
      <c r="H3591" s="12" t="s">
        <v>6479</v>
      </c>
      <c r="I3591" s="41" t="s">
        <v>8259</v>
      </c>
      <c r="M3591" s="41" t="e">
        <f>VLOOKUP(I3591,错误mRNA总表!D:I,6,FALSE)</f>
        <v>#N/A</v>
      </c>
    </row>
    <row r="3592" spans="1:13" x14ac:dyDescent="0.2">
      <c r="A3592" s="12" t="s">
        <v>5681</v>
      </c>
      <c r="B3592" s="12" t="s">
        <v>4942</v>
      </c>
      <c r="C3592" s="12">
        <v>737858</v>
      </c>
      <c r="D3592" s="12">
        <v>741696</v>
      </c>
      <c r="E3592" s="12" t="s">
        <v>3940</v>
      </c>
      <c r="F3592" s="12">
        <v>1</v>
      </c>
      <c r="H3592" s="12" t="s">
        <v>6328</v>
      </c>
      <c r="I3592" s="41" t="s">
        <v>8260</v>
      </c>
      <c r="M3592" s="41" t="e">
        <f>VLOOKUP(I3592,错误mRNA总表!D:I,6,FALSE)</f>
        <v>#N/A</v>
      </c>
    </row>
    <row r="3593" spans="1:13" x14ac:dyDescent="0.2">
      <c r="A3593" s="12" t="s">
        <v>5681</v>
      </c>
      <c r="B3593" s="12" t="s">
        <v>4942</v>
      </c>
      <c r="C3593" s="12">
        <v>737858</v>
      </c>
      <c r="D3593" s="12">
        <v>750185</v>
      </c>
      <c r="E3593" s="12" t="s">
        <v>3943</v>
      </c>
      <c r="F3593" s="12">
        <v>1</v>
      </c>
      <c r="H3593" s="12" t="s">
        <v>6328</v>
      </c>
      <c r="I3593" s="41" t="s">
        <v>8260</v>
      </c>
      <c r="M3593" s="41" t="e">
        <f>VLOOKUP(I3593,错误mRNA总表!D:I,6,FALSE)</f>
        <v>#N/A</v>
      </c>
    </row>
    <row r="3594" spans="1:13" x14ac:dyDescent="0.2">
      <c r="A3594" s="12" t="s">
        <v>5682</v>
      </c>
      <c r="B3594" s="12" t="s">
        <v>4378</v>
      </c>
      <c r="C3594" s="12">
        <v>7</v>
      </c>
      <c r="D3594" s="12">
        <v>2403</v>
      </c>
      <c r="E3594" s="12" t="s">
        <v>3940</v>
      </c>
      <c r="F3594" s="12">
        <v>1</v>
      </c>
      <c r="H3594" s="12" t="s">
        <v>6564</v>
      </c>
      <c r="I3594" s="41" t="s">
        <v>8261</v>
      </c>
      <c r="M3594" s="41" t="e">
        <f>VLOOKUP(I3594,错误mRNA总表!D:I,6,FALSE)</f>
        <v>#N/A</v>
      </c>
    </row>
    <row r="3595" spans="1:13" x14ac:dyDescent="0.2">
      <c r="A3595" s="12" t="s">
        <v>5682</v>
      </c>
      <c r="B3595" s="12" t="s">
        <v>4378</v>
      </c>
      <c r="C3595" s="12">
        <v>7</v>
      </c>
      <c r="D3595" s="12">
        <v>2491</v>
      </c>
      <c r="E3595" s="12" t="s">
        <v>3940</v>
      </c>
      <c r="F3595" s="12">
        <v>2</v>
      </c>
      <c r="H3595" s="12" t="s">
        <v>6564</v>
      </c>
      <c r="I3595" s="41" t="s">
        <v>8261</v>
      </c>
      <c r="M3595" s="41" t="e">
        <f>VLOOKUP(I3595,错误mRNA总表!D:I,6,FALSE)</f>
        <v>#N/A</v>
      </c>
    </row>
    <row r="3596" spans="1:13" x14ac:dyDescent="0.2">
      <c r="A3596" s="12" t="s">
        <v>5682</v>
      </c>
      <c r="B3596" s="12" t="s">
        <v>4378</v>
      </c>
      <c r="C3596" s="12">
        <v>7</v>
      </c>
      <c r="D3596" s="12">
        <v>2538</v>
      </c>
      <c r="E3596" s="12" t="s">
        <v>3940</v>
      </c>
      <c r="F3596" s="12">
        <v>1</v>
      </c>
      <c r="H3596" s="12" t="s">
        <v>6564</v>
      </c>
      <c r="I3596" s="41" t="s">
        <v>8261</v>
      </c>
      <c r="M3596" s="41" t="e">
        <f>VLOOKUP(I3596,错误mRNA总表!D:I,6,FALSE)</f>
        <v>#N/A</v>
      </c>
    </row>
    <row r="3597" spans="1:13" x14ac:dyDescent="0.2">
      <c r="A3597" s="12" t="s">
        <v>5682</v>
      </c>
      <c r="B3597" s="12" t="s">
        <v>4378</v>
      </c>
      <c r="C3597" s="12">
        <v>7</v>
      </c>
      <c r="D3597" s="12">
        <v>1004</v>
      </c>
      <c r="E3597" s="12" t="s">
        <v>3943</v>
      </c>
      <c r="F3597" s="12">
        <v>2</v>
      </c>
      <c r="H3597" s="12" t="s">
        <v>6564</v>
      </c>
      <c r="I3597" s="41" t="s">
        <v>8261</v>
      </c>
      <c r="M3597" s="41" t="e">
        <f>VLOOKUP(I3597,错误mRNA总表!D:I,6,FALSE)</f>
        <v>#N/A</v>
      </c>
    </row>
    <row r="3598" spans="1:13" x14ac:dyDescent="0.2">
      <c r="A3598" s="12" t="s">
        <v>5683</v>
      </c>
      <c r="B3598" s="12" t="s">
        <v>4030</v>
      </c>
      <c r="C3598" s="12">
        <v>105127457</v>
      </c>
      <c r="D3598" s="12">
        <v>105131593</v>
      </c>
      <c r="E3598" s="12" t="s">
        <v>3943</v>
      </c>
      <c r="F3598" s="12">
        <v>2</v>
      </c>
      <c r="G3598" s="41" t="s">
        <v>81</v>
      </c>
      <c r="H3598" s="12" t="s">
        <v>6329</v>
      </c>
      <c r="I3598" s="41" t="s">
        <v>8262</v>
      </c>
      <c r="M3598" s="41" t="e">
        <f>VLOOKUP(I3598,错误mRNA总表!D:I,6,FALSE)</f>
        <v>#N/A</v>
      </c>
    </row>
    <row r="3599" spans="1:13" x14ac:dyDescent="0.2">
      <c r="A3599" s="12" t="s">
        <v>5684</v>
      </c>
      <c r="B3599" s="12" t="s">
        <v>3966</v>
      </c>
      <c r="C3599" s="12">
        <v>18859683</v>
      </c>
      <c r="D3599" s="12">
        <v>18860537</v>
      </c>
      <c r="E3599" s="12" t="s">
        <v>3943</v>
      </c>
      <c r="F3599" s="12">
        <v>2</v>
      </c>
      <c r="G3599" s="41" t="s">
        <v>43</v>
      </c>
      <c r="H3599" s="12" t="s">
        <v>6330</v>
      </c>
      <c r="I3599" s="41" t="s">
        <v>8263</v>
      </c>
      <c r="M3599" s="41" t="e">
        <f>VLOOKUP(I3599,错误mRNA总表!D:I,6,FALSE)</f>
        <v>#N/A</v>
      </c>
    </row>
    <row r="3600" spans="1:13" x14ac:dyDescent="0.2">
      <c r="A3600" s="12" t="s">
        <v>5684</v>
      </c>
      <c r="B3600" s="12" t="s">
        <v>3966</v>
      </c>
      <c r="C3600" s="12">
        <v>18859683</v>
      </c>
      <c r="D3600" s="12">
        <v>18860737</v>
      </c>
      <c r="E3600" s="12" t="s">
        <v>3943</v>
      </c>
      <c r="F3600" s="12">
        <v>1</v>
      </c>
      <c r="G3600" s="41" t="s">
        <v>43</v>
      </c>
      <c r="H3600" s="12" t="s">
        <v>6330</v>
      </c>
      <c r="I3600" s="41" t="s">
        <v>8263</v>
      </c>
      <c r="M3600" s="41" t="e">
        <f>VLOOKUP(I3600,错误mRNA总表!D:I,6,FALSE)</f>
        <v>#N/A</v>
      </c>
    </row>
    <row r="3601" spans="1:13" x14ac:dyDescent="0.2">
      <c r="A3601" s="12" t="s">
        <v>5685</v>
      </c>
      <c r="B3601" s="12" t="s">
        <v>4052</v>
      </c>
      <c r="C3601" s="12">
        <v>30653087</v>
      </c>
      <c r="D3601" s="12">
        <v>30654390</v>
      </c>
      <c r="E3601" s="12" t="s">
        <v>3943</v>
      </c>
      <c r="F3601" s="12">
        <v>1</v>
      </c>
      <c r="G3601" s="41" t="s">
        <v>93</v>
      </c>
      <c r="H3601" s="12" t="s">
        <v>6480</v>
      </c>
      <c r="I3601" s="41" t="s">
        <v>8264</v>
      </c>
      <c r="M3601" s="41" t="e">
        <f>VLOOKUP(I3601,错误mRNA总表!D:I,6,FALSE)</f>
        <v>#N/A</v>
      </c>
    </row>
    <row r="3602" spans="1:13" x14ac:dyDescent="0.2">
      <c r="A3602" s="12" t="s">
        <v>5685</v>
      </c>
      <c r="B3602" s="12" t="s">
        <v>4052</v>
      </c>
      <c r="C3602" s="12">
        <v>30653087</v>
      </c>
      <c r="D3602" s="12">
        <v>30654436</v>
      </c>
      <c r="E3602" s="12" t="s">
        <v>3943</v>
      </c>
      <c r="F3602" s="12">
        <v>1</v>
      </c>
      <c r="G3602" s="41" t="s">
        <v>93</v>
      </c>
      <c r="H3602" s="12" t="s">
        <v>6480</v>
      </c>
      <c r="I3602" s="41" t="s">
        <v>8264</v>
      </c>
      <c r="M3602" s="41" t="e">
        <f>VLOOKUP(I3602,错误mRNA总表!D:I,6,FALSE)</f>
        <v>#N/A</v>
      </c>
    </row>
    <row r="3603" spans="1:13" x14ac:dyDescent="0.2">
      <c r="A3603" s="12" t="s">
        <v>5685</v>
      </c>
      <c r="B3603" s="12" t="s">
        <v>4052</v>
      </c>
      <c r="C3603" s="12">
        <v>30653087</v>
      </c>
      <c r="D3603" s="12">
        <v>30653534</v>
      </c>
      <c r="E3603" s="12" t="s">
        <v>3940</v>
      </c>
      <c r="F3603" s="12">
        <v>2</v>
      </c>
      <c r="G3603" s="41" t="s">
        <v>93</v>
      </c>
      <c r="H3603" s="12" t="s">
        <v>6480</v>
      </c>
      <c r="I3603" s="41" t="s">
        <v>8264</v>
      </c>
      <c r="M3603" s="41" t="e">
        <f>VLOOKUP(I3603,错误mRNA总表!D:I,6,FALSE)</f>
        <v>#N/A</v>
      </c>
    </row>
    <row r="3604" spans="1:13" x14ac:dyDescent="0.2">
      <c r="A3604" s="12" t="s">
        <v>5686</v>
      </c>
      <c r="B3604" s="12" t="s">
        <v>3939</v>
      </c>
      <c r="C3604" s="12">
        <v>55653184</v>
      </c>
      <c r="D3604" s="12">
        <v>55682793</v>
      </c>
      <c r="E3604" s="12" t="s">
        <v>3940</v>
      </c>
      <c r="F3604" s="12">
        <v>2</v>
      </c>
      <c r="G3604" s="41" t="s">
        <v>73</v>
      </c>
      <c r="H3604" s="12" t="s">
        <v>6565</v>
      </c>
      <c r="I3604" s="41" t="s">
        <v>8265</v>
      </c>
      <c r="M3604" s="41" t="e">
        <f>VLOOKUP(I3604,错误mRNA总表!D:I,6,FALSE)</f>
        <v>#N/A</v>
      </c>
    </row>
    <row r="3605" spans="1:13" x14ac:dyDescent="0.2">
      <c r="A3605" s="12" t="s">
        <v>5687</v>
      </c>
      <c r="B3605" s="12" t="s">
        <v>4042</v>
      </c>
      <c r="C3605" s="12">
        <v>32781204</v>
      </c>
      <c r="D3605" s="12">
        <v>32791929</v>
      </c>
      <c r="E3605" s="12" t="s">
        <v>3940</v>
      </c>
      <c r="F3605" s="12">
        <v>1</v>
      </c>
      <c r="G3605" s="41" t="s">
        <v>113</v>
      </c>
      <c r="H3605" s="12" t="s">
        <v>3464</v>
      </c>
      <c r="I3605" s="41" t="s">
        <v>8266</v>
      </c>
      <c r="M3605" s="41" t="e">
        <f>VLOOKUP(I3605,错误mRNA总表!D:I,6,FALSE)</f>
        <v>#N/A</v>
      </c>
    </row>
    <row r="3606" spans="1:13" x14ac:dyDescent="0.2">
      <c r="A3606" s="12" t="s">
        <v>5687</v>
      </c>
      <c r="B3606" s="12" t="s">
        <v>4042</v>
      </c>
      <c r="C3606" s="12">
        <v>32781204</v>
      </c>
      <c r="D3606" s="12">
        <v>32791996</v>
      </c>
      <c r="E3606" s="12" t="s">
        <v>3940</v>
      </c>
      <c r="F3606" s="12">
        <v>2</v>
      </c>
      <c r="G3606" s="41" t="s">
        <v>113</v>
      </c>
      <c r="H3606" s="12" t="s">
        <v>3464</v>
      </c>
      <c r="I3606" s="41" t="s">
        <v>8266</v>
      </c>
      <c r="M3606" s="41" t="e">
        <f>VLOOKUP(I3606,错误mRNA总表!D:I,6,FALSE)</f>
        <v>#N/A</v>
      </c>
    </row>
    <row r="3607" spans="1:13" x14ac:dyDescent="0.2">
      <c r="A3607" s="12" t="s">
        <v>5687</v>
      </c>
      <c r="B3607" s="12" t="s">
        <v>4042</v>
      </c>
      <c r="C3607" s="12">
        <v>32781204</v>
      </c>
      <c r="D3607" s="12">
        <v>32791419</v>
      </c>
      <c r="E3607" s="12" t="s">
        <v>3940</v>
      </c>
      <c r="F3607" s="12">
        <v>1</v>
      </c>
      <c r="G3607" s="41" t="s">
        <v>113</v>
      </c>
      <c r="H3607" s="12" t="s">
        <v>3464</v>
      </c>
      <c r="I3607" s="41" t="s">
        <v>8266</v>
      </c>
      <c r="M3607" s="41" t="e">
        <f>VLOOKUP(I3607,错误mRNA总表!D:I,6,FALSE)</f>
        <v>#N/A</v>
      </c>
    </row>
    <row r="3608" spans="1:13" x14ac:dyDescent="0.2">
      <c r="A3608" s="12" t="s">
        <v>5687</v>
      </c>
      <c r="B3608" s="12" t="s">
        <v>4042</v>
      </c>
      <c r="C3608" s="12">
        <v>32781204</v>
      </c>
      <c r="D3608" s="12">
        <v>32791479</v>
      </c>
      <c r="E3608" s="12" t="s">
        <v>3943</v>
      </c>
      <c r="F3608" s="12">
        <v>1</v>
      </c>
      <c r="G3608" s="41" t="s">
        <v>113</v>
      </c>
      <c r="H3608" s="12" t="s">
        <v>3464</v>
      </c>
      <c r="I3608" s="41" t="s">
        <v>8266</v>
      </c>
      <c r="M3608" s="41" t="e">
        <f>VLOOKUP(I3608,错误mRNA总表!D:I,6,FALSE)</f>
        <v>#N/A</v>
      </c>
    </row>
    <row r="3609" spans="1:13" x14ac:dyDescent="0.2">
      <c r="A3609" s="12" t="s">
        <v>5687</v>
      </c>
      <c r="B3609" s="12" t="s">
        <v>4042</v>
      </c>
      <c r="C3609" s="12">
        <v>32781204</v>
      </c>
      <c r="D3609" s="12">
        <v>32786265</v>
      </c>
      <c r="E3609" s="12" t="s">
        <v>3940</v>
      </c>
      <c r="F3609" s="12">
        <v>1</v>
      </c>
      <c r="G3609" s="41" t="s">
        <v>113</v>
      </c>
      <c r="H3609" s="12" t="s">
        <v>3464</v>
      </c>
      <c r="I3609" s="41" t="s">
        <v>8266</v>
      </c>
      <c r="M3609" s="41" t="e">
        <f>VLOOKUP(I3609,错误mRNA总表!D:I,6,FALSE)</f>
        <v>#N/A</v>
      </c>
    </row>
    <row r="3610" spans="1:13" x14ac:dyDescent="0.2">
      <c r="A3610" s="12" t="s">
        <v>5688</v>
      </c>
      <c r="B3610" s="12" t="s">
        <v>5689</v>
      </c>
      <c r="C3610" s="12">
        <v>49283</v>
      </c>
      <c r="D3610" s="12">
        <v>52898</v>
      </c>
      <c r="E3610" s="12" t="s">
        <v>3943</v>
      </c>
      <c r="F3610" s="12">
        <v>2</v>
      </c>
      <c r="H3610" s="12" t="s">
        <v>6331</v>
      </c>
      <c r="I3610" s="41" t="s">
        <v>8267</v>
      </c>
      <c r="M3610" s="41" t="e">
        <f>VLOOKUP(I3610,错误mRNA总表!D:I,6,FALSE)</f>
        <v>#N/A</v>
      </c>
    </row>
    <row r="3611" spans="1:13" x14ac:dyDescent="0.2">
      <c r="A3611" s="12" t="s">
        <v>5688</v>
      </c>
      <c r="B3611" s="12" t="s">
        <v>5689</v>
      </c>
      <c r="C3611" s="12">
        <v>49283</v>
      </c>
      <c r="D3611" s="12">
        <v>51212</v>
      </c>
      <c r="E3611" s="12" t="s">
        <v>3940</v>
      </c>
      <c r="F3611" s="12">
        <v>1</v>
      </c>
      <c r="H3611" s="12" t="s">
        <v>6331</v>
      </c>
      <c r="I3611" s="41" t="s">
        <v>8267</v>
      </c>
      <c r="M3611" s="41" t="e">
        <f>VLOOKUP(I3611,错误mRNA总表!D:I,6,FALSE)</f>
        <v>#N/A</v>
      </c>
    </row>
    <row r="3612" spans="1:13" x14ac:dyDescent="0.2">
      <c r="A3612" s="12" t="s">
        <v>5688</v>
      </c>
      <c r="B3612" s="12" t="s">
        <v>5689</v>
      </c>
      <c r="C3612" s="12">
        <v>49283</v>
      </c>
      <c r="D3612" s="12">
        <v>51253</v>
      </c>
      <c r="E3612" s="12" t="s">
        <v>3940</v>
      </c>
      <c r="F3612" s="12">
        <v>1</v>
      </c>
      <c r="H3612" s="12" t="s">
        <v>6331</v>
      </c>
      <c r="I3612" s="41" t="s">
        <v>8267</v>
      </c>
      <c r="M3612" s="41" t="e">
        <f>VLOOKUP(I3612,错误mRNA总表!D:I,6,FALSE)</f>
        <v>#N/A</v>
      </c>
    </row>
    <row r="3613" spans="1:13" x14ac:dyDescent="0.2">
      <c r="A3613" s="12" t="s">
        <v>5688</v>
      </c>
      <c r="B3613" s="12" t="s">
        <v>5689</v>
      </c>
      <c r="C3613" s="12">
        <v>49283</v>
      </c>
      <c r="D3613" s="12">
        <v>51363</v>
      </c>
      <c r="E3613" s="12" t="s">
        <v>3940</v>
      </c>
      <c r="F3613" s="12">
        <v>1</v>
      </c>
      <c r="H3613" s="12" t="s">
        <v>6331</v>
      </c>
      <c r="I3613" s="41" t="s">
        <v>8267</v>
      </c>
      <c r="M3613" s="41" t="e">
        <f>VLOOKUP(I3613,错误mRNA总表!D:I,6,FALSE)</f>
        <v>#N/A</v>
      </c>
    </row>
    <row r="3614" spans="1:13" x14ac:dyDescent="0.2">
      <c r="A3614" s="12" t="s">
        <v>5690</v>
      </c>
      <c r="B3614" s="12" t="s">
        <v>4035</v>
      </c>
      <c r="C3614" s="12">
        <v>52793490</v>
      </c>
      <c r="D3614" s="12">
        <v>52832703</v>
      </c>
      <c r="E3614" s="12" t="s">
        <v>3943</v>
      </c>
      <c r="F3614" s="12">
        <v>1</v>
      </c>
      <c r="G3614" s="41" t="s">
        <v>106</v>
      </c>
      <c r="H3614" s="12" t="s">
        <v>6481</v>
      </c>
      <c r="I3614" s="41" t="s">
        <v>8268</v>
      </c>
      <c r="M3614" s="41" t="e">
        <f>VLOOKUP(I3614,错误mRNA总表!D:I,6,FALSE)</f>
        <v>#N/A</v>
      </c>
    </row>
    <row r="3615" spans="1:13" x14ac:dyDescent="0.2">
      <c r="A3615" s="12" t="s">
        <v>5691</v>
      </c>
      <c r="B3615" s="12" t="s">
        <v>3973</v>
      </c>
      <c r="C3615" s="12">
        <v>228158932</v>
      </c>
      <c r="D3615" s="12">
        <v>228159933</v>
      </c>
      <c r="E3615" s="12" t="s">
        <v>3943</v>
      </c>
      <c r="F3615" s="12">
        <v>1</v>
      </c>
      <c r="G3615" s="41" t="s">
        <v>139</v>
      </c>
      <c r="H3615" s="12" t="s">
        <v>6332</v>
      </c>
      <c r="I3615" s="41" t="s">
        <v>8269</v>
      </c>
      <c r="M3615" s="41" t="e">
        <f>VLOOKUP(I3615,错误mRNA总表!D:I,6,FALSE)</f>
        <v>#N/A</v>
      </c>
    </row>
    <row r="3616" spans="1:13" x14ac:dyDescent="0.2">
      <c r="A3616" s="12" t="s">
        <v>5691</v>
      </c>
      <c r="B3616" s="12" t="s">
        <v>3973</v>
      </c>
      <c r="C3616" s="12">
        <v>228158932</v>
      </c>
      <c r="D3616" s="12">
        <v>228159988</v>
      </c>
      <c r="E3616" s="12" t="s">
        <v>3943</v>
      </c>
      <c r="F3616" s="12">
        <v>1</v>
      </c>
      <c r="G3616" s="41" t="s">
        <v>139</v>
      </c>
      <c r="H3616" s="12" t="s">
        <v>6332</v>
      </c>
      <c r="I3616" s="41" t="s">
        <v>8269</v>
      </c>
      <c r="M3616" s="41" t="e">
        <f>VLOOKUP(I3616,错误mRNA总表!D:I,6,FALSE)</f>
        <v>#N/A</v>
      </c>
    </row>
    <row r="3617" spans="1:13" x14ac:dyDescent="0.2">
      <c r="A3617" s="12" t="s">
        <v>5691</v>
      </c>
      <c r="B3617" s="12" t="s">
        <v>3973</v>
      </c>
      <c r="C3617" s="12">
        <v>228158932</v>
      </c>
      <c r="D3617" s="12">
        <v>228160070</v>
      </c>
      <c r="E3617" s="12" t="s">
        <v>3940</v>
      </c>
      <c r="F3617" s="12">
        <v>1</v>
      </c>
      <c r="G3617" s="41" t="s">
        <v>139</v>
      </c>
      <c r="H3617" s="12" t="s">
        <v>6332</v>
      </c>
      <c r="I3617" s="41" t="s">
        <v>8269</v>
      </c>
      <c r="M3617" s="41" t="e">
        <f>VLOOKUP(I3617,错误mRNA总表!D:I,6,FALSE)</f>
        <v>#N/A</v>
      </c>
    </row>
    <row r="3618" spans="1:13" x14ac:dyDescent="0.2">
      <c r="A3618" s="12" t="s">
        <v>5692</v>
      </c>
      <c r="B3618" s="12" t="s">
        <v>3942</v>
      </c>
      <c r="C3618" s="12">
        <v>69194037</v>
      </c>
      <c r="D3618" s="12">
        <v>69194632</v>
      </c>
      <c r="E3618" s="12" t="s">
        <v>3943</v>
      </c>
      <c r="F3618" s="12">
        <v>2</v>
      </c>
      <c r="G3618" s="41" t="s">
        <v>186</v>
      </c>
      <c r="H3618" s="12" t="s">
        <v>6333</v>
      </c>
      <c r="I3618" s="41" t="s">
        <v>8270</v>
      </c>
      <c r="M3618" s="41" t="e">
        <f>VLOOKUP(I3618,错误mRNA总表!D:I,6,FALSE)</f>
        <v>#N/A</v>
      </c>
    </row>
    <row r="3619" spans="1:13" x14ac:dyDescent="0.2">
      <c r="A3619" s="12" t="s">
        <v>5692</v>
      </c>
      <c r="B3619" s="12" t="s">
        <v>3942</v>
      </c>
      <c r="C3619" s="12">
        <v>69194037</v>
      </c>
      <c r="D3619" s="12">
        <v>69197787</v>
      </c>
      <c r="E3619" s="12" t="s">
        <v>3943</v>
      </c>
      <c r="F3619" s="12">
        <v>2</v>
      </c>
      <c r="G3619" s="41" t="s">
        <v>186</v>
      </c>
      <c r="H3619" s="12" t="s">
        <v>6333</v>
      </c>
      <c r="I3619" s="41" t="s">
        <v>8270</v>
      </c>
      <c r="M3619" s="41" t="e">
        <f>VLOOKUP(I3619,错误mRNA总表!D:I,6,FALSE)</f>
        <v>#N/A</v>
      </c>
    </row>
    <row r="3620" spans="1:13" x14ac:dyDescent="0.2">
      <c r="A3620" s="12" t="s">
        <v>5692</v>
      </c>
      <c r="B3620" s="12" t="s">
        <v>3942</v>
      </c>
      <c r="C3620" s="12">
        <v>69194037</v>
      </c>
      <c r="D3620" s="12">
        <v>69197864</v>
      </c>
      <c r="E3620" s="12" t="s">
        <v>3943</v>
      </c>
      <c r="F3620" s="12">
        <v>1</v>
      </c>
      <c r="G3620" s="41" t="s">
        <v>186</v>
      </c>
      <c r="H3620" s="12" t="s">
        <v>6333</v>
      </c>
      <c r="I3620" s="41" t="s">
        <v>8270</v>
      </c>
      <c r="M3620" s="41" t="e">
        <f>VLOOKUP(I3620,错误mRNA总表!D:I,6,FALSE)</f>
        <v>#N/A</v>
      </c>
    </row>
    <row r="3621" spans="1:13" x14ac:dyDescent="0.2">
      <c r="A3621" s="12" t="s">
        <v>5693</v>
      </c>
      <c r="B3621" s="12" t="s">
        <v>4052</v>
      </c>
      <c r="C3621" s="12">
        <v>47395845</v>
      </c>
      <c r="D3621" s="12">
        <v>47396735</v>
      </c>
      <c r="E3621" s="12" t="s">
        <v>3943</v>
      </c>
      <c r="F3621" s="12">
        <v>1</v>
      </c>
      <c r="G3621" s="41" t="s">
        <v>93</v>
      </c>
      <c r="H3621" s="12" t="s">
        <v>6334</v>
      </c>
      <c r="I3621" s="41" t="s">
        <v>8271</v>
      </c>
      <c r="M3621" s="41" t="e">
        <f>VLOOKUP(I3621,错误mRNA总表!D:I,6,FALSE)</f>
        <v>#N/A</v>
      </c>
    </row>
    <row r="3622" spans="1:13" x14ac:dyDescent="0.2">
      <c r="A3622" s="12" t="s">
        <v>5694</v>
      </c>
      <c r="B3622" s="12" t="s">
        <v>3946</v>
      </c>
      <c r="C3622" s="12">
        <v>78942487</v>
      </c>
      <c r="D3622" s="12">
        <v>78942655</v>
      </c>
      <c r="E3622" s="12" t="s">
        <v>3940</v>
      </c>
      <c r="F3622" s="12">
        <v>2</v>
      </c>
      <c r="G3622" s="41" t="s">
        <v>47</v>
      </c>
      <c r="H3622" s="12" t="s">
        <v>6482</v>
      </c>
      <c r="I3622" s="41" t="s">
        <v>8272</v>
      </c>
      <c r="M3622" s="41" t="e">
        <f>VLOOKUP(I3622,错误mRNA总表!D:I,6,FALSE)</f>
        <v>#N/A</v>
      </c>
    </row>
    <row r="3623" spans="1:13" x14ac:dyDescent="0.2">
      <c r="A3623" s="12" t="s">
        <v>5695</v>
      </c>
      <c r="B3623" s="12" t="s">
        <v>3946</v>
      </c>
      <c r="C3623" s="12">
        <v>19482870</v>
      </c>
      <c r="D3623" s="12">
        <v>19536588</v>
      </c>
      <c r="E3623" s="12" t="s">
        <v>3943</v>
      </c>
      <c r="F3623" s="12">
        <v>1</v>
      </c>
      <c r="G3623" s="41" t="s">
        <v>47</v>
      </c>
      <c r="H3623" s="12" t="s">
        <v>6335</v>
      </c>
      <c r="I3623" s="41" t="s">
        <v>8273</v>
      </c>
      <c r="M3623" s="41" t="e">
        <f>VLOOKUP(I3623,错误mRNA总表!D:I,6,FALSE)</f>
        <v>#N/A</v>
      </c>
    </row>
    <row r="3624" spans="1:13" x14ac:dyDescent="0.2">
      <c r="A3624" s="12" t="s">
        <v>5696</v>
      </c>
      <c r="B3624" s="12" t="s">
        <v>4059</v>
      </c>
      <c r="C3624" s="12">
        <v>26866058</v>
      </c>
      <c r="D3624" s="12">
        <v>26866976</v>
      </c>
      <c r="E3624" s="12" t="s">
        <v>3943</v>
      </c>
      <c r="F3624" s="12">
        <v>1</v>
      </c>
      <c r="G3624" s="41" t="s">
        <v>175</v>
      </c>
      <c r="H3624" s="12" t="s">
        <v>6336</v>
      </c>
      <c r="I3624" s="41" t="s">
        <v>8274</v>
      </c>
      <c r="M3624" s="41" t="e">
        <f>VLOOKUP(I3624,错误mRNA总表!D:I,6,FALSE)</f>
        <v>#N/A</v>
      </c>
    </row>
    <row r="3625" spans="1:13" x14ac:dyDescent="0.2">
      <c r="A3625" s="12" t="s">
        <v>5696</v>
      </c>
      <c r="B3625" s="12" t="s">
        <v>4059</v>
      </c>
      <c r="C3625" s="12">
        <v>26866058</v>
      </c>
      <c r="D3625" s="12">
        <v>26867685</v>
      </c>
      <c r="E3625" s="12" t="s">
        <v>3940</v>
      </c>
      <c r="F3625" s="12">
        <v>2</v>
      </c>
      <c r="G3625" s="41" t="s">
        <v>175</v>
      </c>
      <c r="H3625" s="12" t="s">
        <v>6336</v>
      </c>
      <c r="I3625" s="41" t="s">
        <v>8274</v>
      </c>
      <c r="M3625" s="41" t="e">
        <f>VLOOKUP(I3625,错误mRNA总表!D:I,6,FALSE)</f>
        <v>#N/A</v>
      </c>
    </row>
    <row r="3626" spans="1:13" x14ac:dyDescent="0.2">
      <c r="A3626" s="12" t="s">
        <v>5696</v>
      </c>
      <c r="B3626" s="12" t="s">
        <v>4059</v>
      </c>
      <c r="C3626" s="12">
        <v>26866058</v>
      </c>
      <c r="D3626" s="12">
        <v>26868034</v>
      </c>
      <c r="E3626" s="12" t="s">
        <v>3943</v>
      </c>
      <c r="F3626" s="12">
        <v>2</v>
      </c>
      <c r="G3626" s="41" t="s">
        <v>175</v>
      </c>
      <c r="H3626" s="12" t="s">
        <v>6336</v>
      </c>
      <c r="I3626" s="41" t="s">
        <v>8274</v>
      </c>
      <c r="M3626" s="41" t="e">
        <f>VLOOKUP(I3626,错误mRNA总表!D:I,6,FALSE)</f>
        <v>#N/A</v>
      </c>
    </row>
    <row r="3627" spans="1:13" x14ac:dyDescent="0.2">
      <c r="A3627" s="12" t="s">
        <v>5697</v>
      </c>
      <c r="B3627" s="12" t="s">
        <v>5698</v>
      </c>
      <c r="C3627" s="12">
        <v>412331</v>
      </c>
      <c r="D3627" s="12">
        <v>412651</v>
      </c>
      <c r="E3627" s="12" t="s">
        <v>3940</v>
      </c>
      <c r="F3627" s="12">
        <v>1</v>
      </c>
      <c r="H3627" s="12" t="s">
        <v>6337</v>
      </c>
      <c r="I3627" s="41" t="s">
        <v>8275</v>
      </c>
      <c r="M3627" s="41" t="e">
        <f>VLOOKUP(I3627,错误mRNA总表!D:I,6,FALSE)</f>
        <v>#N/A</v>
      </c>
    </row>
    <row r="3628" spans="1:13" x14ac:dyDescent="0.2">
      <c r="A3628" s="12" t="s">
        <v>5699</v>
      </c>
      <c r="B3628" s="12" t="s">
        <v>4042</v>
      </c>
      <c r="C3628" s="12">
        <v>83188579</v>
      </c>
      <c r="D3628" s="12">
        <v>83193311</v>
      </c>
      <c r="E3628" s="12" t="s">
        <v>3940</v>
      </c>
      <c r="F3628" s="12">
        <v>1</v>
      </c>
      <c r="G3628" s="41" t="s">
        <v>113</v>
      </c>
      <c r="H3628" s="12" t="s">
        <v>6338</v>
      </c>
      <c r="I3628" s="41" t="s">
        <v>8276</v>
      </c>
      <c r="M3628" s="41" t="e">
        <f>VLOOKUP(I3628,错误mRNA总表!D:I,6,FALSE)</f>
        <v>#N/A</v>
      </c>
    </row>
    <row r="3629" spans="1:13" x14ac:dyDescent="0.2">
      <c r="A3629" s="12" t="s">
        <v>5700</v>
      </c>
      <c r="B3629" s="12" t="s">
        <v>4042</v>
      </c>
      <c r="C3629" s="12">
        <v>21224717</v>
      </c>
      <c r="D3629" s="12">
        <v>21226154</v>
      </c>
      <c r="E3629" s="12" t="s">
        <v>3940</v>
      </c>
      <c r="F3629" s="12">
        <v>1</v>
      </c>
      <c r="G3629" s="41" t="s">
        <v>113</v>
      </c>
      <c r="H3629" s="12" t="s">
        <v>3463</v>
      </c>
      <c r="I3629" s="41" t="s">
        <v>8277</v>
      </c>
      <c r="M3629" s="41" t="e">
        <f>VLOOKUP(I3629,错误mRNA总表!D:I,6,FALSE)</f>
        <v>#N/A</v>
      </c>
    </row>
    <row r="3630" spans="1:13" x14ac:dyDescent="0.2">
      <c r="A3630" s="12" t="s">
        <v>5701</v>
      </c>
      <c r="B3630" s="12" t="s">
        <v>5702</v>
      </c>
      <c r="C3630" s="12">
        <v>291607</v>
      </c>
      <c r="D3630" s="12">
        <v>291894</v>
      </c>
      <c r="E3630" s="12" t="s">
        <v>3943</v>
      </c>
      <c r="F3630" s="12">
        <v>1</v>
      </c>
      <c r="H3630" s="12" t="s">
        <v>3456</v>
      </c>
      <c r="I3630" s="41" t="s">
        <v>8278</v>
      </c>
      <c r="M3630" s="41" t="e">
        <f>VLOOKUP(I3630,错误mRNA总表!D:I,6,FALSE)</f>
        <v>#N/A</v>
      </c>
    </row>
    <row r="3631" spans="1:13" x14ac:dyDescent="0.2">
      <c r="A3631" s="12" t="s">
        <v>5703</v>
      </c>
      <c r="B3631" s="12" t="s">
        <v>3942</v>
      </c>
      <c r="C3631" s="12">
        <v>70069919</v>
      </c>
      <c r="D3631" s="12">
        <v>70070514</v>
      </c>
      <c r="E3631" s="12" t="s">
        <v>3943</v>
      </c>
      <c r="F3631" s="12">
        <v>2</v>
      </c>
      <c r="G3631" s="41" t="s">
        <v>186</v>
      </c>
      <c r="H3631" s="12" t="s">
        <v>6339</v>
      </c>
      <c r="I3631" s="41" t="s">
        <v>8279</v>
      </c>
      <c r="M3631" s="41" t="e">
        <f>VLOOKUP(I3631,错误mRNA总表!D:I,6,FALSE)</f>
        <v>#N/A</v>
      </c>
    </row>
    <row r="3632" spans="1:13" x14ac:dyDescent="0.2">
      <c r="A3632" s="12" t="s">
        <v>5703</v>
      </c>
      <c r="B3632" s="12" t="s">
        <v>3942</v>
      </c>
      <c r="C3632" s="12">
        <v>70069919</v>
      </c>
      <c r="D3632" s="12">
        <v>70072853</v>
      </c>
      <c r="E3632" s="12" t="s">
        <v>3943</v>
      </c>
      <c r="F3632" s="12">
        <v>2</v>
      </c>
      <c r="G3632" s="41" t="s">
        <v>186</v>
      </c>
      <c r="H3632" s="12" t="s">
        <v>6339</v>
      </c>
      <c r="I3632" s="41" t="s">
        <v>8279</v>
      </c>
      <c r="M3632" s="41" t="e">
        <f>VLOOKUP(I3632,错误mRNA总表!D:I,6,FALSE)</f>
        <v>#N/A</v>
      </c>
    </row>
    <row r="3633" spans="1:13" x14ac:dyDescent="0.2">
      <c r="A3633" s="12" t="s">
        <v>5703</v>
      </c>
      <c r="B3633" s="12" t="s">
        <v>3942</v>
      </c>
      <c r="C3633" s="12">
        <v>70069919</v>
      </c>
      <c r="D3633" s="12">
        <v>70072930</v>
      </c>
      <c r="E3633" s="12" t="s">
        <v>3943</v>
      </c>
      <c r="F3633" s="12">
        <v>1</v>
      </c>
      <c r="G3633" s="41" t="s">
        <v>186</v>
      </c>
      <c r="H3633" s="12" t="s">
        <v>6339</v>
      </c>
      <c r="I3633" s="41" t="s">
        <v>8279</v>
      </c>
      <c r="M3633" s="41" t="e">
        <f>VLOOKUP(I3633,错误mRNA总表!D:I,6,FALSE)</f>
        <v>#N/A</v>
      </c>
    </row>
    <row r="3634" spans="1:13" x14ac:dyDescent="0.2">
      <c r="A3634" s="12" t="s">
        <v>5704</v>
      </c>
      <c r="B3634" s="12" t="s">
        <v>4042</v>
      </c>
      <c r="C3634" s="12">
        <v>83144361</v>
      </c>
      <c r="D3634" s="12">
        <v>83145594</v>
      </c>
      <c r="E3634" s="12" t="s">
        <v>3940</v>
      </c>
      <c r="F3634" s="12">
        <v>1</v>
      </c>
      <c r="G3634" s="41" t="s">
        <v>113</v>
      </c>
      <c r="H3634" s="12" t="s">
        <v>6340</v>
      </c>
      <c r="I3634" s="41" t="s">
        <v>8280</v>
      </c>
      <c r="M3634" s="41" t="e">
        <f>VLOOKUP(I3634,错误mRNA总表!D:I,6,FALSE)</f>
        <v>#N/A</v>
      </c>
    </row>
    <row r="3635" spans="1:13" x14ac:dyDescent="0.2">
      <c r="A3635" s="12" t="s">
        <v>5704</v>
      </c>
      <c r="B3635" s="12" t="s">
        <v>4042</v>
      </c>
      <c r="C3635" s="12">
        <v>83144361</v>
      </c>
      <c r="D3635" s="12">
        <v>83145644</v>
      </c>
      <c r="E3635" s="12" t="s">
        <v>3940</v>
      </c>
      <c r="F3635" s="12">
        <v>1</v>
      </c>
      <c r="G3635" s="41" t="s">
        <v>113</v>
      </c>
      <c r="H3635" s="12" t="s">
        <v>6340</v>
      </c>
      <c r="I3635" s="41" t="s">
        <v>8280</v>
      </c>
      <c r="M3635" s="41" t="e">
        <f>VLOOKUP(I3635,错误mRNA总表!D:I,6,FALSE)</f>
        <v>#N/A</v>
      </c>
    </row>
    <row r="3636" spans="1:13" x14ac:dyDescent="0.2">
      <c r="A3636" s="12" t="s">
        <v>5705</v>
      </c>
      <c r="B3636" s="12" t="s">
        <v>3942</v>
      </c>
      <c r="C3636" s="12">
        <v>68912492</v>
      </c>
      <c r="D3636" s="12">
        <v>68928950</v>
      </c>
      <c r="E3636" s="12" t="s">
        <v>3943</v>
      </c>
      <c r="F3636" s="12">
        <v>1</v>
      </c>
      <c r="G3636" s="41" t="s">
        <v>186</v>
      </c>
      <c r="H3636" s="12" t="s">
        <v>6341</v>
      </c>
      <c r="I3636" s="41" t="s">
        <v>8281</v>
      </c>
      <c r="M3636" s="41" t="e">
        <f>VLOOKUP(I3636,错误mRNA总表!D:I,6,FALSE)</f>
        <v>#N/A</v>
      </c>
    </row>
    <row r="3637" spans="1:13" x14ac:dyDescent="0.2">
      <c r="A3637" s="12" t="s">
        <v>5705</v>
      </c>
      <c r="B3637" s="12" t="s">
        <v>3942</v>
      </c>
      <c r="C3637" s="12">
        <v>68912492</v>
      </c>
      <c r="D3637" s="12">
        <v>68929020</v>
      </c>
      <c r="E3637" s="12" t="s">
        <v>3943</v>
      </c>
      <c r="F3637" s="12">
        <v>2</v>
      </c>
      <c r="G3637" s="41" t="s">
        <v>186</v>
      </c>
      <c r="H3637" s="12" t="s">
        <v>6341</v>
      </c>
      <c r="I3637" s="41" t="s">
        <v>8281</v>
      </c>
      <c r="M3637" s="41" t="e">
        <f>VLOOKUP(I3637,错误mRNA总表!D:I,6,FALSE)</f>
        <v>#N/A</v>
      </c>
    </row>
    <row r="3638" spans="1:13" x14ac:dyDescent="0.2">
      <c r="A3638" s="12" t="s">
        <v>5705</v>
      </c>
      <c r="B3638" s="12" t="s">
        <v>3942</v>
      </c>
      <c r="C3638" s="12">
        <v>68912492</v>
      </c>
      <c r="D3638" s="12">
        <v>68929757</v>
      </c>
      <c r="E3638" s="12" t="s">
        <v>3943</v>
      </c>
      <c r="F3638" s="12">
        <v>1</v>
      </c>
      <c r="G3638" s="41" t="s">
        <v>186</v>
      </c>
      <c r="H3638" s="12" t="s">
        <v>6341</v>
      </c>
      <c r="I3638" s="41" t="s">
        <v>8281</v>
      </c>
      <c r="M3638" s="41" t="e">
        <f>VLOOKUP(I3638,错误mRNA总表!D:I,6,FALSE)</f>
        <v>#N/A</v>
      </c>
    </row>
    <row r="3639" spans="1:13" x14ac:dyDescent="0.2">
      <c r="A3639" s="12" t="s">
        <v>5705</v>
      </c>
      <c r="B3639" s="12" t="s">
        <v>3942</v>
      </c>
      <c r="C3639" s="12">
        <v>68912492</v>
      </c>
      <c r="D3639" s="12">
        <v>68929827</v>
      </c>
      <c r="E3639" s="12" t="s">
        <v>3943</v>
      </c>
      <c r="F3639" s="12">
        <v>2</v>
      </c>
      <c r="G3639" s="41" t="s">
        <v>186</v>
      </c>
      <c r="H3639" s="12" t="s">
        <v>6341</v>
      </c>
      <c r="I3639" s="41" t="s">
        <v>8281</v>
      </c>
      <c r="M3639" s="41" t="e">
        <f>VLOOKUP(I3639,错误mRNA总表!D:I,6,FALSE)</f>
        <v>#N/A</v>
      </c>
    </row>
    <row r="3640" spans="1:13" x14ac:dyDescent="0.2">
      <c r="A3640" s="12" t="s">
        <v>5705</v>
      </c>
      <c r="B3640" s="12" t="s">
        <v>3942</v>
      </c>
      <c r="C3640" s="12">
        <v>68912492</v>
      </c>
      <c r="D3640" s="12">
        <v>68930579</v>
      </c>
      <c r="E3640" s="12" t="s">
        <v>3943</v>
      </c>
      <c r="F3640" s="12">
        <v>1</v>
      </c>
      <c r="G3640" s="41" t="s">
        <v>186</v>
      </c>
      <c r="H3640" s="12" t="s">
        <v>6341</v>
      </c>
      <c r="I3640" s="41" t="s">
        <v>8281</v>
      </c>
      <c r="M3640" s="41" t="e">
        <f>VLOOKUP(I3640,错误mRNA总表!D:I,6,FALSE)</f>
        <v>#N/A</v>
      </c>
    </row>
    <row r="3641" spans="1:13" x14ac:dyDescent="0.2">
      <c r="A3641" s="12" t="s">
        <v>5705</v>
      </c>
      <c r="B3641" s="12" t="s">
        <v>3942</v>
      </c>
      <c r="C3641" s="12">
        <v>68912492</v>
      </c>
      <c r="D3641" s="12">
        <v>68930649</v>
      </c>
      <c r="E3641" s="12" t="s">
        <v>3943</v>
      </c>
      <c r="F3641" s="12">
        <v>2</v>
      </c>
      <c r="G3641" s="41" t="s">
        <v>186</v>
      </c>
      <c r="H3641" s="12" t="s">
        <v>6341</v>
      </c>
      <c r="I3641" s="41" t="s">
        <v>8281</v>
      </c>
      <c r="M3641" s="41" t="e">
        <f>VLOOKUP(I3641,错误mRNA总表!D:I,6,FALSE)</f>
        <v>#N/A</v>
      </c>
    </row>
    <row r="3642" spans="1:13" x14ac:dyDescent="0.2">
      <c r="A3642" s="12" t="s">
        <v>5705</v>
      </c>
      <c r="B3642" s="12" t="s">
        <v>3942</v>
      </c>
      <c r="C3642" s="12">
        <v>68912492</v>
      </c>
      <c r="D3642" s="12">
        <v>68931395</v>
      </c>
      <c r="E3642" s="12" t="s">
        <v>3943</v>
      </c>
      <c r="F3642" s="12">
        <v>1</v>
      </c>
      <c r="G3642" s="41" t="s">
        <v>186</v>
      </c>
      <c r="H3642" s="12" t="s">
        <v>6341</v>
      </c>
      <c r="I3642" s="41" t="s">
        <v>8281</v>
      </c>
      <c r="M3642" s="41" t="e">
        <f>VLOOKUP(I3642,错误mRNA总表!D:I,6,FALSE)</f>
        <v>#N/A</v>
      </c>
    </row>
    <row r="3643" spans="1:13" x14ac:dyDescent="0.2">
      <c r="A3643" s="12" t="s">
        <v>5705</v>
      </c>
      <c r="B3643" s="12" t="s">
        <v>3942</v>
      </c>
      <c r="C3643" s="12">
        <v>68912492</v>
      </c>
      <c r="D3643" s="12">
        <v>68931465</v>
      </c>
      <c r="E3643" s="12" t="s">
        <v>3943</v>
      </c>
      <c r="F3643" s="12">
        <v>2</v>
      </c>
      <c r="G3643" s="41" t="s">
        <v>186</v>
      </c>
      <c r="H3643" s="12" t="s">
        <v>6341</v>
      </c>
      <c r="I3643" s="41" t="s">
        <v>8281</v>
      </c>
      <c r="M3643" s="41" t="e">
        <f>VLOOKUP(I3643,错误mRNA总表!D:I,6,FALSE)</f>
        <v>#N/A</v>
      </c>
    </row>
    <row r="3644" spans="1:13" x14ac:dyDescent="0.2">
      <c r="A3644" s="12" t="s">
        <v>5706</v>
      </c>
      <c r="B3644" s="12" t="s">
        <v>4012</v>
      </c>
      <c r="C3644" s="12">
        <v>33778506</v>
      </c>
      <c r="D3644" s="12">
        <v>33778664</v>
      </c>
      <c r="E3644" s="12" t="s">
        <v>3943</v>
      </c>
      <c r="F3644" s="12">
        <v>1</v>
      </c>
      <c r="G3644" s="41" t="s">
        <v>121</v>
      </c>
      <c r="H3644" s="12" t="s">
        <v>6483</v>
      </c>
      <c r="I3644" s="41" t="s">
        <v>8282</v>
      </c>
      <c r="M3644" s="41" t="e">
        <f>VLOOKUP(I3644,错误mRNA总表!D:I,6,FALSE)</f>
        <v>#N/A</v>
      </c>
    </row>
    <row r="3645" spans="1:13" x14ac:dyDescent="0.2">
      <c r="A3645" s="12" t="s">
        <v>5707</v>
      </c>
      <c r="B3645" s="12" t="s">
        <v>5708</v>
      </c>
      <c r="C3645" s="12">
        <v>11683</v>
      </c>
      <c r="D3645" s="12">
        <v>15932</v>
      </c>
      <c r="E3645" s="12" t="s">
        <v>3940</v>
      </c>
      <c r="F3645" s="12">
        <v>1</v>
      </c>
      <c r="H3645" s="12" t="s">
        <v>6342</v>
      </c>
      <c r="I3645" s="41" t="s">
        <v>8283</v>
      </c>
      <c r="M3645" s="41" t="e">
        <f>VLOOKUP(I3645,错误mRNA总表!D:I,6,FALSE)</f>
        <v>#N/A</v>
      </c>
    </row>
    <row r="3646" spans="1:13" x14ac:dyDescent="0.2">
      <c r="A3646" s="12" t="s">
        <v>5707</v>
      </c>
      <c r="B3646" s="12" t="s">
        <v>5708</v>
      </c>
      <c r="C3646" s="12">
        <v>11683</v>
      </c>
      <c r="D3646" s="12">
        <v>16156</v>
      </c>
      <c r="E3646" s="12" t="s">
        <v>3940</v>
      </c>
      <c r="F3646" s="12">
        <v>2</v>
      </c>
      <c r="H3646" s="12" t="s">
        <v>6342</v>
      </c>
      <c r="I3646" s="41" t="s">
        <v>8283</v>
      </c>
      <c r="M3646" s="41" t="e">
        <f>VLOOKUP(I3646,错误mRNA总表!D:I,6,FALSE)</f>
        <v>#N/A</v>
      </c>
    </row>
    <row r="3647" spans="1:13" x14ac:dyDescent="0.2">
      <c r="A3647" s="12" t="s">
        <v>5709</v>
      </c>
      <c r="B3647" s="12" t="s">
        <v>4035</v>
      </c>
      <c r="C3647" s="12">
        <v>111108049</v>
      </c>
      <c r="D3647" s="12">
        <v>111109285</v>
      </c>
      <c r="E3647" s="12" t="s">
        <v>3940</v>
      </c>
      <c r="F3647" s="12">
        <v>2</v>
      </c>
      <c r="G3647" s="41" t="s">
        <v>106</v>
      </c>
      <c r="H3647" s="12" t="s">
        <v>6484</v>
      </c>
      <c r="I3647" s="41" t="s">
        <v>8284</v>
      </c>
      <c r="M3647" s="41" t="e">
        <f>VLOOKUP(I3647,错误mRNA总表!D:I,6,FALSE)</f>
        <v>#N/A</v>
      </c>
    </row>
    <row r="3648" spans="1:13" x14ac:dyDescent="0.2">
      <c r="A3648" s="12" t="s">
        <v>5709</v>
      </c>
      <c r="B3648" s="12" t="s">
        <v>4035</v>
      </c>
      <c r="C3648" s="12">
        <v>111108049</v>
      </c>
      <c r="D3648" s="12">
        <v>111109485</v>
      </c>
      <c r="E3648" s="12" t="s">
        <v>3940</v>
      </c>
      <c r="F3648" s="12">
        <v>1</v>
      </c>
      <c r="G3648" s="41" t="s">
        <v>106</v>
      </c>
      <c r="H3648" s="12" t="s">
        <v>6484</v>
      </c>
      <c r="I3648" s="41" t="s">
        <v>8284</v>
      </c>
      <c r="M3648" s="41" t="e">
        <f>VLOOKUP(I3648,错误mRNA总表!D:I,6,FALSE)</f>
        <v>#N/A</v>
      </c>
    </row>
    <row r="3649" spans="1:13" x14ac:dyDescent="0.2">
      <c r="A3649" s="12" t="s">
        <v>5709</v>
      </c>
      <c r="B3649" s="12" t="s">
        <v>4035</v>
      </c>
      <c r="C3649" s="12">
        <v>111108049</v>
      </c>
      <c r="D3649" s="12">
        <v>111109524</v>
      </c>
      <c r="E3649" s="12" t="s">
        <v>3943</v>
      </c>
      <c r="F3649" s="12">
        <v>1</v>
      </c>
      <c r="G3649" s="41" t="s">
        <v>106</v>
      </c>
      <c r="H3649" s="12" t="s">
        <v>6484</v>
      </c>
      <c r="I3649" s="41" t="s">
        <v>8284</v>
      </c>
      <c r="M3649" s="41" t="e">
        <f>VLOOKUP(I3649,错误mRNA总表!D:I,6,FALSE)</f>
        <v>#N/A</v>
      </c>
    </row>
    <row r="3650" spans="1:13" x14ac:dyDescent="0.2">
      <c r="A3650" s="12" t="s">
        <v>5710</v>
      </c>
      <c r="B3650" s="12" t="s">
        <v>3973</v>
      </c>
      <c r="C3650" s="12">
        <v>41827328</v>
      </c>
      <c r="D3650" s="12">
        <v>41847875</v>
      </c>
      <c r="E3650" s="12" t="s">
        <v>3943</v>
      </c>
      <c r="F3650" s="12">
        <v>1</v>
      </c>
      <c r="G3650" s="41" t="s">
        <v>139</v>
      </c>
      <c r="H3650" s="12" t="s">
        <v>342</v>
      </c>
      <c r="I3650" s="41" t="s">
        <v>8285</v>
      </c>
      <c r="J3650" s="41" t="s">
        <v>3306</v>
      </c>
      <c r="K3650" s="41" t="str">
        <f>VLOOKUP(J3650,错误mRNA总表!D:J,7,FALSE)</f>
        <v/>
      </c>
      <c r="M3650" s="41" t="e">
        <f>VLOOKUP(I3650,错误mRNA总表!D:I,6,FALSE)</f>
        <v>#N/A</v>
      </c>
    </row>
    <row r="3651" spans="1:13" x14ac:dyDescent="0.2">
      <c r="A3651" s="12" t="s">
        <v>5711</v>
      </c>
      <c r="B3651" s="12" t="s">
        <v>4199</v>
      </c>
      <c r="C3651" s="12">
        <v>404263</v>
      </c>
      <c r="D3651" s="12">
        <v>406818</v>
      </c>
      <c r="E3651" s="12" t="s">
        <v>3940</v>
      </c>
      <c r="F3651" s="12">
        <v>1</v>
      </c>
      <c r="H3651" s="12" t="s">
        <v>6343</v>
      </c>
      <c r="I3651" s="41" t="s">
        <v>8286</v>
      </c>
      <c r="M3651" s="41" t="e">
        <f>VLOOKUP(I3651,错误mRNA总表!D:I,6,FALSE)</f>
        <v>#N/A</v>
      </c>
    </row>
    <row r="3652" spans="1:13" x14ac:dyDescent="0.2">
      <c r="A3652" s="12" t="s">
        <v>5712</v>
      </c>
      <c r="B3652" s="12" t="s">
        <v>4004</v>
      </c>
      <c r="C3652" s="12">
        <v>128098487</v>
      </c>
      <c r="D3652" s="12">
        <v>128098996</v>
      </c>
      <c r="E3652" s="12" t="s">
        <v>3943</v>
      </c>
      <c r="F3652" s="12">
        <v>1</v>
      </c>
      <c r="G3652" s="41" t="s">
        <v>103</v>
      </c>
      <c r="H3652" s="12" t="s">
        <v>6344</v>
      </c>
      <c r="I3652" s="41" t="s">
        <v>8287</v>
      </c>
      <c r="M3652" s="41" t="e">
        <f>VLOOKUP(I3652,错误mRNA总表!D:I,6,FALSE)</f>
        <v>#N/A</v>
      </c>
    </row>
    <row r="3653" spans="1:13" x14ac:dyDescent="0.2">
      <c r="A3653" s="12" t="s">
        <v>5712</v>
      </c>
      <c r="B3653" s="12" t="s">
        <v>4004</v>
      </c>
      <c r="C3653" s="12">
        <v>128098487</v>
      </c>
      <c r="D3653" s="12">
        <v>128099269</v>
      </c>
      <c r="E3653" s="12" t="s">
        <v>3940</v>
      </c>
      <c r="F3653" s="12">
        <v>1</v>
      </c>
      <c r="G3653" s="41" t="s">
        <v>103</v>
      </c>
      <c r="H3653" s="12" t="s">
        <v>6344</v>
      </c>
      <c r="I3653" s="41" t="s">
        <v>8287</v>
      </c>
      <c r="M3653" s="41" t="e">
        <f>VLOOKUP(I3653,错误mRNA总表!D:I,6,FALSE)</f>
        <v>#N/A</v>
      </c>
    </row>
    <row r="3654" spans="1:13" x14ac:dyDescent="0.2">
      <c r="A3654" s="12" t="s">
        <v>5713</v>
      </c>
      <c r="B3654" s="12" t="s">
        <v>3942</v>
      </c>
      <c r="C3654" s="12">
        <v>139949589</v>
      </c>
      <c r="D3654" s="12">
        <v>139949611</v>
      </c>
      <c r="E3654" s="12" t="s">
        <v>3940</v>
      </c>
      <c r="F3654" s="12">
        <v>1</v>
      </c>
      <c r="G3654" s="41" t="s">
        <v>186</v>
      </c>
      <c r="H3654" s="12" t="s">
        <v>6345</v>
      </c>
      <c r="I3654" s="41" t="s">
        <v>8288</v>
      </c>
      <c r="M3654" s="41" t="e">
        <f>VLOOKUP(I3654,错误mRNA总表!D:I,6,FALSE)</f>
        <v>#N/A</v>
      </c>
    </row>
    <row r="3655" spans="1:13" x14ac:dyDescent="0.2">
      <c r="A3655" s="12" t="s">
        <v>5714</v>
      </c>
      <c r="B3655" s="12" t="s">
        <v>4124</v>
      </c>
      <c r="C3655" s="12">
        <v>85541405</v>
      </c>
      <c r="D3655" s="12">
        <v>85543159</v>
      </c>
      <c r="E3655" s="12" t="s">
        <v>3940</v>
      </c>
      <c r="F3655" s="12">
        <v>1</v>
      </c>
      <c r="G3655" s="41" t="s">
        <v>1</v>
      </c>
      <c r="H3655" s="12" t="s">
        <v>6485</v>
      </c>
      <c r="I3655" s="41" t="s">
        <v>8289</v>
      </c>
      <c r="M3655" s="41" t="e">
        <f>VLOOKUP(I3655,错误mRNA总表!D:I,6,FALSE)</f>
        <v>#N/A</v>
      </c>
    </row>
    <row r="3656" spans="1:13" x14ac:dyDescent="0.2">
      <c r="A3656" s="12" t="s">
        <v>5715</v>
      </c>
      <c r="B3656" s="12" t="s">
        <v>4066</v>
      </c>
      <c r="C3656" s="12">
        <v>6200466</v>
      </c>
      <c r="D3656" s="12">
        <v>6206110</v>
      </c>
      <c r="E3656" s="12" t="s">
        <v>3943</v>
      </c>
      <c r="F3656" s="12">
        <v>1</v>
      </c>
      <c r="H3656" s="12" t="s">
        <v>6486</v>
      </c>
      <c r="I3656" s="41" t="s">
        <v>8290</v>
      </c>
      <c r="M3656" s="41" t="e">
        <f>VLOOKUP(I3656,错误mRNA总表!D:I,6,FALSE)</f>
        <v>#N/A</v>
      </c>
    </row>
    <row r="3657" spans="1:13" x14ac:dyDescent="0.2">
      <c r="A3657" s="12" t="s">
        <v>5715</v>
      </c>
      <c r="B3657" s="12" t="s">
        <v>4066</v>
      </c>
      <c r="C3657" s="12">
        <v>6200466</v>
      </c>
      <c r="D3657" s="12">
        <v>6206279</v>
      </c>
      <c r="E3657" s="12" t="s">
        <v>3940</v>
      </c>
      <c r="F3657" s="12">
        <v>2</v>
      </c>
      <c r="H3657" s="12" t="s">
        <v>6486</v>
      </c>
      <c r="I3657" s="41" t="s">
        <v>8290</v>
      </c>
      <c r="M3657" s="41" t="e">
        <f>VLOOKUP(I3657,错误mRNA总表!D:I,6,FALSE)</f>
        <v>#N/A</v>
      </c>
    </row>
    <row r="3658" spans="1:13" x14ac:dyDescent="0.2">
      <c r="A3658" s="12" t="s">
        <v>5716</v>
      </c>
      <c r="B3658" s="12" t="s">
        <v>4124</v>
      </c>
      <c r="C3658" s="12">
        <v>223181254</v>
      </c>
      <c r="D3658" s="12">
        <v>223183490</v>
      </c>
      <c r="E3658" s="12" t="s">
        <v>3943</v>
      </c>
      <c r="F3658" s="12">
        <v>1</v>
      </c>
      <c r="G3658" s="41" t="s">
        <v>1</v>
      </c>
      <c r="H3658" s="12" t="s">
        <v>6487</v>
      </c>
      <c r="I3658" s="41" t="s">
        <v>8291</v>
      </c>
      <c r="M3658" s="41" t="e">
        <f>VLOOKUP(I3658,错误mRNA总表!D:I,6,FALSE)</f>
        <v>#N/A</v>
      </c>
    </row>
    <row r="3659" spans="1:13" x14ac:dyDescent="0.2">
      <c r="A3659" s="12" t="s">
        <v>5717</v>
      </c>
      <c r="B3659" s="12" t="s">
        <v>3986</v>
      </c>
      <c r="C3659" s="12">
        <v>35032794</v>
      </c>
      <c r="D3659" s="12">
        <v>35033696</v>
      </c>
      <c r="E3659" s="12" t="s">
        <v>3943</v>
      </c>
      <c r="F3659" s="12">
        <v>2</v>
      </c>
      <c r="G3659" s="41" t="s">
        <v>50</v>
      </c>
      <c r="H3659" s="12" t="s">
        <v>6488</v>
      </c>
      <c r="I3659" s="41" t="s">
        <v>8292</v>
      </c>
      <c r="M3659" s="41" t="e">
        <f>VLOOKUP(I3659,错误mRNA总表!D:I,6,FALSE)</f>
        <v>#N/A</v>
      </c>
    </row>
    <row r="3660" spans="1:13" x14ac:dyDescent="0.2">
      <c r="A3660" s="12" t="s">
        <v>5717</v>
      </c>
      <c r="B3660" s="12" t="s">
        <v>3986</v>
      </c>
      <c r="C3660" s="12">
        <v>35032794</v>
      </c>
      <c r="D3660" s="12">
        <v>35034386</v>
      </c>
      <c r="E3660" s="12" t="s">
        <v>3940</v>
      </c>
      <c r="F3660" s="12">
        <v>2</v>
      </c>
      <c r="G3660" s="41" t="s">
        <v>50</v>
      </c>
      <c r="H3660" s="12" t="s">
        <v>6488</v>
      </c>
      <c r="I3660" s="41" t="s">
        <v>8292</v>
      </c>
      <c r="M3660" s="41" t="e">
        <f>VLOOKUP(I3660,错误mRNA总表!D:I,6,FALSE)</f>
        <v>#N/A</v>
      </c>
    </row>
    <row r="3661" spans="1:13" x14ac:dyDescent="0.2">
      <c r="A3661" s="12" t="s">
        <v>5718</v>
      </c>
      <c r="B3661" s="12" t="s">
        <v>3978</v>
      </c>
      <c r="C3661" s="12">
        <v>44539924</v>
      </c>
      <c r="D3661" s="12">
        <v>44540793</v>
      </c>
      <c r="E3661" s="12" t="s">
        <v>3943</v>
      </c>
      <c r="F3661" s="12">
        <v>2</v>
      </c>
      <c r="G3661" s="41" t="s">
        <v>86</v>
      </c>
      <c r="H3661" s="12" t="s">
        <v>508</v>
      </c>
      <c r="I3661" s="41" t="s">
        <v>8293</v>
      </c>
      <c r="J3661" s="41" t="s">
        <v>3320</v>
      </c>
      <c r="K3661" s="41" t="str">
        <f>VLOOKUP(J3661,错误mRNA总表!D:J,7,FALSE)</f>
        <v>纠后正确，版本不一致，utr略有变化</v>
      </c>
      <c r="M3661" s="41" t="e">
        <f>VLOOKUP(I3661,错误mRNA总表!D:I,6,FALSE)</f>
        <v>#N/A</v>
      </c>
    </row>
    <row r="3662" spans="1:13" x14ac:dyDescent="0.2">
      <c r="A3662" s="12" t="s">
        <v>5719</v>
      </c>
      <c r="B3662" s="12" t="s">
        <v>3948</v>
      </c>
      <c r="C3662" s="12">
        <v>28449490</v>
      </c>
      <c r="D3662" s="12">
        <v>28449687</v>
      </c>
      <c r="E3662" s="12" t="s">
        <v>3940</v>
      </c>
      <c r="F3662" s="12">
        <v>1</v>
      </c>
      <c r="G3662" s="41" t="s">
        <v>40</v>
      </c>
      <c r="H3662" s="12" t="s">
        <v>6346</v>
      </c>
      <c r="I3662" s="41" t="s">
        <v>8294</v>
      </c>
      <c r="M3662" s="41" t="e">
        <f>VLOOKUP(I3662,错误mRNA总表!D:I,6,FALSE)</f>
        <v>#N/A</v>
      </c>
    </row>
    <row r="3663" spans="1:13" x14ac:dyDescent="0.2">
      <c r="A3663" s="12" t="s">
        <v>5720</v>
      </c>
      <c r="B3663" s="12" t="s">
        <v>3948</v>
      </c>
      <c r="C3663" s="12">
        <v>63205545</v>
      </c>
      <c r="D3663" s="12">
        <v>63206439</v>
      </c>
      <c r="E3663" s="12" t="s">
        <v>3943</v>
      </c>
      <c r="F3663" s="12">
        <v>2</v>
      </c>
      <c r="G3663" s="41" t="s">
        <v>40</v>
      </c>
      <c r="H3663" s="12" t="s">
        <v>6347</v>
      </c>
      <c r="I3663" s="41" t="s">
        <v>8295</v>
      </c>
      <c r="M3663" s="41" t="e">
        <f>VLOOKUP(I3663,错误mRNA总表!D:I,6,FALSE)</f>
        <v>#N/A</v>
      </c>
    </row>
    <row r="3664" spans="1:13" x14ac:dyDescent="0.2">
      <c r="A3664" s="12" t="s">
        <v>5721</v>
      </c>
      <c r="B3664" s="12" t="s">
        <v>4012</v>
      </c>
      <c r="C3664" s="12">
        <v>3725411</v>
      </c>
      <c r="D3664" s="12">
        <v>3725529</v>
      </c>
      <c r="E3664" s="12" t="s">
        <v>3943</v>
      </c>
      <c r="F3664" s="12">
        <v>1</v>
      </c>
      <c r="G3664" s="41" t="s">
        <v>121</v>
      </c>
      <c r="H3664" s="12" t="s">
        <v>6348</v>
      </c>
      <c r="I3664" s="41" t="s">
        <v>8296</v>
      </c>
      <c r="M3664" s="41" t="e">
        <f>VLOOKUP(I3664,错误mRNA总表!D:I,6,FALSE)</f>
        <v>#N/A</v>
      </c>
    </row>
    <row r="3665" spans="1:13" x14ac:dyDescent="0.2">
      <c r="A3665" s="12" t="s">
        <v>5722</v>
      </c>
      <c r="B3665" s="12" t="s">
        <v>4052</v>
      </c>
      <c r="C3665" s="12">
        <v>47191765</v>
      </c>
      <c r="D3665" s="12">
        <v>47192189</v>
      </c>
      <c r="E3665" s="12" t="s">
        <v>3940</v>
      </c>
      <c r="F3665" s="12">
        <v>1</v>
      </c>
      <c r="G3665" s="41" t="s">
        <v>93</v>
      </c>
      <c r="H3665" s="12" t="s">
        <v>858</v>
      </c>
      <c r="I3665" s="41" t="s">
        <v>3356</v>
      </c>
      <c r="J3665" s="41" t="s">
        <v>3356</v>
      </c>
      <c r="K3665" s="41" t="str">
        <f>VLOOKUP(J3665,错误mRNA总表!D:J,7,FALSE)</f>
        <v>纠后正确，版本不一致，utr略有变化</v>
      </c>
      <c r="L3665" s="41" t="s">
        <v>3866</v>
      </c>
      <c r="M3665" s="41" t="str">
        <f>VLOOKUP(I3665,错误mRNA总表!D:I,6,FALSE)</f>
        <v>纠后正确，版本不一致，utr略有变化</v>
      </c>
    </row>
    <row r="3666" spans="1:13" x14ac:dyDescent="0.2">
      <c r="A3666" s="12" t="s">
        <v>5723</v>
      </c>
      <c r="B3666" s="12" t="s">
        <v>5724</v>
      </c>
      <c r="C3666" s="12">
        <v>1546</v>
      </c>
      <c r="D3666" s="12">
        <v>2097</v>
      </c>
      <c r="E3666" s="12" t="s">
        <v>3940</v>
      </c>
      <c r="F3666" s="12">
        <v>2</v>
      </c>
      <c r="H3666" s="12" t="s">
        <v>6349</v>
      </c>
      <c r="I3666" s="41" t="s">
        <v>8297</v>
      </c>
      <c r="M3666" s="41" t="e">
        <f>VLOOKUP(I3666,错误mRNA总表!D:I,6,FALSE)</f>
        <v>#N/A</v>
      </c>
    </row>
    <row r="3667" spans="1:13" x14ac:dyDescent="0.2">
      <c r="A3667" s="12" t="s">
        <v>5723</v>
      </c>
      <c r="B3667" s="12" t="s">
        <v>5724</v>
      </c>
      <c r="C3667" s="12">
        <v>1546</v>
      </c>
      <c r="D3667" s="12">
        <v>2409</v>
      </c>
      <c r="E3667" s="12" t="s">
        <v>3943</v>
      </c>
      <c r="F3667" s="12">
        <v>1</v>
      </c>
      <c r="H3667" s="12" t="s">
        <v>6349</v>
      </c>
      <c r="I3667" s="41" t="s">
        <v>8297</v>
      </c>
      <c r="M3667" s="41" t="e">
        <f>VLOOKUP(I3667,错误mRNA总表!D:I,6,FALSE)</f>
        <v>#N/A</v>
      </c>
    </row>
    <row r="3668" spans="1:13" x14ac:dyDescent="0.2">
      <c r="A3668" s="12" t="s">
        <v>5723</v>
      </c>
      <c r="B3668" s="12" t="s">
        <v>5724</v>
      </c>
      <c r="C3668" s="12">
        <v>1546</v>
      </c>
      <c r="D3668" s="12">
        <v>2539</v>
      </c>
      <c r="E3668" s="12" t="s">
        <v>3943</v>
      </c>
      <c r="F3668" s="12">
        <v>1</v>
      </c>
      <c r="H3668" s="12" t="s">
        <v>6349</v>
      </c>
      <c r="I3668" s="41" t="s">
        <v>8297</v>
      </c>
      <c r="M3668" s="41" t="e">
        <f>VLOOKUP(I3668,错误mRNA总表!D:I,6,FALSE)</f>
        <v>#N/A</v>
      </c>
    </row>
    <row r="3669" spans="1:13" x14ac:dyDescent="0.2">
      <c r="A3669" s="12" t="s">
        <v>5723</v>
      </c>
      <c r="B3669" s="12" t="s">
        <v>5724</v>
      </c>
      <c r="C3669" s="12">
        <v>1546</v>
      </c>
      <c r="D3669" s="12">
        <v>2629</v>
      </c>
      <c r="E3669" s="12" t="s">
        <v>3940</v>
      </c>
      <c r="F3669" s="12">
        <v>1</v>
      </c>
      <c r="H3669" s="12" t="s">
        <v>6349</v>
      </c>
      <c r="I3669" s="41" t="s">
        <v>8297</v>
      </c>
      <c r="M3669" s="41" t="e">
        <f>VLOOKUP(I3669,错误mRNA总表!D:I,6,FALSE)</f>
        <v>#N/A</v>
      </c>
    </row>
    <row r="3670" spans="1:13" x14ac:dyDescent="0.2">
      <c r="A3670" s="12" t="s">
        <v>5723</v>
      </c>
      <c r="B3670" s="12" t="s">
        <v>5724</v>
      </c>
      <c r="C3670" s="12">
        <v>1546</v>
      </c>
      <c r="D3670" s="12">
        <v>2670</v>
      </c>
      <c r="E3670" s="12" t="s">
        <v>3940</v>
      </c>
      <c r="F3670" s="12">
        <v>1</v>
      </c>
      <c r="H3670" s="12" t="s">
        <v>6349</v>
      </c>
      <c r="I3670" s="41" t="s">
        <v>8297</v>
      </c>
      <c r="M3670" s="41" t="e">
        <f>VLOOKUP(I3670,错误mRNA总表!D:I,6,FALSE)</f>
        <v>#N/A</v>
      </c>
    </row>
    <row r="3671" spans="1:13" x14ac:dyDescent="0.2">
      <c r="A3671" s="12" t="s">
        <v>5725</v>
      </c>
      <c r="B3671" s="12" t="s">
        <v>3942</v>
      </c>
      <c r="C3671" s="12">
        <v>34189600</v>
      </c>
      <c r="D3671" s="12">
        <v>34191304</v>
      </c>
      <c r="E3671" s="12" t="s">
        <v>3943</v>
      </c>
      <c r="F3671" s="12">
        <v>1</v>
      </c>
      <c r="G3671" s="41" t="s">
        <v>186</v>
      </c>
      <c r="H3671" s="12" t="s">
        <v>6350</v>
      </c>
      <c r="I3671" s="41" t="s">
        <v>8298</v>
      </c>
      <c r="M3671" s="41" t="e">
        <f>VLOOKUP(I3671,错误mRNA总表!D:I,6,FALSE)</f>
        <v>#N/A</v>
      </c>
    </row>
    <row r="3672" spans="1:13" x14ac:dyDescent="0.2">
      <c r="A3672" s="12" t="s">
        <v>5725</v>
      </c>
      <c r="B3672" s="12" t="s">
        <v>3942</v>
      </c>
      <c r="C3672" s="12">
        <v>34189600</v>
      </c>
      <c r="D3672" s="12">
        <v>34191374</v>
      </c>
      <c r="E3672" s="12" t="s">
        <v>3943</v>
      </c>
      <c r="F3672" s="12">
        <v>2</v>
      </c>
      <c r="G3672" s="41" t="s">
        <v>186</v>
      </c>
      <c r="H3672" s="12" t="s">
        <v>6350</v>
      </c>
      <c r="I3672" s="41" t="s">
        <v>8298</v>
      </c>
      <c r="M3672" s="41" t="e">
        <f>VLOOKUP(I3672,错误mRNA总表!D:I,6,FALSE)</f>
        <v>#N/A</v>
      </c>
    </row>
    <row r="3673" spans="1:13" x14ac:dyDescent="0.2">
      <c r="A3673" s="12" t="s">
        <v>5725</v>
      </c>
      <c r="B3673" s="12" t="s">
        <v>3942</v>
      </c>
      <c r="C3673" s="12">
        <v>34189600</v>
      </c>
      <c r="D3673" s="12">
        <v>34193713</v>
      </c>
      <c r="E3673" s="12" t="s">
        <v>3943</v>
      </c>
      <c r="F3673" s="12">
        <v>2</v>
      </c>
      <c r="G3673" s="41" t="s">
        <v>186</v>
      </c>
      <c r="H3673" s="12" t="s">
        <v>6350</v>
      </c>
      <c r="I3673" s="41" t="s">
        <v>8298</v>
      </c>
      <c r="M3673" s="41" t="e">
        <f>VLOOKUP(I3673,错误mRNA总表!D:I,6,FALSE)</f>
        <v>#N/A</v>
      </c>
    </row>
    <row r="3674" spans="1:13" x14ac:dyDescent="0.2">
      <c r="A3674" s="12" t="s">
        <v>5726</v>
      </c>
      <c r="B3674" s="12" t="s">
        <v>3946</v>
      </c>
      <c r="C3674" s="12">
        <v>26595835</v>
      </c>
      <c r="D3674" s="12">
        <v>26596030</v>
      </c>
      <c r="E3674" s="12" t="s">
        <v>3940</v>
      </c>
      <c r="F3674" s="12">
        <v>2</v>
      </c>
      <c r="G3674" s="41" t="s">
        <v>47</v>
      </c>
      <c r="H3674" s="12" t="s">
        <v>6351</v>
      </c>
      <c r="I3674" s="41" t="s">
        <v>8299</v>
      </c>
      <c r="M3674" s="41" t="e">
        <f>VLOOKUP(I3674,错误mRNA总表!D:I,6,FALSE)</f>
        <v>#N/A</v>
      </c>
    </row>
    <row r="3675" spans="1:13" x14ac:dyDescent="0.2">
      <c r="A3675" s="12" t="s">
        <v>5727</v>
      </c>
      <c r="B3675" s="12" t="s">
        <v>3986</v>
      </c>
      <c r="C3675" s="12">
        <v>24015249</v>
      </c>
      <c r="D3675" s="12">
        <v>24015911</v>
      </c>
      <c r="E3675" s="12" t="s">
        <v>3943</v>
      </c>
      <c r="F3675" s="12">
        <v>2</v>
      </c>
      <c r="G3675" s="41" t="s">
        <v>50</v>
      </c>
      <c r="H3675" s="12" t="s">
        <v>3477</v>
      </c>
      <c r="I3675" s="41" t="s">
        <v>8300</v>
      </c>
      <c r="M3675" s="41" t="e">
        <f>VLOOKUP(I3675,错误mRNA总表!D:I,6,FALSE)</f>
        <v>#N/A</v>
      </c>
    </row>
    <row r="3676" spans="1:13" x14ac:dyDescent="0.2">
      <c r="A3676" s="12" t="s">
        <v>5728</v>
      </c>
      <c r="B3676" s="12" t="s">
        <v>5729</v>
      </c>
      <c r="C3676" s="12">
        <v>1976940</v>
      </c>
      <c r="D3676" s="12">
        <v>1977830</v>
      </c>
      <c r="E3676" s="12" t="s">
        <v>3943</v>
      </c>
      <c r="F3676" s="12">
        <v>1</v>
      </c>
      <c r="H3676" s="12" t="s">
        <v>6352</v>
      </c>
      <c r="I3676" s="41" t="s">
        <v>8301</v>
      </c>
      <c r="M3676" s="41" t="e">
        <f>VLOOKUP(I3676,错误mRNA总表!D:I,6,FALSE)</f>
        <v>#N/A</v>
      </c>
    </row>
    <row r="3677" spans="1:13" x14ac:dyDescent="0.2">
      <c r="A3677" s="12" t="s">
        <v>5730</v>
      </c>
      <c r="B3677" s="12" t="s">
        <v>3950</v>
      </c>
      <c r="C3677" s="12">
        <v>660683</v>
      </c>
      <c r="D3677" s="12">
        <v>664521</v>
      </c>
      <c r="E3677" s="12" t="s">
        <v>3940</v>
      </c>
      <c r="F3677" s="12">
        <v>1</v>
      </c>
      <c r="H3677" s="12" t="s">
        <v>6353</v>
      </c>
      <c r="I3677" s="41" t="s">
        <v>8302</v>
      </c>
      <c r="M3677" s="41" t="e">
        <f>VLOOKUP(I3677,错误mRNA总表!D:I,6,FALSE)</f>
        <v>#N/A</v>
      </c>
    </row>
    <row r="3678" spans="1:13" x14ac:dyDescent="0.2">
      <c r="A3678" s="12" t="s">
        <v>5730</v>
      </c>
      <c r="B3678" s="12" t="s">
        <v>3950</v>
      </c>
      <c r="C3678" s="12">
        <v>660683</v>
      </c>
      <c r="D3678" s="12">
        <v>673008</v>
      </c>
      <c r="E3678" s="12" t="s">
        <v>3943</v>
      </c>
      <c r="F3678" s="12">
        <v>1</v>
      </c>
      <c r="H3678" s="12" t="s">
        <v>6353</v>
      </c>
      <c r="I3678" s="41" t="s">
        <v>8302</v>
      </c>
      <c r="M3678" s="41" t="e">
        <f>VLOOKUP(I3678,错误mRNA总表!D:I,6,FALSE)</f>
        <v>#N/A</v>
      </c>
    </row>
    <row r="3679" spans="1:13" x14ac:dyDescent="0.2">
      <c r="A3679" s="12" t="s">
        <v>5731</v>
      </c>
      <c r="B3679" s="12" t="s">
        <v>3948</v>
      </c>
      <c r="C3679" s="12">
        <v>65304690</v>
      </c>
      <c r="D3679" s="12">
        <v>65305143</v>
      </c>
      <c r="E3679" s="12" t="s">
        <v>3940</v>
      </c>
      <c r="F3679" s="12">
        <v>1</v>
      </c>
      <c r="G3679" s="41" t="s">
        <v>40</v>
      </c>
      <c r="H3679" s="12" t="s">
        <v>6354</v>
      </c>
      <c r="I3679" s="41" t="s">
        <v>8303</v>
      </c>
      <c r="M3679" s="41" t="e">
        <f>VLOOKUP(I3679,错误mRNA总表!D:I,6,FALSE)</f>
        <v>#N/A</v>
      </c>
    </row>
    <row r="3680" spans="1:13" x14ac:dyDescent="0.2">
      <c r="A3680" s="12" t="s">
        <v>5732</v>
      </c>
      <c r="B3680" s="12" t="s">
        <v>4049</v>
      </c>
      <c r="C3680" s="12">
        <v>631862</v>
      </c>
      <c r="D3680" s="12">
        <v>633714</v>
      </c>
      <c r="E3680" s="12" t="s">
        <v>3943</v>
      </c>
      <c r="F3680" s="12">
        <v>1</v>
      </c>
      <c r="H3680" s="12" t="s">
        <v>6355</v>
      </c>
      <c r="I3680" s="41" t="s">
        <v>8304</v>
      </c>
      <c r="M3680" s="41" t="e">
        <f>VLOOKUP(I3680,错误mRNA总表!D:I,6,FALSE)</f>
        <v>#N/A</v>
      </c>
    </row>
    <row r="3681" spans="1:13" x14ac:dyDescent="0.2">
      <c r="A3681" s="12" t="s">
        <v>5732</v>
      </c>
      <c r="B3681" s="12" t="s">
        <v>4049</v>
      </c>
      <c r="C3681" s="12">
        <v>631862</v>
      </c>
      <c r="D3681" s="12">
        <v>633784</v>
      </c>
      <c r="E3681" s="12" t="s">
        <v>3943</v>
      </c>
      <c r="F3681" s="12">
        <v>2</v>
      </c>
      <c r="H3681" s="12" t="s">
        <v>6355</v>
      </c>
      <c r="I3681" s="41" t="s">
        <v>8304</v>
      </c>
      <c r="M3681" s="41" t="e">
        <f>VLOOKUP(I3681,错误mRNA总表!D:I,6,FALSE)</f>
        <v>#N/A</v>
      </c>
    </row>
    <row r="3682" spans="1:13" x14ac:dyDescent="0.2">
      <c r="A3682" s="12" t="s">
        <v>5733</v>
      </c>
      <c r="B3682" s="12" t="s">
        <v>4055</v>
      </c>
      <c r="C3682" s="12">
        <v>40791677</v>
      </c>
      <c r="D3682" s="12">
        <v>40879207</v>
      </c>
      <c r="E3682" s="12" t="s">
        <v>3940</v>
      </c>
      <c r="F3682" s="12">
        <v>2</v>
      </c>
      <c r="G3682" s="41" t="s">
        <v>212</v>
      </c>
      <c r="H3682" s="12" t="s">
        <v>1027</v>
      </c>
      <c r="I3682" s="41" t="s">
        <v>3370</v>
      </c>
      <c r="J3682" s="41" t="s">
        <v>3370</v>
      </c>
      <c r="K3682" s="41" t="str">
        <f>VLOOKUP(J3682,错误mRNA总表!D:J,7,FALSE)</f>
        <v>纠后正确,版本不一致，utr略有变化</v>
      </c>
      <c r="L3682" s="41" t="s">
        <v>3866</v>
      </c>
      <c r="M3682" s="41" t="str">
        <f>VLOOKUP(I3682,错误mRNA总表!D:I,6,FALSE)</f>
        <v>纠后正确,版本不一致，utr略有变化</v>
      </c>
    </row>
    <row r="3683" spans="1:13" x14ac:dyDescent="0.2">
      <c r="A3683" s="12" t="s">
        <v>5734</v>
      </c>
      <c r="B3683" s="12" t="s">
        <v>3954</v>
      </c>
      <c r="C3683" s="12">
        <v>9155022</v>
      </c>
      <c r="D3683" s="12">
        <v>9162606</v>
      </c>
      <c r="E3683" s="12" t="s">
        <v>3940</v>
      </c>
      <c r="F3683" s="12">
        <v>1</v>
      </c>
      <c r="G3683" s="41" t="s">
        <v>569</v>
      </c>
      <c r="H3683" s="12" t="s">
        <v>3414</v>
      </c>
      <c r="I3683" s="41" t="s">
        <v>8305</v>
      </c>
      <c r="M3683" s="41" t="e">
        <f>VLOOKUP(I3683,错误mRNA总表!D:I,6,FALSE)</f>
        <v>#N/A</v>
      </c>
    </row>
    <row r="3684" spans="1:13" x14ac:dyDescent="0.2">
      <c r="A3684" s="12" t="s">
        <v>5735</v>
      </c>
      <c r="B3684" s="12" t="s">
        <v>4055</v>
      </c>
      <c r="C3684" s="12">
        <v>133049334</v>
      </c>
      <c r="D3684" s="12">
        <v>133049468</v>
      </c>
      <c r="E3684" s="12" t="s">
        <v>3943</v>
      </c>
      <c r="F3684" s="12">
        <v>1</v>
      </c>
      <c r="G3684" s="41" t="s">
        <v>212</v>
      </c>
      <c r="H3684" s="12" t="s">
        <v>3620</v>
      </c>
      <c r="I3684" s="41" t="s">
        <v>8306</v>
      </c>
      <c r="M3684" s="41" t="e">
        <f>VLOOKUP(I3684,错误mRNA总表!D:I,6,FALSE)</f>
        <v>#N/A</v>
      </c>
    </row>
    <row r="3685" spans="1:13" x14ac:dyDescent="0.2">
      <c r="A3685" s="12" t="s">
        <v>5735</v>
      </c>
      <c r="B3685" s="12" t="s">
        <v>4055</v>
      </c>
      <c r="C3685" s="12">
        <v>133049334</v>
      </c>
      <c r="D3685" s="12">
        <v>133049712</v>
      </c>
      <c r="E3685" s="12" t="s">
        <v>3943</v>
      </c>
      <c r="F3685" s="12">
        <v>1</v>
      </c>
      <c r="G3685" s="41" t="s">
        <v>212</v>
      </c>
      <c r="H3685" s="12" t="s">
        <v>3620</v>
      </c>
      <c r="I3685" s="41" t="s">
        <v>8306</v>
      </c>
      <c r="M3685" s="41" t="e">
        <f>VLOOKUP(I3685,错误mRNA总表!D:I,6,FALSE)</f>
        <v>#N/A</v>
      </c>
    </row>
    <row r="3686" spans="1:13" x14ac:dyDescent="0.2">
      <c r="A3686" s="12" t="s">
        <v>5735</v>
      </c>
      <c r="B3686" s="12" t="s">
        <v>4055</v>
      </c>
      <c r="C3686" s="12">
        <v>133049334</v>
      </c>
      <c r="D3686" s="12">
        <v>133049752</v>
      </c>
      <c r="E3686" s="12" t="s">
        <v>3943</v>
      </c>
      <c r="F3686" s="12">
        <v>1</v>
      </c>
      <c r="G3686" s="41" t="s">
        <v>212</v>
      </c>
      <c r="H3686" s="12" t="s">
        <v>3620</v>
      </c>
      <c r="I3686" s="41" t="s">
        <v>8306</v>
      </c>
      <c r="M3686" s="41" t="e">
        <f>VLOOKUP(I3686,错误mRNA总表!D:I,6,FALSE)</f>
        <v>#N/A</v>
      </c>
    </row>
    <row r="3687" spans="1:13" x14ac:dyDescent="0.2">
      <c r="A3687" s="12" t="s">
        <v>5735</v>
      </c>
      <c r="B3687" s="12" t="s">
        <v>4055</v>
      </c>
      <c r="C3687" s="12">
        <v>133049334</v>
      </c>
      <c r="D3687" s="12">
        <v>133049792</v>
      </c>
      <c r="E3687" s="12" t="s">
        <v>3943</v>
      </c>
      <c r="F3687" s="12">
        <v>1</v>
      </c>
      <c r="G3687" s="41" t="s">
        <v>212</v>
      </c>
      <c r="H3687" s="12" t="s">
        <v>3620</v>
      </c>
      <c r="I3687" s="41" t="s">
        <v>8306</v>
      </c>
      <c r="M3687" s="41" t="e">
        <f>VLOOKUP(I3687,错误mRNA总表!D:I,6,FALSE)</f>
        <v>#N/A</v>
      </c>
    </row>
    <row r="3688" spans="1:13" x14ac:dyDescent="0.2">
      <c r="A3688" s="12" t="s">
        <v>5735</v>
      </c>
      <c r="B3688" s="12" t="s">
        <v>4055</v>
      </c>
      <c r="C3688" s="12">
        <v>133049334</v>
      </c>
      <c r="D3688" s="12">
        <v>133049832</v>
      </c>
      <c r="E3688" s="12" t="s">
        <v>3943</v>
      </c>
      <c r="F3688" s="12">
        <v>1</v>
      </c>
      <c r="G3688" s="41" t="s">
        <v>212</v>
      </c>
      <c r="H3688" s="12" t="s">
        <v>3620</v>
      </c>
      <c r="I3688" s="41" t="s">
        <v>8306</v>
      </c>
      <c r="M3688" s="41" t="e">
        <f>VLOOKUP(I3688,错误mRNA总表!D:I,6,FALSE)</f>
        <v>#N/A</v>
      </c>
    </row>
    <row r="3689" spans="1:13" x14ac:dyDescent="0.2">
      <c r="A3689" s="12" t="s">
        <v>5735</v>
      </c>
      <c r="B3689" s="12" t="s">
        <v>4055</v>
      </c>
      <c r="C3689" s="12">
        <v>133049334</v>
      </c>
      <c r="D3689" s="12">
        <v>133049995</v>
      </c>
      <c r="E3689" s="12" t="s">
        <v>3943</v>
      </c>
      <c r="F3689" s="12">
        <v>1</v>
      </c>
      <c r="G3689" s="41" t="s">
        <v>212</v>
      </c>
      <c r="H3689" s="12" t="s">
        <v>3620</v>
      </c>
      <c r="I3689" s="41" t="s">
        <v>8306</v>
      </c>
      <c r="M3689" s="41" t="e">
        <f>VLOOKUP(I3689,错误mRNA总表!D:I,6,FALSE)</f>
        <v>#N/A</v>
      </c>
    </row>
    <row r="3690" spans="1:13" x14ac:dyDescent="0.2">
      <c r="A3690" s="12" t="s">
        <v>5736</v>
      </c>
      <c r="B3690" s="12" t="s">
        <v>4012</v>
      </c>
      <c r="C3690" s="12">
        <v>90231818</v>
      </c>
      <c r="D3690" s="12">
        <v>90233622</v>
      </c>
      <c r="E3690" s="12" t="s">
        <v>3940</v>
      </c>
      <c r="F3690" s="12">
        <v>1</v>
      </c>
      <c r="G3690" s="41" t="s">
        <v>121</v>
      </c>
      <c r="H3690" s="12" t="s">
        <v>6356</v>
      </c>
      <c r="I3690" s="41" t="s">
        <v>8307</v>
      </c>
      <c r="M3690" s="41" t="e">
        <f>VLOOKUP(I3690,错误mRNA总表!D:I,6,FALSE)</f>
        <v>#N/A</v>
      </c>
    </row>
    <row r="3691" spans="1:13" x14ac:dyDescent="0.2">
      <c r="A3691" s="12" t="s">
        <v>5737</v>
      </c>
      <c r="B3691" s="12" t="s">
        <v>4012</v>
      </c>
      <c r="C3691" s="12">
        <v>690069</v>
      </c>
      <c r="D3691" s="12">
        <v>691325</v>
      </c>
      <c r="E3691" s="12" t="s">
        <v>3940</v>
      </c>
      <c r="F3691" s="12">
        <v>1</v>
      </c>
      <c r="G3691" s="41" t="s">
        <v>121</v>
      </c>
      <c r="H3691" s="12" t="s">
        <v>6357</v>
      </c>
      <c r="I3691" s="41" t="s">
        <v>8308</v>
      </c>
      <c r="M3691" s="41" t="e">
        <f>VLOOKUP(I3691,错误mRNA总表!D:I,6,FALSE)</f>
        <v>#N/A</v>
      </c>
    </row>
    <row r="3692" spans="1:13" x14ac:dyDescent="0.2">
      <c r="A3692" s="12" t="s">
        <v>5738</v>
      </c>
      <c r="B3692" s="12" t="s">
        <v>3946</v>
      </c>
      <c r="C3692" s="12">
        <v>18314479</v>
      </c>
      <c r="D3692" s="12">
        <v>18315107</v>
      </c>
      <c r="E3692" s="12" t="s">
        <v>3940</v>
      </c>
      <c r="F3692" s="12">
        <v>2</v>
      </c>
      <c r="G3692" s="41" t="s">
        <v>47</v>
      </c>
      <c r="H3692" s="12" t="s">
        <v>6358</v>
      </c>
      <c r="I3692" s="41" t="s">
        <v>8309</v>
      </c>
      <c r="M3692" s="41" t="e">
        <f>VLOOKUP(I3692,错误mRNA总表!D:I,6,FALSE)</f>
        <v>#N/A</v>
      </c>
    </row>
    <row r="3693" spans="1:13" x14ac:dyDescent="0.2">
      <c r="A3693" s="12" t="s">
        <v>5739</v>
      </c>
      <c r="B3693" s="12" t="s">
        <v>4124</v>
      </c>
      <c r="C3693" s="12">
        <v>132795056</v>
      </c>
      <c r="D3693" s="12">
        <v>132795510</v>
      </c>
      <c r="E3693" s="12" t="s">
        <v>3940</v>
      </c>
      <c r="F3693" s="12">
        <v>1</v>
      </c>
      <c r="G3693" s="41" t="s">
        <v>1</v>
      </c>
      <c r="H3693" s="12" t="s">
        <v>3409</v>
      </c>
      <c r="I3693" s="41" t="s">
        <v>8310</v>
      </c>
      <c r="M3693" s="41" t="e">
        <f>VLOOKUP(I3693,错误mRNA总表!D:I,6,FALSE)</f>
        <v>#N/A</v>
      </c>
    </row>
    <row r="3694" spans="1:13" x14ac:dyDescent="0.2">
      <c r="A3694" s="12" t="s">
        <v>5740</v>
      </c>
      <c r="B3694" s="12" t="s">
        <v>5741</v>
      </c>
      <c r="C3694" s="12">
        <v>84891</v>
      </c>
      <c r="D3694" s="12">
        <v>128264</v>
      </c>
      <c r="E3694" s="12" t="s">
        <v>3940</v>
      </c>
      <c r="F3694" s="12">
        <v>1</v>
      </c>
      <c r="H3694" s="12" t="s">
        <v>3410</v>
      </c>
      <c r="I3694" s="41" t="s">
        <v>8311</v>
      </c>
      <c r="M3694" s="41" t="e">
        <f>VLOOKUP(I3694,错误mRNA总表!D:I,6,FALSE)</f>
        <v>#N/A</v>
      </c>
    </row>
    <row r="3695" spans="1:13" x14ac:dyDescent="0.2">
      <c r="A3695" s="12" t="s">
        <v>5742</v>
      </c>
      <c r="B3695" s="12" t="s">
        <v>3948</v>
      </c>
      <c r="C3695" s="12">
        <v>64601577</v>
      </c>
      <c r="D3695" s="12">
        <v>64646832</v>
      </c>
      <c r="E3695" s="12" t="s">
        <v>3940</v>
      </c>
      <c r="F3695" s="12">
        <v>1</v>
      </c>
      <c r="G3695" s="41" t="s">
        <v>40</v>
      </c>
      <c r="H3695" s="12" t="s">
        <v>6566</v>
      </c>
      <c r="I3695" s="41" t="s">
        <v>8312</v>
      </c>
      <c r="M3695" s="41" t="e">
        <f>VLOOKUP(I3695,错误mRNA总表!D:I,6,FALSE)</f>
        <v>#N/A</v>
      </c>
    </row>
    <row r="3696" spans="1:13" x14ac:dyDescent="0.2">
      <c r="A3696" s="12" t="s">
        <v>5743</v>
      </c>
      <c r="B3696" s="12" t="s">
        <v>4115</v>
      </c>
      <c r="C3696" s="12">
        <v>43614803</v>
      </c>
      <c r="D3696" s="12">
        <v>43615051</v>
      </c>
      <c r="E3696" s="12" t="s">
        <v>3943</v>
      </c>
      <c r="F3696" s="12">
        <v>1</v>
      </c>
      <c r="G3696" s="41" t="s">
        <v>33</v>
      </c>
      <c r="H3696" s="12" t="s">
        <v>6359</v>
      </c>
      <c r="I3696" s="41" t="s">
        <v>8313</v>
      </c>
      <c r="M3696" s="41" t="e">
        <f>VLOOKUP(I3696,错误mRNA总表!D:I,6,FALSE)</f>
        <v>#N/A</v>
      </c>
    </row>
    <row r="3697" spans="1:13" x14ac:dyDescent="0.2">
      <c r="A3697" s="12" t="s">
        <v>5744</v>
      </c>
      <c r="B3697" s="12" t="s">
        <v>3978</v>
      </c>
      <c r="C3697" s="12">
        <v>48331769</v>
      </c>
      <c r="D3697" s="12">
        <v>48332321</v>
      </c>
      <c r="E3697" s="12" t="s">
        <v>3943</v>
      </c>
      <c r="F3697" s="12">
        <v>1</v>
      </c>
      <c r="G3697" s="41" t="s">
        <v>86</v>
      </c>
      <c r="H3697" s="12" t="s">
        <v>6489</v>
      </c>
      <c r="I3697" s="41" t="s">
        <v>8314</v>
      </c>
      <c r="M3697" s="41" t="e">
        <f>VLOOKUP(I3697,错误mRNA总表!D:I,6,FALSE)</f>
        <v>#N/A</v>
      </c>
    </row>
    <row r="3698" spans="1:13" x14ac:dyDescent="0.2">
      <c r="A3698" s="12" t="s">
        <v>5744</v>
      </c>
      <c r="B3698" s="12" t="s">
        <v>3978</v>
      </c>
      <c r="C3698" s="12">
        <v>48331769</v>
      </c>
      <c r="D3698" s="12">
        <v>48332410</v>
      </c>
      <c r="E3698" s="12" t="s">
        <v>3940</v>
      </c>
      <c r="F3698" s="12">
        <v>2</v>
      </c>
      <c r="G3698" s="41" t="s">
        <v>86</v>
      </c>
      <c r="H3698" s="12" t="s">
        <v>6489</v>
      </c>
      <c r="I3698" s="41" t="s">
        <v>8314</v>
      </c>
      <c r="M3698" s="41" t="e">
        <f>VLOOKUP(I3698,错误mRNA总表!D:I,6,FALSE)</f>
        <v>#N/A</v>
      </c>
    </row>
    <row r="3699" spans="1:13" x14ac:dyDescent="0.2">
      <c r="A3699" s="12" t="s">
        <v>5744</v>
      </c>
      <c r="B3699" s="12" t="s">
        <v>3978</v>
      </c>
      <c r="C3699" s="12">
        <v>48331769</v>
      </c>
      <c r="D3699" s="12">
        <v>48332535</v>
      </c>
      <c r="E3699" s="12" t="s">
        <v>3940</v>
      </c>
      <c r="F3699" s="12">
        <v>1</v>
      </c>
      <c r="G3699" s="41" t="s">
        <v>86</v>
      </c>
      <c r="H3699" s="12" t="s">
        <v>6489</v>
      </c>
      <c r="I3699" s="41" t="s">
        <v>8314</v>
      </c>
      <c r="M3699" s="41" t="e">
        <f>VLOOKUP(I3699,错误mRNA总表!D:I,6,FALSE)</f>
        <v>#N/A</v>
      </c>
    </row>
    <row r="3700" spans="1:13" x14ac:dyDescent="0.2">
      <c r="A3700" s="12" t="s">
        <v>5744</v>
      </c>
      <c r="B3700" s="12" t="s">
        <v>3978</v>
      </c>
      <c r="C3700" s="12">
        <v>48331769</v>
      </c>
      <c r="D3700" s="12">
        <v>48332567</v>
      </c>
      <c r="E3700" s="12" t="s">
        <v>3940</v>
      </c>
      <c r="F3700" s="12">
        <v>1</v>
      </c>
      <c r="G3700" s="41" t="s">
        <v>86</v>
      </c>
      <c r="H3700" s="12" t="s">
        <v>6489</v>
      </c>
      <c r="I3700" s="41" t="s">
        <v>8314</v>
      </c>
      <c r="M3700" s="41" t="e">
        <f>VLOOKUP(I3700,错误mRNA总表!D:I,6,FALSE)</f>
        <v>#N/A</v>
      </c>
    </row>
    <row r="3701" spans="1:13" x14ac:dyDescent="0.2">
      <c r="A3701" s="12" t="s">
        <v>5744</v>
      </c>
      <c r="B3701" s="12" t="s">
        <v>3978</v>
      </c>
      <c r="C3701" s="12">
        <v>48331769</v>
      </c>
      <c r="D3701" s="12">
        <v>48332778</v>
      </c>
      <c r="E3701" s="12" t="s">
        <v>3940</v>
      </c>
      <c r="F3701" s="12">
        <v>2</v>
      </c>
      <c r="G3701" s="41" t="s">
        <v>86</v>
      </c>
      <c r="H3701" s="12" t="s">
        <v>6489</v>
      </c>
      <c r="I3701" s="41" t="s">
        <v>8314</v>
      </c>
      <c r="M3701" s="41" t="e">
        <f>VLOOKUP(I3701,错误mRNA总表!D:I,6,FALSE)</f>
        <v>#N/A</v>
      </c>
    </row>
    <row r="3702" spans="1:13" x14ac:dyDescent="0.2">
      <c r="A3702" s="12" t="s">
        <v>5745</v>
      </c>
      <c r="B3702" s="12" t="s">
        <v>4059</v>
      </c>
      <c r="C3702" s="12">
        <v>160874232</v>
      </c>
      <c r="D3702" s="12">
        <v>160875369</v>
      </c>
      <c r="E3702" s="12" t="s">
        <v>3943</v>
      </c>
      <c r="F3702" s="12">
        <v>1</v>
      </c>
      <c r="G3702" s="41" t="s">
        <v>175</v>
      </c>
      <c r="H3702" s="12" t="s">
        <v>6360</v>
      </c>
      <c r="I3702" s="41" t="s">
        <v>8315</v>
      </c>
      <c r="M3702" s="41" t="e">
        <f>VLOOKUP(I3702,错误mRNA总表!D:I,6,FALSE)</f>
        <v>#N/A</v>
      </c>
    </row>
    <row r="3703" spans="1:13" x14ac:dyDescent="0.2">
      <c r="A3703" s="12" t="s">
        <v>5746</v>
      </c>
      <c r="B3703" s="12" t="s">
        <v>4049</v>
      </c>
      <c r="C3703" s="12">
        <v>652315</v>
      </c>
      <c r="D3703" s="12">
        <v>654167</v>
      </c>
      <c r="E3703" s="12" t="s">
        <v>3943</v>
      </c>
      <c r="F3703" s="12">
        <v>1</v>
      </c>
      <c r="H3703" s="12" t="s">
        <v>6361</v>
      </c>
      <c r="I3703" s="41" t="s">
        <v>8316</v>
      </c>
      <c r="M3703" s="41" t="e">
        <f>VLOOKUP(I3703,错误mRNA总表!D:I,6,FALSE)</f>
        <v>#N/A</v>
      </c>
    </row>
    <row r="3704" spans="1:13" x14ac:dyDescent="0.2">
      <c r="A3704" s="12" t="s">
        <v>5746</v>
      </c>
      <c r="B3704" s="12" t="s">
        <v>4049</v>
      </c>
      <c r="C3704" s="12">
        <v>652315</v>
      </c>
      <c r="D3704" s="12">
        <v>654237</v>
      </c>
      <c r="E3704" s="12" t="s">
        <v>3943</v>
      </c>
      <c r="F3704" s="12">
        <v>2</v>
      </c>
      <c r="H3704" s="12" t="s">
        <v>6361</v>
      </c>
      <c r="I3704" s="41" t="s">
        <v>8316</v>
      </c>
      <c r="M3704" s="41" t="e">
        <f>VLOOKUP(I3704,错误mRNA总表!D:I,6,FALSE)</f>
        <v>#N/A</v>
      </c>
    </row>
    <row r="3705" spans="1:13" x14ac:dyDescent="0.2">
      <c r="A3705" s="12" t="s">
        <v>5747</v>
      </c>
      <c r="B3705" s="12" t="s">
        <v>3962</v>
      </c>
      <c r="C3705" s="12">
        <v>23456337</v>
      </c>
      <c r="D3705" s="12">
        <v>23456420</v>
      </c>
      <c r="E3705" s="12" t="s">
        <v>3940</v>
      </c>
      <c r="F3705" s="12">
        <v>1</v>
      </c>
      <c r="G3705" s="41" t="s">
        <v>53</v>
      </c>
      <c r="H3705" s="12" t="s">
        <v>6362</v>
      </c>
      <c r="I3705" s="41" t="s">
        <v>8317</v>
      </c>
      <c r="M3705" s="41" t="e">
        <f>VLOOKUP(I3705,错误mRNA总表!D:I,6,FALSE)</f>
        <v>#N/A</v>
      </c>
    </row>
    <row r="3706" spans="1:13" x14ac:dyDescent="0.2">
      <c r="A3706" s="12" t="s">
        <v>5748</v>
      </c>
      <c r="B3706" s="12" t="s">
        <v>3948</v>
      </c>
      <c r="C3706" s="12">
        <v>63211246</v>
      </c>
      <c r="D3706" s="12">
        <v>63214037</v>
      </c>
      <c r="E3706" s="12" t="s">
        <v>3943</v>
      </c>
      <c r="F3706" s="12">
        <v>2</v>
      </c>
      <c r="G3706" s="41" t="s">
        <v>40</v>
      </c>
      <c r="H3706" s="12" t="s">
        <v>6363</v>
      </c>
      <c r="I3706" s="41" t="s">
        <v>8318</v>
      </c>
      <c r="M3706" s="41" t="e">
        <f>VLOOKUP(I3706,错误mRNA总表!D:I,6,FALSE)</f>
        <v>#N/A</v>
      </c>
    </row>
    <row r="3707" spans="1:13" x14ac:dyDescent="0.2">
      <c r="A3707" s="12" t="s">
        <v>5748</v>
      </c>
      <c r="B3707" s="12" t="s">
        <v>3948</v>
      </c>
      <c r="C3707" s="12">
        <v>63211246</v>
      </c>
      <c r="D3707" s="12">
        <v>63214234</v>
      </c>
      <c r="E3707" s="12" t="s">
        <v>3940</v>
      </c>
      <c r="F3707" s="12">
        <v>1</v>
      </c>
      <c r="G3707" s="41" t="s">
        <v>40</v>
      </c>
      <c r="H3707" s="12" t="s">
        <v>6363</v>
      </c>
      <c r="I3707" s="41" t="s">
        <v>8318</v>
      </c>
      <c r="M3707" s="41" t="e">
        <f>VLOOKUP(I3707,错误mRNA总表!D:I,6,FALSE)</f>
        <v>#N/A</v>
      </c>
    </row>
    <row r="3708" spans="1:13" x14ac:dyDescent="0.2">
      <c r="A3708" s="12" t="s">
        <v>5749</v>
      </c>
      <c r="B3708" s="12" t="s">
        <v>4042</v>
      </c>
      <c r="C3708" s="12">
        <v>62534950</v>
      </c>
      <c r="D3708" s="12">
        <v>62560612</v>
      </c>
      <c r="E3708" s="12" t="s">
        <v>3940</v>
      </c>
      <c r="F3708" s="12">
        <v>1</v>
      </c>
      <c r="G3708" s="41" t="s">
        <v>113</v>
      </c>
      <c r="H3708" s="12" t="s">
        <v>6600</v>
      </c>
      <c r="I3708" s="41" t="s">
        <v>8319</v>
      </c>
      <c r="M3708" s="41" t="e">
        <f>VLOOKUP(I3708,错误mRNA总表!D:I,6,FALSE)</f>
        <v>#N/A</v>
      </c>
    </row>
    <row r="3709" spans="1:13" x14ac:dyDescent="0.2">
      <c r="A3709" s="12" t="s">
        <v>5749</v>
      </c>
      <c r="B3709" s="12" t="s">
        <v>4042</v>
      </c>
      <c r="C3709" s="12">
        <v>62534950</v>
      </c>
      <c r="D3709" s="12">
        <v>62537027</v>
      </c>
      <c r="E3709" s="12" t="s">
        <v>3940</v>
      </c>
      <c r="F3709" s="12">
        <v>1</v>
      </c>
      <c r="G3709" s="41" t="s">
        <v>113</v>
      </c>
      <c r="H3709" s="12" t="s">
        <v>6600</v>
      </c>
      <c r="I3709" s="41" t="s">
        <v>8319</v>
      </c>
      <c r="M3709" s="41" t="e">
        <f>VLOOKUP(I3709,错误mRNA总表!D:I,6,FALSE)</f>
        <v>#N/A</v>
      </c>
    </row>
    <row r="3710" spans="1:13" x14ac:dyDescent="0.2">
      <c r="A3710" s="12" t="s">
        <v>5749</v>
      </c>
      <c r="B3710" s="12" t="s">
        <v>4042</v>
      </c>
      <c r="C3710" s="12">
        <v>62534950</v>
      </c>
      <c r="D3710" s="12">
        <v>62535873</v>
      </c>
      <c r="E3710" s="12" t="s">
        <v>3940</v>
      </c>
      <c r="F3710" s="12">
        <v>2</v>
      </c>
      <c r="G3710" s="41" t="s">
        <v>113</v>
      </c>
      <c r="H3710" s="12" t="s">
        <v>6600</v>
      </c>
      <c r="I3710" s="41" t="s">
        <v>8319</v>
      </c>
      <c r="M3710" s="41" t="e">
        <f>VLOOKUP(I3710,错误mRNA总表!D:I,6,FALSE)</f>
        <v>#N/A</v>
      </c>
    </row>
    <row r="3711" spans="1:13" x14ac:dyDescent="0.2">
      <c r="A3711" s="12" t="s">
        <v>5749</v>
      </c>
      <c r="B3711" s="12" t="s">
        <v>4042</v>
      </c>
      <c r="C3711" s="12">
        <v>62534950</v>
      </c>
      <c r="D3711" s="12">
        <v>62535518</v>
      </c>
      <c r="E3711" s="12" t="s">
        <v>3940</v>
      </c>
      <c r="F3711" s="12">
        <v>1</v>
      </c>
      <c r="G3711" s="41" t="s">
        <v>113</v>
      </c>
      <c r="H3711" s="12" t="s">
        <v>6600</v>
      </c>
      <c r="I3711" s="41" t="s">
        <v>8319</v>
      </c>
      <c r="M3711" s="41" t="e">
        <f>VLOOKUP(I3711,错误mRNA总表!D:I,6,FALSE)</f>
        <v>#N/A</v>
      </c>
    </row>
    <row r="3712" spans="1:13" x14ac:dyDescent="0.2">
      <c r="A3712" s="12" t="s">
        <v>5750</v>
      </c>
      <c r="B3712" s="12" t="s">
        <v>4004</v>
      </c>
      <c r="C3712" s="12">
        <v>182419</v>
      </c>
      <c r="D3712" s="12">
        <v>183076</v>
      </c>
      <c r="E3712" s="12" t="s">
        <v>3940</v>
      </c>
      <c r="F3712" s="12">
        <v>2</v>
      </c>
      <c r="G3712" s="41" t="s">
        <v>103</v>
      </c>
      <c r="H3712" s="12" t="s">
        <v>6364</v>
      </c>
      <c r="I3712" s="41" t="s">
        <v>8320</v>
      </c>
      <c r="M3712" s="41" t="e">
        <f>VLOOKUP(I3712,错误mRNA总表!D:I,6,FALSE)</f>
        <v>#N/A</v>
      </c>
    </row>
    <row r="3713" spans="1:13" x14ac:dyDescent="0.2">
      <c r="A3713" s="12" t="s">
        <v>5751</v>
      </c>
      <c r="B3713" s="12" t="s">
        <v>4012</v>
      </c>
      <c r="C3713" s="12">
        <v>21845889</v>
      </c>
      <c r="D3713" s="12">
        <v>21847216</v>
      </c>
      <c r="E3713" s="12" t="s">
        <v>3943</v>
      </c>
      <c r="F3713" s="12">
        <v>1</v>
      </c>
      <c r="G3713" s="41" t="s">
        <v>121</v>
      </c>
      <c r="H3713" s="12" t="s">
        <v>1125</v>
      </c>
      <c r="I3713" s="41" t="s">
        <v>8321</v>
      </c>
      <c r="J3713" s="41" t="s">
        <v>3382</v>
      </c>
      <c r="K3713" s="41" t="str">
        <f>VLOOKUP(J3713,错误mRNA总表!D:J,7,FALSE)</f>
        <v>纠后正确,版本不一致，区间有变化</v>
      </c>
      <c r="M3713" s="41" t="e">
        <f>VLOOKUP(I3713,错误mRNA总表!D:I,6,FALSE)</f>
        <v>#N/A</v>
      </c>
    </row>
    <row r="3714" spans="1:13" x14ac:dyDescent="0.2">
      <c r="A3714" s="12" t="s">
        <v>5752</v>
      </c>
      <c r="B3714" s="12" t="s">
        <v>4012</v>
      </c>
      <c r="C3714" s="12">
        <v>90233944</v>
      </c>
      <c r="D3714" s="12">
        <v>90234619</v>
      </c>
      <c r="E3714" s="12" t="s">
        <v>3940</v>
      </c>
      <c r="F3714" s="12">
        <v>2</v>
      </c>
      <c r="G3714" s="41" t="s">
        <v>121</v>
      </c>
      <c r="H3714" s="12" t="s">
        <v>6365</v>
      </c>
      <c r="I3714" s="41" t="s">
        <v>8322</v>
      </c>
      <c r="M3714" s="41" t="e">
        <f>VLOOKUP(I3714,错误mRNA总表!D:I,6,FALSE)</f>
        <v>#N/A</v>
      </c>
    </row>
    <row r="3715" spans="1:13" x14ac:dyDescent="0.2">
      <c r="A3715" s="12" t="s">
        <v>5752</v>
      </c>
      <c r="B3715" s="12" t="s">
        <v>4012</v>
      </c>
      <c r="C3715" s="12">
        <v>90233944</v>
      </c>
      <c r="D3715" s="12">
        <v>90234821</v>
      </c>
      <c r="E3715" s="12" t="s">
        <v>3943</v>
      </c>
      <c r="F3715" s="12">
        <v>1</v>
      </c>
      <c r="G3715" s="41" t="s">
        <v>121</v>
      </c>
      <c r="H3715" s="12" t="s">
        <v>6365</v>
      </c>
      <c r="I3715" s="41" t="s">
        <v>8322</v>
      </c>
      <c r="M3715" s="41" t="e">
        <f>VLOOKUP(I3715,错误mRNA总表!D:I,6,FALSE)</f>
        <v>#N/A</v>
      </c>
    </row>
    <row r="3716" spans="1:13" x14ac:dyDescent="0.2">
      <c r="A3716" s="12" t="s">
        <v>5753</v>
      </c>
      <c r="B3716" s="12" t="s">
        <v>4023</v>
      </c>
      <c r="C3716" s="12">
        <v>1407982</v>
      </c>
      <c r="D3716" s="12">
        <v>1408514</v>
      </c>
      <c r="E3716" s="12" t="s">
        <v>3943</v>
      </c>
      <c r="F3716" s="12">
        <v>2</v>
      </c>
      <c r="H3716" s="12" t="s">
        <v>6366</v>
      </c>
      <c r="I3716" s="41" t="s">
        <v>8323</v>
      </c>
      <c r="M3716" s="41" t="e">
        <f>VLOOKUP(I3716,错误mRNA总表!D:I,6,FALSE)</f>
        <v>#N/A</v>
      </c>
    </row>
    <row r="3717" spans="1:13" x14ac:dyDescent="0.2">
      <c r="A3717" s="12" t="s">
        <v>5754</v>
      </c>
      <c r="B3717" s="12" t="s">
        <v>5755</v>
      </c>
      <c r="C3717" s="12">
        <v>79335</v>
      </c>
      <c r="D3717" s="12">
        <v>80162</v>
      </c>
      <c r="E3717" s="12" t="s">
        <v>3943</v>
      </c>
      <c r="F3717" s="12">
        <v>2</v>
      </c>
      <c r="H3717" s="12" t="s">
        <v>6490</v>
      </c>
      <c r="I3717" s="41" t="s">
        <v>8324</v>
      </c>
      <c r="M3717" s="41" t="e">
        <f>VLOOKUP(I3717,错误mRNA总表!D:I,6,FALSE)</f>
        <v>#N/A</v>
      </c>
    </row>
    <row r="3718" spans="1:13" x14ac:dyDescent="0.2">
      <c r="A3718" s="12" t="s">
        <v>5754</v>
      </c>
      <c r="B3718" s="12" t="s">
        <v>5755</v>
      </c>
      <c r="C3718" s="12">
        <v>79335</v>
      </c>
      <c r="D3718" s="12">
        <v>81730</v>
      </c>
      <c r="E3718" s="12" t="s">
        <v>3940</v>
      </c>
      <c r="F3718" s="12">
        <v>1</v>
      </c>
      <c r="H3718" s="12" t="s">
        <v>6490</v>
      </c>
      <c r="I3718" s="41" t="s">
        <v>8324</v>
      </c>
      <c r="M3718" s="41" t="e">
        <f>VLOOKUP(I3718,错误mRNA总表!D:I,6,FALSE)</f>
        <v>#N/A</v>
      </c>
    </row>
    <row r="3719" spans="1:13" x14ac:dyDescent="0.2">
      <c r="A3719" s="12" t="s">
        <v>5754</v>
      </c>
      <c r="B3719" s="12" t="s">
        <v>5755</v>
      </c>
      <c r="C3719" s="12">
        <v>79335</v>
      </c>
      <c r="D3719" s="12">
        <v>81801</v>
      </c>
      <c r="E3719" s="12" t="s">
        <v>3940</v>
      </c>
      <c r="F3719" s="12">
        <v>2</v>
      </c>
      <c r="H3719" s="12" t="s">
        <v>6490</v>
      </c>
      <c r="I3719" s="41" t="s">
        <v>8324</v>
      </c>
      <c r="M3719" s="41" t="e">
        <f>VLOOKUP(I3719,错误mRNA总表!D:I,6,FALSE)</f>
        <v>#N/A</v>
      </c>
    </row>
    <row r="3720" spans="1:13" x14ac:dyDescent="0.2">
      <c r="A3720" s="12" t="s">
        <v>5756</v>
      </c>
      <c r="B3720" s="12" t="s">
        <v>4052</v>
      </c>
      <c r="C3720" s="12">
        <v>46195632</v>
      </c>
      <c r="D3720" s="12">
        <v>46216474</v>
      </c>
      <c r="E3720" s="12" t="s">
        <v>3940</v>
      </c>
      <c r="F3720" s="12">
        <v>1</v>
      </c>
      <c r="G3720" s="41" t="s">
        <v>93</v>
      </c>
      <c r="H3720" s="12" t="s">
        <v>6367</v>
      </c>
      <c r="I3720" s="41" t="s">
        <v>8325</v>
      </c>
      <c r="M3720" s="41" t="e">
        <f>VLOOKUP(I3720,错误mRNA总表!D:I,6,FALSE)</f>
        <v>#N/A</v>
      </c>
    </row>
    <row r="3721" spans="1:13" x14ac:dyDescent="0.2">
      <c r="A3721" s="12" t="s">
        <v>5757</v>
      </c>
      <c r="B3721" s="12" t="s">
        <v>3966</v>
      </c>
      <c r="C3721" s="12">
        <v>21522231</v>
      </c>
      <c r="D3721" s="12">
        <v>21537990</v>
      </c>
      <c r="E3721" s="12" t="s">
        <v>3943</v>
      </c>
      <c r="F3721" s="12">
        <v>1</v>
      </c>
      <c r="G3721" s="41" t="s">
        <v>43</v>
      </c>
      <c r="H3721" s="12" t="s">
        <v>6368</v>
      </c>
      <c r="I3721" s="41" t="s">
        <v>8326</v>
      </c>
      <c r="M3721" s="41" t="e">
        <f>VLOOKUP(I3721,错误mRNA总表!D:I,6,FALSE)</f>
        <v>#N/A</v>
      </c>
    </row>
    <row r="3722" spans="1:13" x14ac:dyDescent="0.2">
      <c r="A3722" s="12" t="s">
        <v>5758</v>
      </c>
      <c r="B3722" s="12" t="s">
        <v>4042</v>
      </c>
      <c r="C3722" s="12">
        <v>80728619</v>
      </c>
      <c r="D3722" s="12">
        <v>80736718</v>
      </c>
      <c r="E3722" s="12" t="s">
        <v>3943</v>
      </c>
      <c r="F3722" s="12">
        <v>1</v>
      </c>
      <c r="G3722" s="41" t="s">
        <v>113</v>
      </c>
      <c r="H3722" s="12" t="s">
        <v>6491</v>
      </c>
      <c r="I3722" s="41" t="s">
        <v>8327</v>
      </c>
      <c r="M3722" s="41" t="e">
        <f>VLOOKUP(I3722,错误mRNA总表!D:I,6,FALSE)</f>
        <v>#N/A</v>
      </c>
    </row>
  </sheetData>
  <autoFilter ref="A1:M3722"/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2"/>
  <sheetViews>
    <sheetView topLeftCell="A377" workbookViewId="0">
      <selection activeCell="H398" sqref="H398"/>
    </sheetView>
  </sheetViews>
  <sheetFormatPr defaultRowHeight="12.75" x14ac:dyDescent="0.15"/>
  <cols>
    <col min="1" max="1" width="13.125" style="12" bestFit="1" customWidth="1"/>
    <col min="2" max="2" width="10.5" style="12" bestFit="1" customWidth="1"/>
    <col min="3" max="3" width="8.25" style="12" bestFit="1" customWidth="1"/>
    <col min="4" max="4" width="11.125" style="12" bestFit="1" customWidth="1"/>
    <col min="5" max="5" width="6.5" style="12" bestFit="1" customWidth="1"/>
    <col min="6" max="6" width="8.25" style="12" bestFit="1" customWidth="1"/>
    <col min="7" max="7" width="16.375" style="12" bestFit="1" customWidth="1"/>
    <col min="8" max="8" width="9.25" style="12" bestFit="1" customWidth="1"/>
    <col min="9" max="9" width="10" style="12" bestFit="1" customWidth="1"/>
    <col min="10" max="11" width="23.875" style="12" bestFit="1" customWidth="1"/>
    <col min="12" max="12" width="78" style="12" bestFit="1" customWidth="1"/>
    <col min="13" max="16384" width="9" style="12"/>
  </cols>
  <sheetData>
    <row r="1" spans="1:12" x14ac:dyDescent="0.2">
      <c r="A1" s="12" t="s">
        <v>3933</v>
      </c>
      <c r="B1" s="12" t="s">
        <v>5763</v>
      </c>
      <c r="C1" s="12" t="s">
        <v>3934</v>
      </c>
      <c r="D1" s="12" t="s">
        <v>3935</v>
      </c>
      <c r="E1" s="12" t="s">
        <v>3936</v>
      </c>
      <c r="F1" s="12" t="s">
        <v>3937</v>
      </c>
      <c r="G1" s="12" t="s">
        <v>5765</v>
      </c>
      <c r="H1" s="12" t="s">
        <v>8441</v>
      </c>
      <c r="I1" s="12" t="s">
        <v>8442</v>
      </c>
      <c r="J1" s="41" t="s">
        <v>2072</v>
      </c>
      <c r="K1" s="42" t="s">
        <v>8372</v>
      </c>
      <c r="L1" s="42" t="s">
        <v>8373</v>
      </c>
    </row>
    <row r="2" spans="1:12" x14ac:dyDescent="0.2">
      <c r="A2" s="12" t="s">
        <v>4578</v>
      </c>
      <c r="B2" s="41" t="s">
        <v>93</v>
      </c>
      <c r="C2" s="12">
        <v>102505468</v>
      </c>
      <c r="D2" s="12">
        <v>102587331</v>
      </c>
      <c r="E2" s="12" t="s">
        <v>3943</v>
      </c>
      <c r="F2" s="12">
        <v>3</v>
      </c>
      <c r="G2" s="12" t="s">
        <v>892</v>
      </c>
      <c r="H2" s="12" t="s">
        <v>93</v>
      </c>
      <c r="I2" s="12">
        <v>102505468</v>
      </c>
      <c r="J2" s="41" t="s">
        <v>3305</v>
      </c>
      <c r="K2" s="41" t="s">
        <v>3305</v>
      </c>
      <c r="L2" s="41" t="s">
        <v>8342</v>
      </c>
    </row>
    <row r="3" spans="1:12" x14ac:dyDescent="0.2">
      <c r="A3" s="12" t="s">
        <v>4693</v>
      </c>
      <c r="B3" s="41" t="s">
        <v>1</v>
      </c>
      <c r="C3" s="12">
        <v>31749656</v>
      </c>
      <c r="D3" s="12">
        <v>31805880</v>
      </c>
      <c r="E3" s="12" t="s">
        <v>3940</v>
      </c>
      <c r="F3" s="12">
        <v>1</v>
      </c>
      <c r="G3" s="12" t="s">
        <v>0</v>
      </c>
      <c r="H3" s="12" t="s">
        <v>1</v>
      </c>
      <c r="I3" s="12">
        <v>31749656</v>
      </c>
      <c r="J3" s="41" t="s">
        <v>2144</v>
      </c>
      <c r="K3" s="41" t="s">
        <v>2144</v>
      </c>
      <c r="L3" s="41" t="s">
        <v>3763</v>
      </c>
    </row>
    <row r="4" spans="1:12" x14ac:dyDescent="0.2">
      <c r="A4" s="12" t="s">
        <v>5053</v>
      </c>
      <c r="B4" s="41" t="s">
        <v>1</v>
      </c>
      <c r="C4" s="12">
        <v>217498127</v>
      </c>
      <c r="D4" s="12">
        <v>217498310</v>
      </c>
      <c r="E4" s="12" t="s">
        <v>3940</v>
      </c>
      <c r="F4" s="12">
        <v>9</v>
      </c>
      <c r="G4" s="12" t="s">
        <v>475</v>
      </c>
      <c r="H4" s="12" t="s">
        <v>1</v>
      </c>
      <c r="I4" s="12">
        <v>217498127</v>
      </c>
      <c r="J4" s="41" t="s">
        <v>2233</v>
      </c>
      <c r="K4" s="41" t="s">
        <v>2233</v>
      </c>
      <c r="L4" s="41" t="s">
        <v>8351</v>
      </c>
    </row>
    <row r="5" spans="1:12" x14ac:dyDescent="0.2">
      <c r="A5" s="12" t="s">
        <v>4825</v>
      </c>
      <c r="B5" s="41" t="s">
        <v>36</v>
      </c>
      <c r="C5" s="12">
        <v>112831969</v>
      </c>
      <c r="D5" s="12">
        <v>112832308</v>
      </c>
      <c r="E5" s="12" t="s">
        <v>3940</v>
      </c>
      <c r="F5" s="12">
        <v>1</v>
      </c>
      <c r="G5" s="12" t="s">
        <v>983</v>
      </c>
      <c r="H5" s="12" t="s">
        <v>36</v>
      </c>
      <c r="I5" s="12">
        <v>112831969</v>
      </c>
      <c r="J5" s="41" t="s">
        <v>3363</v>
      </c>
      <c r="K5" s="41" t="s">
        <v>3363</v>
      </c>
      <c r="L5" s="41" t="s">
        <v>3763</v>
      </c>
    </row>
    <row r="6" spans="1:12" x14ac:dyDescent="0.2">
      <c r="A6" s="12" t="s">
        <v>4825</v>
      </c>
      <c r="B6" s="41" t="s">
        <v>36</v>
      </c>
      <c r="C6" s="12">
        <v>112831969</v>
      </c>
      <c r="D6" s="12">
        <v>112832339</v>
      </c>
      <c r="E6" s="12" t="s">
        <v>3943</v>
      </c>
      <c r="F6" s="12">
        <v>1</v>
      </c>
      <c r="G6" s="12" t="s">
        <v>983</v>
      </c>
      <c r="H6" s="12" t="s">
        <v>36</v>
      </c>
      <c r="I6" s="12">
        <v>112831969</v>
      </c>
      <c r="J6" s="41" t="s">
        <v>3363</v>
      </c>
      <c r="K6" s="41" t="s">
        <v>3363</v>
      </c>
      <c r="L6" s="41" t="s">
        <v>3763</v>
      </c>
    </row>
    <row r="7" spans="1:12" x14ac:dyDescent="0.2">
      <c r="A7" s="12" t="s">
        <v>5298</v>
      </c>
      <c r="B7" s="41" t="s">
        <v>1</v>
      </c>
      <c r="C7" s="12">
        <v>96778623</v>
      </c>
      <c r="D7" s="12">
        <v>96780986</v>
      </c>
      <c r="E7" s="12" t="s">
        <v>3940</v>
      </c>
      <c r="F7" s="12">
        <v>9</v>
      </c>
      <c r="G7" s="12" t="s">
        <v>432</v>
      </c>
      <c r="H7" s="12" t="s">
        <v>1</v>
      </c>
      <c r="I7" s="12">
        <v>96778623</v>
      </c>
      <c r="J7" s="41" t="s">
        <v>2231</v>
      </c>
      <c r="K7" s="41" t="s">
        <v>2231</v>
      </c>
      <c r="L7" s="41" t="s">
        <v>3912</v>
      </c>
    </row>
    <row r="8" spans="1:12" x14ac:dyDescent="0.2">
      <c r="A8" s="12" t="s">
        <v>5519</v>
      </c>
      <c r="B8" s="41" t="s">
        <v>1</v>
      </c>
      <c r="C8" s="12">
        <v>96778623</v>
      </c>
      <c r="D8" s="12">
        <v>96780986</v>
      </c>
      <c r="E8" s="12" t="s">
        <v>3940</v>
      </c>
      <c r="F8" s="12">
        <v>9</v>
      </c>
      <c r="G8" s="12" t="s">
        <v>432</v>
      </c>
      <c r="H8" s="12" t="s">
        <v>1</v>
      </c>
      <c r="I8" s="12">
        <v>96778623</v>
      </c>
      <c r="J8" s="41" t="s">
        <v>2231</v>
      </c>
      <c r="K8" s="41" t="s">
        <v>2231</v>
      </c>
      <c r="L8" s="41" t="s">
        <v>3912</v>
      </c>
    </row>
    <row r="9" spans="1:12" x14ac:dyDescent="0.2">
      <c r="A9" s="12" t="s">
        <v>5368</v>
      </c>
      <c r="B9" s="41" t="s">
        <v>36</v>
      </c>
      <c r="C9" s="12">
        <v>67777790</v>
      </c>
      <c r="D9" s="12">
        <v>67786065</v>
      </c>
      <c r="E9" s="12" t="s">
        <v>3940</v>
      </c>
      <c r="F9" s="12">
        <v>1</v>
      </c>
      <c r="G9" s="12" t="s">
        <v>959</v>
      </c>
      <c r="H9" s="12" t="s">
        <v>36</v>
      </c>
      <c r="I9" s="12">
        <v>67777790</v>
      </c>
      <c r="J9" s="41" t="s">
        <v>2268</v>
      </c>
      <c r="K9" s="41" t="s">
        <v>2268</v>
      </c>
      <c r="L9" s="41" t="s">
        <v>3763</v>
      </c>
    </row>
    <row r="10" spans="1:12" x14ac:dyDescent="0.2">
      <c r="A10" s="12" t="s">
        <v>5368</v>
      </c>
      <c r="B10" s="41" t="s">
        <v>36</v>
      </c>
      <c r="C10" s="12">
        <v>67777790</v>
      </c>
      <c r="D10" s="12">
        <v>67789294</v>
      </c>
      <c r="E10" s="12" t="s">
        <v>3940</v>
      </c>
      <c r="F10" s="12">
        <v>1</v>
      </c>
      <c r="G10" s="12" t="s">
        <v>959</v>
      </c>
      <c r="H10" s="12" t="s">
        <v>36</v>
      </c>
      <c r="I10" s="12">
        <v>67777790</v>
      </c>
      <c r="J10" s="41" t="s">
        <v>2268</v>
      </c>
      <c r="K10" s="41" t="s">
        <v>2268</v>
      </c>
      <c r="L10" s="41" t="s">
        <v>3763</v>
      </c>
    </row>
    <row r="11" spans="1:12" x14ac:dyDescent="0.2">
      <c r="A11" s="12" t="s">
        <v>5368</v>
      </c>
      <c r="B11" s="41" t="s">
        <v>36</v>
      </c>
      <c r="C11" s="12">
        <v>67777790</v>
      </c>
      <c r="D11" s="12">
        <v>67795380</v>
      </c>
      <c r="E11" s="12" t="s">
        <v>3940</v>
      </c>
      <c r="F11" s="12">
        <v>1</v>
      </c>
      <c r="G11" s="12" t="s">
        <v>959</v>
      </c>
      <c r="H11" s="12" t="s">
        <v>36</v>
      </c>
      <c r="I11" s="12">
        <v>67777790</v>
      </c>
      <c r="J11" s="41" t="s">
        <v>2268</v>
      </c>
      <c r="K11" s="41" t="s">
        <v>2268</v>
      </c>
      <c r="L11" s="41" t="s">
        <v>3763</v>
      </c>
    </row>
    <row r="12" spans="1:12" x14ac:dyDescent="0.2">
      <c r="A12" s="12" t="s">
        <v>4881</v>
      </c>
      <c r="B12" s="41" t="s">
        <v>36</v>
      </c>
      <c r="C12" s="12">
        <v>71846771</v>
      </c>
      <c r="D12" s="12">
        <v>71850157</v>
      </c>
      <c r="E12" s="12" t="s">
        <v>3940</v>
      </c>
      <c r="F12" s="12">
        <v>2</v>
      </c>
      <c r="G12" s="12" t="s">
        <v>184</v>
      </c>
      <c r="H12" s="12" t="s">
        <v>36</v>
      </c>
      <c r="I12" s="12">
        <v>71846771</v>
      </c>
      <c r="J12" s="41" t="s">
        <v>2166</v>
      </c>
      <c r="K12" s="41" t="s">
        <v>2166</v>
      </c>
      <c r="L12" s="41" t="s">
        <v>3763</v>
      </c>
    </row>
    <row r="13" spans="1:12" x14ac:dyDescent="0.2">
      <c r="A13" s="12" t="s">
        <v>3944</v>
      </c>
      <c r="B13" s="41" t="s">
        <v>186</v>
      </c>
      <c r="C13" s="12">
        <v>135468536</v>
      </c>
      <c r="D13" s="12">
        <v>135513085</v>
      </c>
      <c r="E13" s="12" t="s">
        <v>3940</v>
      </c>
      <c r="F13" s="12">
        <v>1</v>
      </c>
      <c r="G13" s="12" t="s">
        <v>185</v>
      </c>
      <c r="H13" s="12" t="s">
        <v>186</v>
      </c>
      <c r="I13" s="12">
        <v>135468536</v>
      </c>
      <c r="J13" s="41" t="s">
        <v>2195</v>
      </c>
      <c r="K13" s="41" t="s">
        <v>8374</v>
      </c>
      <c r="L13" s="41" t="s">
        <v>3763</v>
      </c>
    </row>
    <row r="14" spans="1:12" x14ac:dyDescent="0.2">
      <c r="A14" s="12" t="s">
        <v>4372</v>
      </c>
      <c r="B14" s="41" t="s">
        <v>186</v>
      </c>
      <c r="C14" s="12">
        <v>135468536</v>
      </c>
      <c r="D14" s="12">
        <v>135513085</v>
      </c>
      <c r="E14" s="12" t="s">
        <v>3940</v>
      </c>
      <c r="F14" s="12">
        <v>1</v>
      </c>
      <c r="G14" s="12" t="s">
        <v>187</v>
      </c>
      <c r="H14" s="12" t="s">
        <v>186</v>
      </c>
      <c r="I14" s="12">
        <v>135468536</v>
      </c>
      <c r="J14" s="41" t="s">
        <v>2196</v>
      </c>
      <c r="K14" s="41" t="s">
        <v>2196</v>
      </c>
      <c r="L14" s="41" t="s">
        <v>3763</v>
      </c>
    </row>
    <row r="15" spans="1:12" x14ac:dyDescent="0.2">
      <c r="A15" s="12" t="s">
        <v>4635</v>
      </c>
      <c r="B15" s="41" t="s">
        <v>50</v>
      </c>
      <c r="C15" s="12">
        <v>4472255</v>
      </c>
      <c r="D15" s="12">
        <v>4499664</v>
      </c>
      <c r="E15" s="12" t="s">
        <v>3943</v>
      </c>
      <c r="F15" s="12">
        <v>15</v>
      </c>
      <c r="G15" s="12" t="s">
        <v>1227</v>
      </c>
      <c r="H15" s="12" t="s">
        <v>50</v>
      </c>
      <c r="I15" s="12">
        <v>4472255</v>
      </c>
      <c r="J15" s="41" t="s">
        <v>2283</v>
      </c>
      <c r="K15" s="41" t="s">
        <v>2283</v>
      </c>
      <c r="L15" s="41" t="s">
        <v>8344</v>
      </c>
    </row>
    <row r="16" spans="1:12" x14ac:dyDescent="0.2">
      <c r="A16" s="12" t="s">
        <v>4675</v>
      </c>
      <c r="B16" s="41" t="s">
        <v>50</v>
      </c>
      <c r="C16" s="12">
        <v>56598732</v>
      </c>
      <c r="D16" s="12">
        <v>56599437</v>
      </c>
      <c r="E16" s="12" t="s">
        <v>3943</v>
      </c>
      <c r="F16" s="12">
        <v>3</v>
      </c>
      <c r="G16" s="12" t="s">
        <v>1288</v>
      </c>
      <c r="H16" s="12" t="s">
        <v>50</v>
      </c>
      <c r="I16" s="12">
        <v>56598732</v>
      </c>
      <c r="J16" s="41" t="s">
        <v>2289</v>
      </c>
      <c r="K16" s="41" t="s">
        <v>2289</v>
      </c>
      <c r="L16" s="41" t="s">
        <v>8346</v>
      </c>
    </row>
    <row r="17" spans="1:12" x14ac:dyDescent="0.2">
      <c r="A17" s="12" t="s">
        <v>4312</v>
      </c>
      <c r="B17" s="41" t="s">
        <v>86</v>
      </c>
      <c r="C17" s="12">
        <v>133875978</v>
      </c>
      <c r="D17" s="12">
        <v>133969437</v>
      </c>
      <c r="E17" s="12" t="s">
        <v>3940</v>
      </c>
      <c r="F17" s="12">
        <v>1</v>
      </c>
      <c r="G17" s="12" t="s">
        <v>143</v>
      </c>
      <c r="H17" s="12" t="s">
        <v>86</v>
      </c>
      <c r="I17" s="12">
        <v>133875978</v>
      </c>
      <c r="J17" s="41" t="s">
        <v>2132</v>
      </c>
      <c r="K17" s="41" t="s">
        <v>2132</v>
      </c>
      <c r="L17" s="41" t="s">
        <v>3763</v>
      </c>
    </row>
    <row r="18" spans="1:12" x14ac:dyDescent="0.2">
      <c r="A18" s="12" t="s">
        <v>4312</v>
      </c>
      <c r="B18" s="41" t="s">
        <v>86</v>
      </c>
      <c r="C18" s="12">
        <v>133875978</v>
      </c>
      <c r="D18" s="12">
        <v>133969487</v>
      </c>
      <c r="E18" s="12" t="s">
        <v>3940</v>
      </c>
      <c r="F18" s="12">
        <v>1</v>
      </c>
      <c r="G18" s="12" t="s">
        <v>143</v>
      </c>
      <c r="H18" s="12" t="s">
        <v>86</v>
      </c>
      <c r="I18" s="12">
        <v>133875978</v>
      </c>
      <c r="J18" s="41" t="s">
        <v>2132</v>
      </c>
      <c r="K18" s="41" t="s">
        <v>2132</v>
      </c>
      <c r="L18" s="41" t="s">
        <v>3763</v>
      </c>
    </row>
    <row r="19" spans="1:12" x14ac:dyDescent="0.2">
      <c r="A19" s="12" t="s">
        <v>5208</v>
      </c>
      <c r="B19" s="41" t="s">
        <v>86</v>
      </c>
      <c r="C19" s="12">
        <v>50305040</v>
      </c>
      <c r="D19" s="12">
        <v>50306757</v>
      </c>
      <c r="E19" s="12" t="s">
        <v>3940</v>
      </c>
      <c r="F19" s="12">
        <v>1</v>
      </c>
      <c r="G19" s="12" t="s">
        <v>188</v>
      </c>
      <c r="H19" s="12" t="s">
        <v>86</v>
      </c>
      <c r="I19" s="12">
        <v>50305040</v>
      </c>
      <c r="J19" s="41" t="s">
        <v>2193</v>
      </c>
      <c r="K19" s="41" t="s">
        <v>2193</v>
      </c>
      <c r="L19" s="41" t="s">
        <v>3763</v>
      </c>
    </row>
    <row r="20" spans="1:12" x14ac:dyDescent="0.2">
      <c r="A20" s="12" t="s">
        <v>4373</v>
      </c>
      <c r="B20" s="41" t="s">
        <v>36</v>
      </c>
      <c r="C20" s="12">
        <v>125439298</v>
      </c>
      <c r="D20" s="12">
        <v>125452303</v>
      </c>
      <c r="E20" s="12" t="s">
        <v>3940</v>
      </c>
      <c r="F20" s="12">
        <v>1</v>
      </c>
      <c r="G20" s="12" t="s">
        <v>997</v>
      </c>
      <c r="H20" s="12" t="s">
        <v>36</v>
      </c>
      <c r="I20" s="12">
        <v>125439298</v>
      </c>
      <c r="J20" s="41" t="s">
        <v>3366</v>
      </c>
      <c r="K20" s="41" t="s">
        <v>3366</v>
      </c>
      <c r="L20" s="41" t="s">
        <v>3763</v>
      </c>
    </row>
    <row r="21" spans="1:12" x14ac:dyDescent="0.2">
      <c r="A21" s="12" t="s">
        <v>5522</v>
      </c>
      <c r="B21" s="41" t="s">
        <v>179</v>
      </c>
      <c r="C21" s="12">
        <v>43753988</v>
      </c>
      <c r="D21" s="12">
        <v>43833704</v>
      </c>
      <c r="E21" s="12" t="s">
        <v>3940</v>
      </c>
      <c r="F21" s="12">
        <v>3</v>
      </c>
      <c r="G21" s="12" t="s">
        <v>1213</v>
      </c>
      <c r="H21" s="12" t="s">
        <v>179</v>
      </c>
      <c r="I21" s="12">
        <v>43753988</v>
      </c>
      <c r="J21" s="41" t="s">
        <v>2282</v>
      </c>
      <c r="K21" s="41" t="s">
        <v>2282</v>
      </c>
      <c r="L21" s="41" t="s">
        <v>8366</v>
      </c>
    </row>
    <row r="22" spans="1:12" x14ac:dyDescent="0.2">
      <c r="A22" s="12" t="s">
        <v>5147</v>
      </c>
      <c r="B22" s="41" t="s">
        <v>50</v>
      </c>
      <c r="C22" s="12">
        <v>53935227</v>
      </c>
      <c r="D22" s="12">
        <v>53952888</v>
      </c>
      <c r="E22" s="12" t="s">
        <v>3943</v>
      </c>
      <c r="F22" s="12">
        <v>1</v>
      </c>
      <c r="G22" s="12" t="s">
        <v>183</v>
      </c>
      <c r="H22" s="12" t="s">
        <v>50</v>
      </c>
      <c r="I22" s="12">
        <v>53935227</v>
      </c>
      <c r="J22" s="41" t="s">
        <v>2156</v>
      </c>
      <c r="K22" s="41" t="s">
        <v>2156</v>
      </c>
      <c r="L22" s="41" t="s">
        <v>3763</v>
      </c>
    </row>
    <row r="23" spans="1:12" x14ac:dyDescent="0.2">
      <c r="A23" s="12" t="s">
        <v>4679</v>
      </c>
      <c r="B23" s="41" t="s">
        <v>47</v>
      </c>
      <c r="C23" s="12">
        <v>8706055</v>
      </c>
      <c r="D23" s="12">
        <v>8725214</v>
      </c>
      <c r="E23" s="12" t="s">
        <v>3940</v>
      </c>
      <c r="F23" s="12">
        <v>1</v>
      </c>
      <c r="G23" s="12" t="s">
        <v>189</v>
      </c>
      <c r="H23" s="12" t="s">
        <v>47</v>
      </c>
      <c r="I23" s="12">
        <v>8706055</v>
      </c>
      <c r="J23" s="41" t="s">
        <v>2188</v>
      </c>
      <c r="K23" s="41" t="s">
        <v>2188</v>
      </c>
      <c r="L23" s="41" t="s">
        <v>3763</v>
      </c>
    </row>
    <row r="24" spans="1:12" x14ac:dyDescent="0.2">
      <c r="A24" s="12" t="s">
        <v>5057</v>
      </c>
      <c r="B24" s="41" t="s">
        <v>73</v>
      </c>
      <c r="C24" s="12">
        <v>1314869</v>
      </c>
      <c r="D24" s="12">
        <v>1314883</v>
      </c>
      <c r="E24" s="12" t="s">
        <v>3940</v>
      </c>
      <c r="F24" s="12">
        <v>2</v>
      </c>
      <c r="G24" s="12" t="s">
        <v>1361</v>
      </c>
      <c r="H24" s="12" t="s">
        <v>73</v>
      </c>
      <c r="I24" s="12">
        <v>1314869</v>
      </c>
      <c r="J24" s="41" t="s">
        <v>3300</v>
      </c>
      <c r="K24" s="41" t="s">
        <v>3300</v>
      </c>
      <c r="L24" s="41" t="s">
        <v>8352</v>
      </c>
    </row>
    <row r="25" spans="1:12" x14ac:dyDescent="0.2">
      <c r="A25" s="12" t="s">
        <v>5057</v>
      </c>
      <c r="B25" s="41" t="s">
        <v>73</v>
      </c>
      <c r="C25" s="12">
        <v>1314869</v>
      </c>
      <c r="D25" s="12">
        <v>1314893</v>
      </c>
      <c r="E25" s="12" t="s">
        <v>3940</v>
      </c>
      <c r="F25" s="12">
        <v>1</v>
      </c>
      <c r="G25" s="12" t="s">
        <v>1361</v>
      </c>
      <c r="H25" s="12" t="s">
        <v>73</v>
      </c>
      <c r="I25" s="12">
        <v>1314869</v>
      </c>
      <c r="J25" s="41" t="s">
        <v>3300</v>
      </c>
      <c r="K25" s="41" t="s">
        <v>3300</v>
      </c>
      <c r="L25" s="41" t="s">
        <v>8352</v>
      </c>
    </row>
    <row r="26" spans="1:12" x14ac:dyDescent="0.2">
      <c r="A26" s="12" t="s">
        <v>5057</v>
      </c>
      <c r="B26" s="41" t="s">
        <v>1409</v>
      </c>
      <c r="C26" s="12">
        <v>1264869</v>
      </c>
      <c r="D26" s="12">
        <v>1264883</v>
      </c>
      <c r="E26" s="12" t="s">
        <v>3940</v>
      </c>
      <c r="F26" s="12">
        <v>2</v>
      </c>
      <c r="G26" s="12" t="s">
        <v>1361</v>
      </c>
      <c r="H26" s="12" t="s">
        <v>1409</v>
      </c>
      <c r="I26" s="12">
        <v>1264869</v>
      </c>
      <c r="J26" s="41" t="s">
        <v>3301</v>
      </c>
      <c r="K26" s="41" t="s">
        <v>3300</v>
      </c>
      <c r="L26" s="41" t="s">
        <v>8352</v>
      </c>
    </row>
    <row r="27" spans="1:12" x14ac:dyDescent="0.2">
      <c r="A27" s="12" t="s">
        <v>5057</v>
      </c>
      <c r="B27" s="41" t="s">
        <v>1409</v>
      </c>
      <c r="C27" s="12">
        <v>1264869</v>
      </c>
      <c r="D27" s="12">
        <v>1264893</v>
      </c>
      <c r="E27" s="12" t="s">
        <v>3940</v>
      </c>
      <c r="F27" s="12">
        <v>1</v>
      </c>
      <c r="G27" s="12" t="s">
        <v>1361</v>
      </c>
      <c r="H27" s="12" t="s">
        <v>1409</v>
      </c>
      <c r="I27" s="12">
        <v>1264869</v>
      </c>
      <c r="J27" s="41" t="s">
        <v>3301</v>
      </c>
      <c r="K27" s="41" t="s">
        <v>3300</v>
      </c>
      <c r="L27" s="41" t="s">
        <v>8713</v>
      </c>
    </row>
    <row r="28" spans="1:12" x14ac:dyDescent="0.2">
      <c r="A28" s="12" t="s">
        <v>4046</v>
      </c>
      <c r="B28" s="41" t="s">
        <v>73</v>
      </c>
      <c r="C28" s="12">
        <v>1314869</v>
      </c>
      <c r="D28" s="12">
        <v>1314883</v>
      </c>
      <c r="E28" s="12" t="s">
        <v>3940</v>
      </c>
      <c r="F28" s="12">
        <v>2</v>
      </c>
      <c r="G28" s="12" t="s">
        <v>1361</v>
      </c>
      <c r="H28" s="12" t="s">
        <v>73</v>
      </c>
      <c r="I28" s="12">
        <v>1314869</v>
      </c>
      <c r="J28" s="41" t="s">
        <v>3300</v>
      </c>
      <c r="K28" s="41" t="s">
        <v>3300</v>
      </c>
      <c r="L28" s="41" t="s">
        <v>8352</v>
      </c>
    </row>
    <row r="29" spans="1:12" x14ac:dyDescent="0.2">
      <c r="A29" s="12" t="s">
        <v>4046</v>
      </c>
      <c r="B29" s="41" t="s">
        <v>73</v>
      </c>
      <c r="C29" s="12">
        <v>1314869</v>
      </c>
      <c r="D29" s="12">
        <v>1314893</v>
      </c>
      <c r="E29" s="12" t="s">
        <v>3940</v>
      </c>
      <c r="F29" s="12">
        <v>1</v>
      </c>
      <c r="G29" s="12" t="s">
        <v>1361</v>
      </c>
      <c r="H29" s="12" t="s">
        <v>73</v>
      </c>
      <c r="I29" s="12">
        <v>1314869</v>
      </c>
      <c r="J29" s="41" t="s">
        <v>3300</v>
      </c>
      <c r="K29" s="41" t="s">
        <v>3300</v>
      </c>
      <c r="L29" s="41" t="s">
        <v>8352</v>
      </c>
    </row>
    <row r="30" spans="1:12" x14ac:dyDescent="0.2">
      <c r="A30" s="12" t="s">
        <v>4046</v>
      </c>
      <c r="B30" s="41" t="s">
        <v>1409</v>
      </c>
      <c r="C30" s="12">
        <v>1264869</v>
      </c>
      <c r="D30" s="12">
        <v>1264883</v>
      </c>
      <c r="E30" s="12" t="s">
        <v>3940</v>
      </c>
      <c r="F30" s="12">
        <v>2</v>
      </c>
      <c r="G30" s="12" t="s">
        <v>1361</v>
      </c>
      <c r="H30" s="12" t="s">
        <v>1409</v>
      </c>
      <c r="I30" s="12">
        <v>1264869</v>
      </c>
      <c r="J30" s="41" t="s">
        <v>3301</v>
      </c>
      <c r="K30" s="41" t="s">
        <v>3300</v>
      </c>
      <c r="L30" s="41" t="s">
        <v>8352</v>
      </c>
    </row>
    <row r="31" spans="1:12" x14ac:dyDescent="0.2">
      <c r="A31" s="12" t="s">
        <v>4046</v>
      </c>
      <c r="B31" s="41" t="s">
        <v>1409</v>
      </c>
      <c r="C31" s="12">
        <v>1264869</v>
      </c>
      <c r="D31" s="12">
        <v>1264893</v>
      </c>
      <c r="E31" s="12" t="s">
        <v>3940</v>
      </c>
      <c r="F31" s="12">
        <v>1</v>
      </c>
      <c r="G31" s="12" t="s">
        <v>1361</v>
      </c>
      <c r="H31" s="12" t="s">
        <v>1409</v>
      </c>
      <c r="I31" s="12">
        <v>1264869</v>
      </c>
      <c r="J31" s="41" t="s">
        <v>3301</v>
      </c>
      <c r="K31" s="41" t="s">
        <v>3300</v>
      </c>
      <c r="L31" s="41" t="s">
        <v>8352</v>
      </c>
    </row>
    <row r="32" spans="1:12" x14ac:dyDescent="0.2">
      <c r="A32" s="12" t="s">
        <v>4652</v>
      </c>
      <c r="B32" s="41" t="s">
        <v>36</v>
      </c>
      <c r="C32" s="12">
        <v>1642188</v>
      </c>
      <c r="D32" s="12">
        <v>1642940</v>
      </c>
      <c r="E32" s="12" t="s">
        <v>3940</v>
      </c>
      <c r="F32" s="12">
        <v>180</v>
      </c>
      <c r="G32" s="12" t="s">
        <v>902</v>
      </c>
      <c r="H32" s="12" t="s">
        <v>36</v>
      </c>
      <c r="I32" s="12">
        <v>1642188</v>
      </c>
      <c r="J32" s="41" t="s">
        <v>2266</v>
      </c>
      <c r="K32" s="41" t="s">
        <v>2266</v>
      </c>
      <c r="L32" s="41" t="s">
        <v>8429</v>
      </c>
    </row>
    <row r="33" spans="1:12" x14ac:dyDescent="0.2">
      <c r="A33" s="12" t="s">
        <v>4652</v>
      </c>
      <c r="B33" s="41" t="s">
        <v>36</v>
      </c>
      <c r="C33" s="12">
        <v>1642188</v>
      </c>
      <c r="D33" s="12">
        <v>1642212</v>
      </c>
      <c r="E33" s="12" t="s">
        <v>3943</v>
      </c>
      <c r="F33" s="12">
        <v>2</v>
      </c>
      <c r="G33" s="12" t="s">
        <v>902</v>
      </c>
      <c r="H33" s="12" t="s">
        <v>36</v>
      </c>
      <c r="I33" s="12">
        <v>1642188</v>
      </c>
      <c r="J33" s="41" t="s">
        <v>2266</v>
      </c>
      <c r="K33" s="41" t="s">
        <v>2266</v>
      </c>
      <c r="L33" s="41" t="s">
        <v>8429</v>
      </c>
    </row>
    <row r="34" spans="1:12" x14ac:dyDescent="0.2">
      <c r="A34" s="12" t="s">
        <v>4274</v>
      </c>
      <c r="B34" s="41" t="s">
        <v>73</v>
      </c>
      <c r="C34" s="12">
        <v>50111879</v>
      </c>
      <c r="D34" s="12">
        <v>50121146</v>
      </c>
      <c r="E34" s="12" t="s">
        <v>3940</v>
      </c>
      <c r="F34" s="12">
        <v>1</v>
      </c>
      <c r="G34" s="12" t="s">
        <v>190</v>
      </c>
      <c r="H34" s="12" t="s">
        <v>73</v>
      </c>
      <c r="I34" s="12">
        <v>50111879</v>
      </c>
      <c r="J34" s="41" t="s">
        <v>2163</v>
      </c>
      <c r="K34" s="41" t="s">
        <v>2163</v>
      </c>
      <c r="L34" s="41" t="s">
        <v>3763</v>
      </c>
    </row>
    <row r="35" spans="1:12" x14ac:dyDescent="0.2">
      <c r="A35" s="12" t="s">
        <v>5202</v>
      </c>
      <c r="B35" s="41" t="s">
        <v>1</v>
      </c>
      <c r="C35" s="12">
        <v>95831183</v>
      </c>
      <c r="D35" s="12">
        <v>95847046</v>
      </c>
      <c r="E35" s="12" t="s">
        <v>3943</v>
      </c>
      <c r="F35" s="12">
        <v>3</v>
      </c>
      <c r="G35" s="12" t="s">
        <v>431</v>
      </c>
      <c r="H35" s="12" t="s">
        <v>1</v>
      </c>
      <c r="I35" s="12">
        <v>95831183</v>
      </c>
      <c r="J35" s="41" t="s">
        <v>2230</v>
      </c>
      <c r="K35" s="41" t="s">
        <v>2230</v>
      </c>
      <c r="L35" s="41" t="s">
        <v>8360</v>
      </c>
    </row>
    <row r="36" spans="1:12" x14ac:dyDescent="0.2">
      <c r="A36" s="12" t="s">
        <v>4582</v>
      </c>
      <c r="B36" s="41" t="s">
        <v>175</v>
      </c>
      <c r="C36" s="12">
        <v>28234788</v>
      </c>
      <c r="D36" s="12">
        <v>28239933</v>
      </c>
      <c r="E36" s="12" t="s">
        <v>3940</v>
      </c>
      <c r="F36" s="12">
        <v>1</v>
      </c>
      <c r="G36" s="12" t="s">
        <v>174</v>
      </c>
      <c r="H36" s="12" t="s">
        <v>175</v>
      </c>
      <c r="I36" s="12">
        <v>28234788</v>
      </c>
      <c r="J36" s="41" t="s">
        <v>2152</v>
      </c>
      <c r="K36" s="41" t="s">
        <v>2152</v>
      </c>
      <c r="L36" s="41" t="s">
        <v>3763</v>
      </c>
    </row>
    <row r="37" spans="1:12" x14ac:dyDescent="0.2">
      <c r="A37" s="12" t="s">
        <v>5100</v>
      </c>
      <c r="B37" s="41" t="s">
        <v>175</v>
      </c>
      <c r="C37" s="12">
        <v>28234788</v>
      </c>
      <c r="D37" s="12">
        <v>28239933</v>
      </c>
      <c r="E37" s="12" t="s">
        <v>3940</v>
      </c>
      <c r="F37" s="12">
        <v>1</v>
      </c>
      <c r="G37" s="12" t="s">
        <v>174</v>
      </c>
      <c r="H37" s="12" t="s">
        <v>175</v>
      </c>
      <c r="I37" s="12">
        <v>28234788</v>
      </c>
      <c r="J37" s="41" t="s">
        <v>2152</v>
      </c>
      <c r="K37" s="41" t="s">
        <v>2152</v>
      </c>
      <c r="L37" s="41" t="s">
        <v>3763</v>
      </c>
    </row>
    <row r="38" spans="1:12" x14ac:dyDescent="0.2">
      <c r="A38" s="12" t="s">
        <v>5609</v>
      </c>
      <c r="B38" s="41" t="s">
        <v>36</v>
      </c>
      <c r="C38" s="12">
        <v>67777790</v>
      </c>
      <c r="D38" s="12">
        <v>67789294</v>
      </c>
      <c r="E38" s="12" t="s">
        <v>3940</v>
      </c>
      <c r="F38" s="12">
        <v>1</v>
      </c>
      <c r="G38" s="12" t="s">
        <v>191</v>
      </c>
      <c r="H38" s="12" t="s">
        <v>36</v>
      </c>
      <c r="I38" s="12">
        <v>67777790</v>
      </c>
      <c r="J38" s="41" t="s">
        <v>2157</v>
      </c>
      <c r="K38" s="41" t="s">
        <v>2157</v>
      </c>
      <c r="L38" s="41" t="s">
        <v>3763</v>
      </c>
    </row>
    <row r="39" spans="1:12" x14ac:dyDescent="0.2">
      <c r="A39" s="12" t="s">
        <v>5609</v>
      </c>
      <c r="B39" s="41" t="s">
        <v>36</v>
      </c>
      <c r="C39" s="12">
        <v>67777790</v>
      </c>
      <c r="D39" s="12">
        <v>67795380</v>
      </c>
      <c r="E39" s="12" t="s">
        <v>3940</v>
      </c>
      <c r="F39" s="12">
        <v>1</v>
      </c>
      <c r="G39" s="12" t="s">
        <v>191</v>
      </c>
      <c r="H39" s="12" t="s">
        <v>36</v>
      </c>
      <c r="I39" s="12">
        <v>67777790</v>
      </c>
      <c r="J39" s="41" t="s">
        <v>2157</v>
      </c>
      <c r="K39" s="41" t="s">
        <v>2157</v>
      </c>
      <c r="L39" s="41" t="s">
        <v>3763</v>
      </c>
    </row>
    <row r="40" spans="1:12" x14ac:dyDescent="0.2">
      <c r="A40" s="12" t="s">
        <v>5405</v>
      </c>
      <c r="B40" s="41" t="s">
        <v>36</v>
      </c>
      <c r="C40" s="12">
        <v>111807927</v>
      </c>
      <c r="D40" s="12">
        <v>111853108</v>
      </c>
      <c r="E40" s="12" t="s">
        <v>3940</v>
      </c>
      <c r="F40" s="12">
        <v>1</v>
      </c>
      <c r="G40" s="12" t="s">
        <v>68</v>
      </c>
      <c r="H40" s="12" t="s">
        <v>36</v>
      </c>
      <c r="I40" s="12">
        <v>111807927</v>
      </c>
      <c r="J40" s="41" t="s">
        <v>2091</v>
      </c>
      <c r="K40" s="41" t="s">
        <v>2091</v>
      </c>
      <c r="L40" s="41" t="s">
        <v>3899</v>
      </c>
    </row>
    <row r="41" spans="1:12" x14ac:dyDescent="0.2">
      <c r="A41" s="12" t="s">
        <v>4575</v>
      </c>
      <c r="B41" s="41" t="s">
        <v>40</v>
      </c>
      <c r="C41" s="12">
        <v>153584419</v>
      </c>
      <c r="D41" s="12">
        <v>154264004</v>
      </c>
      <c r="E41" s="12" t="s">
        <v>3943</v>
      </c>
      <c r="F41" s="12">
        <v>2</v>
      </c>
      <c r="G41" s="12" t="s">
        <v>245</v>
      </c>
      <c r="H41" s="12" t="s">
        <v>40</v>
      </c>
      <c r="I41" s="12">
        <v>153584419</v>
      </c>
      <c r="J41" s="41" t="s">
        <v>8417</v>
      </c>
      <c r="K41" s="41" t="s">
        <v>8417</v>
      </c>
      <c r="L41" s="41" t="s">
        <v>3763</v>
      </c>
    </row>
    <row r="42" spans="1:12" x14ac:dyDescent="0.2">
      <c r="A42" s="12" t="s">
        <v>4575</v>
      </c>
      <c r="B42" s="41" t="s">
        <v>40</v>
      </c>
      <c r="C42" s="12">
        <v>153584419</v>
      </c>
      <c r="D42" s="12">
        <v>154264011</v>
      </c>
      <c r="E42" s="12" t="s">
        <v>3940</v>
      </c>
      <c r="F42" s="12">
        <v>4</v>
      </c>
      <c r="G42" s="12" t="s">
        <v>245</v>
      </c>
      <c r="H42" s="12" t="s">
        <v>40</v>
      </c>
      <c r="I42" s="12">
        <v>153584419</v>
      </c>
      <c r="J42" s="41" t="s">
        <v>2252</v>
      </c>
      <c r="K42" s="41" t="s">
        <v>8417</v>
      </c>
      <c r="L42" s="41" t="s">
        <v>3763</v>
      </c>
    </row>
    <row r="43" spans="1:12" x14ac:dyDescent="0.2">
      <c r="A43" s="12" t="s">
        <v>5413</v>
      </c>
      <c r="B43" s="41" t="s">
        <v>121</v>
      </c>
      <c r="C43" s="12">
        <v>135800</v>
      </c>
      <c r="D43" s="12">
        <v>138772</v>
      </c>
      <c r="E43" s="12" t="s">
        <v>3940</v>
      </c>
      <c r="F43" s="12">
        <v>1</v>
      </c>
      <c r="G43" s="12" t="s">
        <v>192</v>
      </c>
      <c r="H43" s="12" t="s">
        <v>121</v>
      </c>
      <c r="I43" s="12">
        <v>135800</v>
      </c>
      <c r="J43" s="41" t="s">
        <v>2179</v>
      </c>
      <c r="K43" s="41" t="s">
        <v>2179</v>
      </c>
      <c r="L43" s="41" t="s">
        <v>3763</v>
      </c>
    </row>
    <row r="44" spans="1:12" x14ac:dyDescent="0.2">
      <c r="A44" s="12" t="s">
        <v>5352</v>
      </c>
      <c r="B44" s="41" t="s">
        <v>50</v>
      </c>
      <c r="C44" s="12">
        <v>36249044</v>
      </c>
      <c r="D44" s="12">
        <v>36258939</v>
      </c>
      <c r="E44" s="12" t="s">
        <v>3943</v>
      </c>
      <c r="F44" s="12">
        <v>1</v>
      </c>
      <c r="G44" s="12" t="s">
        <v>49</v>
      </c>
      <c r="H44" s="12" t="s">
        <v>50</v>
      </c>
      <c r="I44" s="12">
        <v>36249044</v>
      </c>
      <c r="J44" s="41" t="s">
        <v>2080</v>
      </c>
      <c r="K44" s="41" t="s">
        <v>2080</v>
      </c>
      <c r="L44" s="41" t="s">
        <v>3763</v>
      </c>
    </row>
    <row r="45" spans="1:12" x14ac:dyDescent="0.2">
      <c r="A45" s="12" t="s">
        <v>5509</v>
      </c>
      <c r="B45" s="41" t="s">
        <v>50</v>
      </c>
      <c r="C45" s="12">
        <v>41103141</v>
      </c>
      <c r="D45" s="12">
        <v>41123095</v>
      </c>
      <c r="E45" s="12" t="s">
        <v>3940</v>
      </c>
      <c r="F45" s="12">
        <v>1</v>
      </c>
      <c r="G45" s="12" t="s">
        <v>98</v>
      </c>
      <c r="H45" s="12" t="s">
        <v>50</v>
      </c>
      <c r="I45" s="12">
        <v>41103141</v>
      </c>
      <c r="J45" s="41" t="s">
        <v>2105</v>
      </c>
      <c r="K45" s="41" t="s">
        <v>2105</v>
      </c>
      <c r="L45" s="41" t="s">
        <v>3763</v>
      </c>
    </row>
    <row r="46" spans="1:12" x14ac:dyDescent="0.2">
      <c r="A46" s="12" t="s">
        <v>5501</v>
      </c>
      <c r="B46" s="41" t="s">
        <v>50</v>
      </c>
      <c r="C46" s="12">
        <v>41107277</v>
      </c>
      <c r="D46" s="12">
        <v>41123095</v>
      </c>
      <c r="E46" s="12" t="s">
        <v>3940</v>
      </c>
      <c r="F46" s="12">
        <v>1</v>
      </c>
      <c r="G46" s="12" t="s">
        <v>99</v>
      </c>
      <c r="H46" s="12" t="s">
        <v>50</v>
      </c>
      <c r="I46" s="12">
        <v>41107277</v>
      </c>
      <c r="J46" s="41" t="s">
        <v>2106</v>
      </c>
      <c r="K46" s="41" t="s">
        <v>2106</v>
      </c>
      <c r="L46" s="41" t="s">
        <v>3763</v>
      </c>
    </row>
    <row r="47" spans="1:12" x14ac:dyDescent="0.2">
      <c r="A47" s="12" t="s">
        <v>4090</v>
      </c>
      <c r="B47" s="41" t="s">
        <v>50</v>
      </c>
      <c r="C47" s="12">
        <v>4909510</v>
      </c>
      <c r="D47" s="12">
        <v>4954680</v>
      </c>
      <c r="E47" s="12" t="s">
        <v>3940</v>
      </c>
      <c r="F47" s="12">
        <v>1</v>
      </c>
      <c r="G47" s="12" t="s">
        <v>193</v>
      </c>
      <c r="H47" s="12" t="s">
        <v>50</v>
      </c>
      <c r="I47" s="12">
        <v>4909510</v>
      </c>
      <c r="J47" s="41" t="s">
        <v>2202</v>
      </c>
      <c r="K47" s="41" t="s">
        <v>2202</v>
      </c>
      <c r="L47" s="41" t="s">
        <v>3763</v>
      </c>
    </row>
    <row r="48" spans="1:12" x14ac:dyDescent="0.2">
      <c r="A48" s="12" t="s">
        <v>5059</v>
      </c>
      <c r="B48" s="41" t="s">
        <v>81</v>
      </c>
      <c r="C48" s="12">
        <v>24641234</v>
      </c>
      <c r="D48" s="12">
        <v>24646413</v>
      </c>
      <c r="E48" s="12" t="s">
        <v>3940</v>
      </c>
      <c r="F48" s="12">
        <v>3</v>
      </c>
      <c r="G48" s="12" t="s">
        <v>1071</v>
      </c>
      <c r="H48" s="12" t="s">
        <v>81</v>
      </c>
      <c r="I48" s="12">
        <v>24641234</v>
      </c>
      <c r="J48" s="41" t="s">
        <v>2275</v>
      </c>
      <c r="K48" s="41" t="s">
        <v>2275</v>
      </c>
      <c r="L48" s="41" t="s">
        <v>8343</v>
      </c>
    </row>
    <row r="49" spans="1:12" x14ac:dyDescent="0.2">
      <c r="A49" s="12" t="s">
        <v>5023</v>
      </c>
      <c r="B49" s="41" t="s">
        <v>36</v>
      </c>
      <c r="C49" s="12">
        <v>112831969</v>
      </c>
      <c r="D49" s="12">
        <v>112832308</v>
      </c>
      <c r="E49" s="12" t="s">
        <v>3940</v>
      </c>
      <c r="F49" s="12">
        <v>1</v>
      </c>
      <c r="G49" s="12" t="s">
        <v>984</v>
      </c>
      <c r="H49" s="12" t="s">
        <v>36</v>
      </c>
      <c r="I49" s="12">
        <v>112831969</v>
      </c>
      <c r="J49" s="41" t="s">
        <v>3364</v>
      </c>
      <c r="K49" s="41" t="s">
        <v>3364</v>
      </c>
      <c r="L49" s="41" t="s">
        <v>3763</v>
      </c>
    </row>
    <row r="50" spans="1:12" x14ac:dyDescent="0.2">
      <c r="A50" s="12" t="s">
        <v>5023</v>
      </c>
      <c r="B50" s="41" t="s">
        <v>36</v>
      </c>
      <c r="C50" s="12">
        <v>112831969</v>
      </c>
      <c r="D50" s="12">
        <v>112832339</v>
      </c>
      <c r="E50" s="12" t="s">
        <v>3943</v>
      </c>
      <c r="F50" s="12">
        <v>1</v>
      </c>
      <c r="G50" s="12" t="s">
        <v>984</v>
      </c>
      <c r="H50" s="12" t="s">
        <v>36</v>
      </c>
      <c r="I50" s="12">
        <v>112831969</v>
      </c>
      <c r="J50" s="41" t="s">
        <v>3364</v>
      </c>
      <c r="K50" s="41" t="s">
        <v>3364</v>
      </c>
      <c r="L50" s="41" t="s">
        <v>3763</v>
      </c>
    </row>
    <row r="51" spans="1:12" x14ac:dyDescent="0.2">
      <c r="A51" s="12" t="s">
        <v>4236</v>
      </c>
      <c r="B51" s="41" t="s">
        <v>50</v>
      </c>
      <c r="C51" s="12">
        <v>2328629</v>
      </c>
      <c r="D51" s="12">
        <v>2340156</v>
      </c>
      <c r="E51" s="12" t="s">
        <v>3940</v>
      </c>
      <c r="F51" s="12">
        <v>1</v>
      </c>
      <c r="G51" s="12" t="s">
        <v>158</v>
      </c>
      <c r="H51" s="12" t="s">
        <v>50</v>
      </c>
      <c r="I51" s="12">
        <v>2328629</v>
      </c>
      <c r="J51" s="41" t="s">
        <v>2142</v>
      </c>
      <c r="K51" s="41" t="s">
        <v>2142</v>
      </c>
      <c r="L51" s="41" t="s">
        <v>3763</v>
      </c>
    </row>
    <row r="52" spans="1:12" x14ac:dyDescent="0.2">
      <c r="A52" s="12" t="s">
        <v>4584</v>
      </c>
      <c r="B52" s="41" t="s">
        <v>121</v>
      </c>
      <c r="C52" s="12">
        <v>135800</v>
      </c>
      <c r="D52" s="12">
        <v>138772</v>
      </c>
      <c r="E52" s="12" t="s">
        <v>3940</v>
      </c>
      <c r="F52" s="12">
        <v>1</v>
      </c>
      <c r="G52" s="12" t="s">
        <v>194</v>
      </c>
      <c r="H52" s="12" t="s">
        <v>121</v>
      </c>
      <c r="I52" s="12">
        <v>135800</v>
      </c>
      <c r="J52" s="41" t="s">
        <v>2180</v>
      </c>
      <c r="K52" s="41" t="s">
        <v>2180</v>
      </c>
      <c r="L52" s="41" t="s">
        <v>3763</v>
      </c>
    </row>
    <row r="53" spans="1:12" x14ac:dyDescent="0.2">
      <c r="A53" s="12" t="s">
        <v>4965</v>
      </c>
      <c r="B53" s="41" t="s">
        <v>103</v>
      </c>
      <c r="C53" s="12">
        <v>143738874</v>
      </c>
      <c r="D53" s="12">
        <v>143746087</v>
      </c>
      <c r="E53" s="12" t="s">
        <v>3943</v>
      </c>
      <c r="F53" s="12">
        <v>2</v>
      </c>
      <c r="G53" s="12" t="s">
        <v>793</v>
      </c>
      <c r="H53" s="12" t="s">
        <v>103</v>
      </c>
      <c r="I53" s="12">
        <v>143738874</v>
      </c>
      <c r="J53" s="41" t="s">
        <v>3353</v>
      </c>
      <c r="K53" s="41" t="s">
        <v>3353</v>
      </c>
      <c r="L53" s="41" t="s">
        <v>8428</v>
      </c>
    </row>
    <row r="54" spans="1:12" x14ac:dyDescent="0.2">
      <c r="A54" s="12" t="s">
        <v>4965</v>
      </c>
      <c r="B54" s="41" t="s">
        <v>103</v>
      </c>
      <c r="C54" s="12">
        <v>143738874</v>
      </c>
      <c r="D54" s="12">
        <v>143739805</v>
      </c>
      <c r="E54" s="12" t="s">
        <v>3940</v>
      </c>
      <c r="F54" s="12">
        <v>2</v>
      </c>
      <c r="G54" s="12" t="s">
        <v>793</v>
      </c>
      <c r="H54" s="12" t="s">
        <v>103</v>
      </c>
      <c r="I54" s="12">
        <v>143738874</v>
      </c>
      <c r="J54" s="41" t="s">
        <v>3353</v>
      </c>
      <c r="K54" s="41" t="s">
        <v>3353</v>
      </c>
      <c r="L54" s="41" t="s">
        <v>8428</v>
      </c>
    </row>
    <row r="55" spans="1:12" x14ac:dyDescent="0.2">
      <c r="A55" s="12" t="s">
        <v>3958</v>
      </c>
      <c r="B55" s="41" t="s">
        <v>36</v>
      </c>
      <c r="C55" s="12">
        <v>111652919</v>
      </c>
      <c r="D55" s="12">
        <v>111742145</v>
      </c>
      <c r="E55" s="12" t="s">
        <v>3943</v>
      </c>
      <c r="F55" s="12">
        <v>1</v>
      </c>
      <c r="G55" s="12" t="s">
        <v>35</v>
      </c>
      <c r="H55" s="12" t="s">
        <v>36</v>
      </c>
      <c r="I55" s="12">
        <v>111652919</v>
      </c>
      <c r="J55" s="41" t="s">
        <v>2074</v>
      </c>
      <c r="K55" s="41" t="s">
        <v>2074</v>
      </c>
      <c r="L55" s="41" t="s">
        <v>3763</v>
      </c>
    </row>
    <row r="56" spans="1:12" x14ac:dyDescent="0.2">
      <c r="A56" s="12" t="s">
        <v>4995</v>
      </c>
      <c r="B56" s="41" t="s">
        <v>86</v>
      </c>
      <c r="C56" s="12">
        <v>14530619</v>
      </c>
      <c r="D56" s="12">
        <v>14561627</v>
      </c>
      <c r="E56" s="12" t="s">
        <v>3940</v>
      </c>
      <c r="F56" s="12">
        <v>1</v>
      </c>
      <c r="G56" s="12" t="s">
        <v>85</v>
      </c>
      <c r="H56" s="12" t="s">
        <v>86</v>
      </c>
      <c r="I56" s="12">
        <v>14530619</v>
      </c>
      <c r="J56" s="41" t="s">
        <v>2099</v>
      </c>
      <c r="K56" s="41" t="s">
        <v>2099</v>
      </c>
      <c r="L56" s="41" t="s">
        <v>3763</v>
      </c>
    </row>
    <row r="57" spans="1:12" x14ac:dyDescent="0.2">
      <c r="A57" s="12" t="s">
        <v>5233</v>
      </c>
      <c r="B57" s="41" t="s">
        <v>86</v>
      </c>
      <c r="C57" s="12">
        <v>14530619</v>
      </c>
      <c r="D57" s="12">
        <v>14561627</v>
      </c>
      <c r="E57" s="12" t="s">
        <v>3940</v>
      </c>
      <c r="F57" s="12">
        <v>1</v>
      </c>
      <c r="G57" s="12" t="s">
        <v>85</v>
      </c>
      <c r="H57" s="12" t="s">
        <v>86</v>
      </c>
      <c r="I57" s="12">
        <v>14530619</v>
      </c>
      <c r="J57" s="41" t="s">
        <v>2099</v>
      </c>
      <c r="K57" s="41" t="s">
        <v>2099</v>
      </c>
      <c r="L57" s="41" t="s">
        <v>3763</v>
      </c>
    </row>
    <row r="58" spans="1:12" x14ac:dyDescent="0.2">
      <c r="A58" s="12" t="s">
        <v>5268</v>
      </c>
      <c r="B58" s="41" t="s">
        <v>47</v>
      </c>
      <c r="C58" s="12">
        <v>79373540</v>
      </c>
      <c r="D58" s="12">
        <v>79373717</v>
      </c>
      <c r="E58" s="12" t="s">
        <v>3940</v>
      </c>
      <c r="F58" s="12">
        <v>92</v>
      </c>
      <c r="G58" s="12" t="s">
        <v>1206</v>
      </c>
      <c r="H58" s="12" t="s">
        <v>47</v>
      </c>
      <c r="I58" s="12">
        <v>79373540</v>
      </c>
      <c r="J58" s="41" t="s">
        <v>2280</v>
      </c>
      <c r="K58" s="41" t="s">
        <v>2280</v>
      </c>
      <c r="L58" s="41" t="s">
        <v>8434</v>
      </c>
    </row>
    <row r="59" spans="1:12" x14ac:dyDescent="0.2">
      <c r="A59" s="12" t="s">
        <v>5268</v>
      </c>
      <c r="B59" s="41" t="s">
        <v>47</v>
      </c>
      <c r="C59" s="12">
        <v>79373540</v>
      </c>
      <c r="D59" s="12">
        <v>79394672</v>
      </c>
      <c r="E59" s="12" t="s">
        <v>3940</v>
      </c>
      <c r="F59" s="12">
        <v>75</v>
      </c>
      <c r="G59" s="12" t="s">
        <v>1206</v>
      </c>
      <c r="H59" s="12" t="s">
        <v>47</v>
      </c>
      <c r="I59" s="12">
        <v>79373540</v>
      </c>
      <c r="J59" s="41" t="s">
        <v>2280</v>
      </c>
      <c r="K59" s="41" t="s">
        <v>2280</v>
      </c>
      <c r="L59" s="41" t="s">
        <v>8434</v>
      </c>
    </row>
    <row r="60" spans="1:12" x14ac:dyDescent="0.2">
      <c r="A60" s="12" t="s">
        <v>5587</v>
      </c>
      <c r="B60" s="41" t="s">
        <v>103</v>
      </c>
      <c r="C60" s="12">
        <v>48685669</v>
      </c>
      <c r="D60" s="12">
        <v>48805816</v>
      </c>
      <c r="E60" s="12" t="s">
        <v>3940</v>
      </c>
      <c r="F60" s="12">
        <v>1</v>
      </c>
      <c r="G60" s="12" t="s">
        <v>133</v>
      </c>
      <c r="H60" s="12" t="s">
        <v>103</v>
      </c>
      <c r="I60" s="12">
        <v>48685669</v>
      </c>
      <c r="J60" s="41" t="s">
        <v>2126</v>
      </c>
      <c r="K60" s="41" t="s">
        <v>2126</v>
      </c>
      <c r="L60" s="41" t="s">
        <v>3763</v>
      </c>
    </row>
    <row r="61" spans="1:12" x14ac:dyDescent="0.2">
      <c r="A61" s="12" t="s">
        <v>4893</v>
      </c>
      <c r="B61" s="41" t="s">
        <v>103</v>
      </c>
      <c r="C61" s="12">
        <v>86126288</v>
      </c>
      <c r="D61" s="12">
        <v>86126827</v>
      </c>
      <c r="E61" s="12" t="s">
        <v>3940</v>
      </c>
      <c r="F61" s="12">
        <v>6</v>
      </c>
      <c r="G61" s="12" t="s">
        <v>788</v>
      </c>
      <c r="H61" s="12" t="s">
        <v>103</v>
      </c>
      <c r="I61" s="12">
        <v>86126288</v>
      </c>
      <c r="J61" s="41" t="s">
        <v>2219</v>
      </c>
      <c r="K61" s="41" t="s">
        <v>2219</v>
      </c>
      <c r="L61" s="41" t="s">
        <v>8335</v>
      </c>
    </row>
    <row r="62" spans="1:12" x14ac:dyDescent="0.2">
      <c r="A62" s="12" t="s">
        <v>5495</v>
      </c>
      <c r="B62" s="41" t="s">
        <v>103</v>
      </c>
      <c r="C62" s="12">
        <v>86126288</v>
      </c>
      <c r="D62" s="12">
        <v>86126827</v>
      </c>
      <c r="E62" s="12" t="s">
        <v>3940</v>
      </c>
      <c r="F62" s="12">
        <v>6</v>
      </c>
      <c r="G62" s="12" t="s">
        <v>788</v>
      </c>
      <c r="H62" s="12" t="s">
        <v>103</v>
      </c>
      <c r="I62" s="12">
        <v>86126288</v>
      </c>
      <c r="J62" s="41" t="s">
        <v>2219</v>
      </c>
      <c r="K62" s="41" t="s">
        <v>2219</v>
      </c>
      <c r="L62" s="41" t="s">
        <v>8335</v>
      </c>
    </row>
    <row r="63" spans="1:12" x14ac:dyDescent="0.2">
      <c r="A63" s="12" t="s">
        <v>4183</v>
      </c>
      <c r="B63" s="41" t="s">
        <v>103</v>
      </c>
      <c r="C63" s="12">
        <v>86126288</v>
      </c>
      <c r="D63" s="12">
        <v>86126827</v>
      </c>
      <c r="E63" s="12" t="s">
        <v>3940</v>
      </c>
      <c r="F63" s="12">
        <v>6</v>
      </c>
      <c r="G63" s="12" t="s">
        <v>786</v>
      </c>
      <c r="H63" s="12" t="s">
        <v>103</v>
      </c>
      <c r="I63" s="12">
        <v>86126288</v>
      </c>
      <c r="J63" s="41" t="s">
        <v>2217</v>
      </c>
      <c r="K63" s="41" t="s">
        <v>2217</v>
      </c>
      <c r="L63" s="41" t="s">
        <v>8335</v>
      </c>
    </row>
    <row r="64" spans="1:12" x14ac:dyDescent="0.2">
      <c r="A64" s="12" t="s">
        <v>5591</v>
      </c>
      <c r="B64" s="41" t="s">
        <v>103</v>
      </c>
      <c r="C64" s="12">
        <v>86126288</v>
      </c>
      <c r="D64" s="12">
        <v>86126827</v>
      </c>
      <c r="E64" s="12" t="s">
        <v>3940</v>
      </c>
      <c r="F64" s="12">
        <v>6</v>
      </c>
      <c r="G64" s="12" t="s">
        <v>786</v>
      </c>
      <c r="H64" s="12" t="s">
        <v>103</v>
      </c>
      <c r="I64" s="12">
        <v>86126288</v>
      </c>
      <c r="J64" s="41" t="s">
        <v>2217</v>
      </c>
      <c r="K64" s="41" t="s">
        <v>2217</v>
      </c>
      <c r="L64" s="41" t="s">
        <v>8335</v>
      </c>
    </row>
    <row r="65" spans="1:12" x14ac:dyDescent="0.2">
      <c r="A65" s="12" t="s">
        <v>5326</v>
      </c>
      <c r="B65" s="41" t="s">
        <v>103</v>
      </c>
      <c r="C65" s="12">
        <v>86126288</v>
      </c>
      <c r="D65" s="12">
        <v>86126827</v>
      </c>
      <c r="E65" s="12" t="s">
        <v>3940</v>
      </c>
      <c r="F65" s="12">
        <v>6</v>
      </c>
      <c r="G65" s="12" t="s">
        <v>787</v>
      </c>
      <c r="H65" s="12" t="s">
        <v>103</v>
      </c>
      <c r="I65" s="12">
        <v>86126288</v>
      </c>
      <c r="J65" s="41" t="s">
        <v>2218</v>
      </c>
      <c r="K65" s="41" t="s">
        <v>2218</v>
      </c>
      <c r="L65" s="41" t="s">
        <v>8335</v>
      </c>
    </row>
    <row r="66" spans="1:12" x14ac:dyDescent="0.2">
      <c r="A66" s="12" t="s">
        <v>5369</v>
      </c>
      <c r="B66" s="41" t="s">
        <v>103</v>
      </c>
      <c r="C66" s="12">
        <v>86126288</v>
      </c>
      <c r="D66" s="12">
        <v>86126827</v>
      </c>
      <c r="E66" s="12" t="s">
        <v>3940</v>
      </c>
      <c r="F66" s="12">
        <v>6</v>
      </c>
      <c r="G66" s="12" t="s">
        <v>787</v>
      </c>
      <c r="H66" s="12" t="s">
        <v>103</v>
      </c>
      <c r="I66" s="12">
        <v>86126288</v>
      </c>
      <c r="J66" s="41" t="s">
        <v>2218</v>
      </c>
      <c r="K66" s="41" t="s">
        <v>2218</v>
      </c>
      <c r="L66" s="41" t="s">
        <v>8335</v>
      </c>
    </row>
    <row r="67" spans="1:12" x14ac:dyDescent="0.2">
      <c r="A67" s="12" t="s">
        <v>5592</v>
      </c>
      <c r="B67" s="41" t="s">
        <v>103</v>
      </c>
      <c r="C67" s="12">
        <v>86126288</v>
      </c>
      <c r="D67" s="12">
        <v>86126827</v>
      </c>
      <c r="E67" s="12" t="s">
        <v>3940</v>
      </c>
      <c r="F67" s="12">
        <v>6</v>
      </c>
      <c r="G67" s="12" t="s">
        <v>785</v>
      </c>
      <c r="H67" s="12" t="s">
        <v>103</v>
      </c>
      <c r="I67" s="12">
        <v>86126288</v>
      </c>
      <c r="J67" s="41" t="s">
        <v>2216</v>
      </c>
      <c r="K67" s="41" t="s">
        <v>2216</v>
      </c>
      <c r="L67" s="41" t="s">
        <v>8335</v>
      </c>
    </row>
    <row r="68" spans="1:12" x14ac:dyDescent="0.2">
      <c r="A68" s="12" t="s">
        <v>4760</v>
      </c>
      <c r="B68" s="41" t="s">
        <v>103</v>
      </c>
      <c r="C68" s="12">
        <v>86126288</v>
      </c>
      <c r="D68" s="12">
        <v>86126827</v>
      </c>
      <c r="E68" s="12" t="s">
        <v>3940</v>
      </c>
      <c r="F68" s="12">
        <v>6</v>
      </c>
      <c r="G68" s="12" t="s">
        <v>785</v>
      </c>
      <c r="H68" s="12" t="s">
        <v>103</v>
      </c>
      <c r="I68" s="12">
        <v>86126288</v>
      </c>
      <c r="J68" s="41" t="s">
        <v>2216</v>
      </c>
      <c r="K68" s="41" t="s">
        <v>2216</v>
      </c>
      <c r="L68" s="41" t="s">
        <v>8335</v>
      </c>
    </row>
    <row r="69" spans="1:12" x14ac:dyDescent="0.2">
      <c r="A69" s="12" t="s">
        <v>4196</v>
      </c>
      <c r="B69" s="41" t="s">
        <v>50</v>
      </c>
      <c r="C69" s="12">
        <v>45010211</v>
      </c>
      <c r="D69" s="12">
        <v>45016990</v>
      </c>
      <c r="E69" s="12" t="s">
        <v>3943</v>
      </c>
      <c r="F69" s="12">
        <v>1</v>
      </c>
      <c r="G69" s="12" t="s">
        <v>57</v>
      </c>
      <c r="H69" s="12" t="s">
        <v>50</v>
      </c>
      <c r="I69" s="12">
        <v>45010211</v>
      </c>
      <c r="J69" s="41" t="s">
        <v>2084</v>
      </c>
      <c r="K69" s="41" t="s">
        <v>2084</v>
      </c>
      <c r="L69" s="41" t="s">
        <v>3763</v>
      </c>
    </row>
    <row r="70" spans="1:12" x14ac:dyDescent="0.2">
      <c r="A70" s="12" t="s">
        <v>5436</v>
      </c>
      <c r="B70" s="41" t="s">
        <v>50</v>
      </c>
      <c r="C70" s="12">
        <v>45010211</v>
      </c>
      <c r="D70" s="12">
        <v>45016990</v>
      </c>
      <c r="E70" s="12" t="s">
        <v>3943</v>
      </c>
      <c r="F70" s="12">
        <v>1</v>
      </c>
      <c r="G70" s="12" t="s">
        <v>57</v>
      </c>
      <c r="H70" s="12" t="s">
        <v>50</v>
      </c>
      <c r="I70" s="12">
        <v>45010211</v>
      </c>
      <c r="J70" s="41" t="s">
        <v>2084</v>
      </c>
      <c r="K70" s="41" t="s">
        <v>2084</v>
      </c>
      <c r="L70" s="41" t="s">
        <v>3763</v>
      </c>
    </row>
    <row r="71" spans="1:12" x14ac:dyDescent="0.2">
      <c r="A71" s="12" t="s">
        <v>4292</v>
      </c>
      <c r="B71" s="41" t="s">
        <v>50</v>
      </c>
      <c r="C71" s="12">
        <v>45010211</v>
      </c>
      <c r="D71" s="12">
        <v>45016990</v>
      </c>
      <c r="E71" s="12" t="s">
        <v>3943</v>
      </c>
      <c r="F71" s="12">
        <v>1</v>
      </c>
      <c r="G71" s="12" t="s">
        <v>58</v>
      </c>
      <c r="H71" s="12" t="s">
        <v>50</v>
      </c>
      <c r="I71" s="12">
        <v>45010211</v>
      </c>
      <c r="J71" s="41" t="s">
        <v>2085</v>
      </c>
      <c r="K71" s="41" t="s">
        <v>2085</v>
      </c>
      <c r="L71" s="41" t="s">
        <v>3763</v>
      </c>
    </row>
    <row r="72" spans="1:12" x14ac:dyDescent="0.2">
      <c r="A72" s="12" t="s">
        <v>5543</v>
      </c>
      <c r="B72" s="41" t="s">
        <v>50</v>
      </c>
      <c r="C72" s="12">
        <v>45010211</v>
      </c>
      <c r="D72" s="12">
        <v>45016990</v>
      </c>
      <c r="E72" s="12" t="s">
        <v>3943</v>
      </c>
      <c r="F72" s="12">
        <v>1</v>
      </c>
      <c r="G72" s="12" t="s">
        <v>58</v>
      </c>
      <c r="H72" s="12" t="s">
        <v>50</v>
      </c>
      <c r="I72" s="12">
        <v>45010211</v>
      </c>
      <c r="J72" s="41" t="s">
        <v>2085</v>
      </c>
      <c r="K72" s="41" t="s">
        <v>2085</v>
      </c>
      <c r="L72" s="41" t="s">
        <v>3763</v>
      </c>
    </row>
    <row r="73" spans="1:12" x14ac:dyDescent="0.2">
      <c r="A73" s="12" t="s">
        <v>5210</v>
      </c>
      <c r="B73" s="41" t="s">
        <v>50</v>
      </c>
      <c r="C73" s="12">
        <v>45010211</v>
      </c>
      <c r="D73" s="12">
        <v>45016990</v>
      </c>
      <c r="E73" s="12" t="s">
        <v>3943</v>
      </c>
      <c r="F73" s="12">
        <v>1</v>
      </c>
      <c r="G73" s="12" t="s">
        <v>59</v>
      </c>
      <c r="H73" s="12" t="s">
        <v>50</v>
      </c>
      <c r="I73" s="12">
        <v>45010211</v>
      </c>
      <c r="J73" s="41" t="s">
        <v>2086</v>
      </c>
      <c r="K73" s="41" t="s">
        <v>2086</v>
      </c>
      <c r="L73" s="41" t="s">
        <v>3763</v>
      </c>
    </row>
    <row r="74" spans="1:12" x14ac:dyDescent="0.2">
      <c r="A74" s="12" t="s">
        <v>5093</v>
      </c>
      <c r="B74" s="41" t="s">
        <v>50</v>
      </c>
      <c r="C74" s="12">
        <v>45010211</v>
      </c>
      <c r="D74" s="12">
        <v>45016990</v>
      </c>
      <c r="E74" s="12" t="s">
        <v>3943</v>
      </c>
      <c r="F74" s="12">
        <v>1</v>
      </c>
      <c r="G74" s="12" t="s">
        <v>59</v>
      </c>
      <c r="H74" s="12" t="s">
        <v>50</v>
      </c>
      <c r="I74" s="12">
        <v>45010211</v>
      </c>
      <c r="J74" s="41" t="s">
        <v>2086</v>
      </c>
      <c r="K74" s="41" t="s">
        <v>2086</v>
      </c>
      <c r="L74" s="41" t="s">
        <v>3763</v>
      </c>
    </row>
    <row r="75" spans="1:12" x14ac:dyDescent="0.2">
      <c r="A75" s="12" t="s">
        <v>5324</v>
      </c>
      <c r="B75" s="41" t="s">
        <v>50</v>
      </c>
      <c r="C75" s="12">
        <v>45010211</v>
      </c>
      <c r="D75" s="12">
        <v>45016990</v>
      </c>
      <c r="E75" s="12" t="s">
        <v>3943</v>
      </c>
      <c r="F75" s="12">
        <v>1</v>
      </c>
      <c r="G75" s="12" t="s">
        <v>60</v>
      </c>
      <c r="H75" s="12" t="s">
        <v>50</v>
      </c>
      <c r="I75" s="12">
        <v>45010211</v>
      </c>
      <c r="J75" s="41" t="s">
        <v>2087</v>
      </c>
      <c r="K75" s="41" t="s">
        <v>2087</v>
      </c>
      <c r="L75" s="41" t="s">
        <v>3763</v>
      </c>
    </row>
    <row r="76" spans="1:12" x14ac:dyDescent="0.2">
      <c r="A76" s="12" t="s">
        <v>5148</v>
      </c>
      <c r="B76" s="41" t="s">
        <v>50</v>
      </c>
      <c r="C76" s="12">
        <v>45010211</v>
      </c>
      <c r="D76" s="12">
        <v>45016990</v>
      </c>
      <c r="E76" s="12" t="s">
        <v>3943</v>
      </c>
      <c r="F76" s="12">
        <v>1</v>
      </c>
      <c r="G76" s="12" t="s">
        <v>60</v>
      </c>
      <c r="H76" s="12" t="s">
        <v>50</v>
      </c>
      <c r="I76" s="12">
        <v>45010211</v>
      </c>
      <c r="J76" s="41" t="s">
        <v>2087</v>
      </c>
      <c r="K76" s="41" t="s">
        <v>2087</v>
      </c>
      <c r="L76" s="41" t="s">
        <v>3763</v>
      </c>
    </row>
    <row r="77" spans="1:12" x14ac:dyDescent="0.2">
      <c r="A77" s="12" t="s">
        <v>5318</v>
      </c>
      <c r="B77" s="41" t="s">
        <v>47</v>
      </c>
      <c r="C77" s="12">
        <v>6555059</v>
      </c>
      <c r="D77" s="12">
        <v>6555548</v>
      </c>
      <c r="E77" s="12" t="s">
        <v>3940</v>
      </c>
      <c r="F77" s="12">
        <v>1</v>
      </c>
      <c r="G77" s="12" t="s">
        <v>46</v>
      </c>
      <c r="H77" s="12" t="s">
        <v>47</v>
      </c>
      <c r="I77" s="12">
        <v>6555059</v>
      </c>
      <c r="J77" s="41" t="s">
        <v>2079</v>
      </c>
      <c r="K77" s="41" t="s">
        <v>2079</v>
      </c>
      <c r="L77" s="41" t="s">
        <v>3763</v>
      </c>
    </row>
    <row r="78" spans="1:12" x14ac:dyDescent="0.2">
      <c r="A78" s="12" t="s">
        <v>5255</v>
      </c>
      <c r="B78" s="41" t="s">
        <v>40</v>
      </c>
      <c r="C78" s="12">
        <v>75831216</v>
      </c>
      <c r="D78" s="12">
        <v>75914936</v>
      </c>
      <c r="E78" s="12" t="s">
        <v>3940</v>
      </c>
      <c r="F78" s="12">
        <v>1</v>
      </c>
      <c r="G78" s="12" t="s">
        <v>195</v>
      </c>
      <c r="H78" s="12" t="s">
        <v>40</v>
      </c>
      <c r="I78" s="12">
        <v>75831216</v>
      </c>
      <c r="J78" s="41" t="s">
        <v>2198</v>
      </c>
      <c r="K78" s="41" t="s">
        <v>2198</v>
      </c>
      <c r="L78" s="41" t="s">
        <v>3763</v>
      </c>
    </row>
    <row r="79" spans="1:12" x14ac:dyDescent="0.2">
      <c r="A79" s="12" t="s">
        <v>5287</v>
      </c>
      <c r="B79" s="41" t="s">
        <v>175</v>
      </c>
      <c r="C79" s="12">
        <v>28234788</v>
      </c>
      <c r="D79" s="12">
        <v>28239933</v>
      </c>
      <c r="E79" s="12" t="s">
        <v>3940</v>
      </c>
      <c r="F79" s="12">
        <v>1</v>
      </c>
      <c r="G79" s="12" t="s">
        <v>176</v>
      </c>
      <c r="H79" s="12" t="s">
        <v>175</v>
      </c>
      <c r="I79" s="12">
        <v>28234788</v>
      </c>
      <c r="J79" s="41" t="s">
        <v>2153</v>
      </c>
      <c r="K79" s="41" t="s">
        <v>2153</v>
      </c>
      <c r="L79" s="41" t="s">
        <v>3763</v>
      </c>
    </row>
    <row r="80" spans="1:12" x14ac:dyDescent="0.2">
      <c r="A80" s="12" t="s">
        <v>5312</v>
      </c>
      <c r="B80" s="41" t="s">
        <v>175</v>
      </c>
      <c r="C80" s="12">
        <v>28234788</v>
      </c>
      <c r="D80" s="12">
        <v>28239933</v>
      </c>
      <c r="E80" s="12" t="s">
        <v>3940</v>
      </c>
      <c r="F80" s="12">
        <v>1</v>
      </c>
      <c r="G80" s="12" t="s">
        <v>176</v>
      </c>
      <c r="H80" s="12" t="s">
        <v>175</v>
      </c>
      <c r="I80" s="12">
        <v>28234788</v>
      </c>
      <c r="J80" s="41" t="s">
        <v>2153</v>
      </c>
      <c r="K80" s="41" t="s">
        <v>2153</v>
      </c>
      <c r="L80" s="41" t="s">
        <v>3763</v>
      </c>
    </row>
    <row r="81" spans="1:12" x14ac:dyDescent="0.2">
      <c r="A81" s="12" t="s">
        <v>3982</v>
      </c>
      <c r="B81" s="41" t="s">
        <v>40</v>
      </c>
      <c r="C81" s="12">
        <v>139246316</v>
      </c>
      <c r="D81" s="12">
        <v>139316493</v>
      </c>
      <c r="E81" s="12" t="s">
        <v>3940</v>
      </c>
      <c r="F81" s="12">
        <v>962</v>
      </c>
      <c r="G81" s="12" t="s">
        <v>248</v>
      </c>
      <c r="H81" s="12" t="s">
        <v>40</v>
      </c>
      <c r="I81" s="12">
        <v>139246316</v>
      </c>
      <c r="J81" s="41" t="s">
        <v>2250</v>
      </c>
      <c r="K81" s="41" t="s">
        <v>2250</v>
      </c>
      <c r="L81" s="41" t="s">
        <v>8332</v>
      </c>
    </row>
    <row r="82" spans="1:12" x14ac:dyDescent="0.2">
      <c r="A82" s="12" t="s">
        <v>3982</v>
      </c>
      <c r="B82" s="41" t="s">
        <v>40</v>
      </c>
      <c r="C82" s="12">
        <v>139246316</v>
      </c>
      <c r="D82" s="12">
        <v>139316474</v>
      </c>
      <c r="E82" s="12" t="s">
        <v>3940</v>
      </c>
      <c r="F82" s="12">
        <v>1</v>
      </c>
      <c r="G82" s="12" t="s">
        <v>248</v>
      </c>
      <c r="H82" s="12" t="s">
        <v>40</v>
      </c>
      <c r="I82" s="12">
        <v>139246316</v>
      </c>
      <c r="J82" s="41" t="s">
        <v>2250</v>
      </c>
      <c r="K82" s="41" t="s">
        <v>2250</v>
      </c>
      <c r="L82" s="41" t="s">
        <v>8332</v>
      </c>
    </row>
    <row r="83" spans="1:12" x14ac:dyDescent="0.2">
      <c r="A83" s="12" t="s">
        <v>4103</v>
      </c>
      <c r="B83" s="41" t="s">
        <v>73</v>
      </c>
      <c r="C83" s="12">
        <v>152853383</v>
      </c>
      <c r="D83" s="12">
        <v>152864477</v>
      </c>
      <c r="E83" s="12" t="s">
        <v>3940</v>
      </c>
      <c r="F83" s="12">
        <v>1</v>
      </c>
      <c r="G83" s="12" t="s">
        <v>72</v>
      </c>
      <c r="H83" s="12" t="s">
        <v>73</v>
      </c>
      <c r="I83" s="12">
        <v>152853383</v>
      </c>
      <c r="J83" s="41" t="s">
        <v>2093</v>
      </c>
      <c r="K83" s="41" t="s">
        <v>2093</v>
      </c>
      <c r="L83" s="41" t="s">
        <v>3763</v>
      </c>
    </row>
    <row r="84" spans="1:12" x14ac:dyDescent="0.2">
      <c r="A84" s="12" t="s">
        <v>4103</v>
      </c>
      <c r="B84" s="41" t="s">
        <v>73</v>
      </c>
      <c r="C84" s="12">
        <v>152853383</v>
      </c>
      <c r="D84" s="12">
        <v>152864513</v>
      </c>
      <c r="E84" s="12" t="s">
        <v>3940</v>
      </c>
      <c r="F84" s="12">
        <v>1</v>
      </c>
      <c r="G84" s="12" t="s">
        <v>72</v>
      </c>
      <c r="H84" s="12" t="s">
        <v>73</v>
      </c>
      <c r="I84" s="12">
        <v>152853383</v>
      </c>
      <c r="J84" s="41" t="s">
        <v>2093</v>
      </c>
      <c r="K84" s="41" t="s">
        <v>2093</v>
      </c>
      <c r="L84" s="41" t="s">
        <v>3763</v>
      </c>
    </row>
    <row r="85" spans="1:12" x14ac:dyDescent="0.2">
      <c r="A85" s="12" t="s">
        <v>4103</v>
      </c>
      <c r="B85" s="41" t="s">
        <v>73</v>
      </c>
      <c r="C85" s="12">
        <v>152853383</v>
      </c>
      <c r="D85" s="12">
        <v>152864609</v>
      </c>
      <c r="E85" s="12" t="s">
        <v>3940</v>
      </c>
      <c r="F85" s="12">
        <v>1</v>
      </c>
      <c r="G85" s="12" t="s">
        <v>72</v>
      </c>
      <c r="H85" s="12" t="s">
        <v>73</v>
      </c>
      <c r="I85" s="12">
        <v>152853383</v>
      </c>
      <c r="J85" s="41" t="s">
        <v>2093</v>
      </c>
      <c r="K85" s="41" t="s">
        <v>2093</v>
      </c>
      <c r="L85" s="41" t="s">
        <v>3763</v>
      </c>
    </row>
    <row r="86" spans="1:12" x14ac:dyDescent="0.2">
      <c r="A86" s="12" t="s">
        <v>4742</v>
      </c>
      <c r="B86" s="41" t="s">
        <v>86</v>
      </c>
      <c r="C86" s="12">
        <v>12938542</v>
      </c>
      <c r="D86" s="12">
        <v>12942850</v>
      </c>
      <c r="E86" s="12" t="s">
        <v>3943</v>
      </c>
      <c r="F86" s="12">
        <v>1</v>
      </c>
      <c r="G86" s="12" t="s">
        <v>90</v>
      </c>
      <c r="H86" s="12" t="s">
        <v>86</v>
      </c>
      <c r="I86" s="12">
        <v>12938542</v>
      </c>
      <c r="J86" s="41" t="s">
        <v>2101</v>
      </c>
      <c r="K86" s="41" t="s">
        <v>2101</v>
      </c>
      <c r="L86" s="41" t="s">
        <v>3763</v>
      </c>
    </row>
    <row r="87" spans="1:12" x14ac:dyDescent="0.2">
      <c r="A87" s="12" t="s">
        <v>5424</v>
      </c>
      <c r="B87" s="41" t="s">
        <v>1</v>
      </c>
      <c r="C87" s="12">
        <v>88747726</v>
      </c>
      <c r="D87" s="12">
        <v>88751751</v>
      </c>
      <c r="E87" s="12" t="s">
        <v>3940</v>
      </c>
      <c r="F87" s="12">
        <v>1</v>
      </c>
      <c r="G87" s="12" t="s">
        <v>78</v>
      </c>
      <c r="H87" s="12" t="s">
        <v>1</v>
      </c>
      <c r="I87" s="12">
        <v>88747726</v>
      </c>
      <c r="J87" s="41" t="s">
        <v>2096</v>
      </c>
      <c r="K87" s="41" t="s">
        <v>2096</v>
      </c>
      <c r="L87" s="41" t="s">
        <v>3763</v>
      </c>
    </row>
    <row r="88" spans="1:12" x14ac:dyDescent="0.2">
      <c r="A88" s="12" t="s">
        <v>4805</v>
      </c>
      <c r="B88" s="41" t="s">
        <v>40</v>
      </c>
      <c r="C88" s="12">
        <v>128516919</v>
      </c>
      <c r="D88" s="12">
        <v>128550680</v>
      </c>
      <c r="E88" s="12" t="s">
        <v>3943</v>
      </c>
      <c r="F88" s="12">
        <v>1</v>
      </c>
      <c r="G88" s="12" t="s">
        <v>756</v>
      </c>
      <c r="H88" s="12" t="s">
        <v>40</v>
      </c>
      <c r="I88" s="12">
        <v>128516919</v>
      </c>
      <c r="J88" s="41" t="s">
        <v>2247</v>
      </c>
      <c r="K88" s="41" t="s">
        <v>2247</v>
      </c>
      <c r="L88" s="41" t="s">
        <v>3763</v>
      </c>
    </row>
    <row r="89" spans="1:12" x14ac:dyDescent="0.2">
      <c r="A89" s="12" t="s">
        <v>4805</v>
      </c>
      <c r="B89" s="41" t="s">
        <v>40</v>
      </c>
      <c r="C89" s="12">
        <v>128516919</v>
      </c>
      <c r="D89" s="12">
        <v>128533514</v>
      </c>
      <c r="E89" s="12" t="s">
        <v>3940</v>
      </c>
      <c r="F89" s="12">
        <v>1</v>
      </c>
      <c r="G89" s="12" t="s">
        <v>756</v>
      </c>
      <c r="H89" s="12" t="s">
        <v>40</v>
      </c>
      <c r="I89" s="12">
        <v>128516919</v>
      </c>
      <c r="J89" s="41" t="s">
        <v>2247</v>
      </c>
      <c r="K89" s="41" t="s">
        <v>2247</v>
      </c>
      <c r="L89" s="41" t="s">
        <v>3763</v>
      </c>
    </row>
    <row r="90" spans="1:12" x14ac:dyDescent="0.2">
      <c r="A90" s="12" t="s">
        <v>4310</v>
      </c>
      <c r="B90" s="41" t="s">
        <v>139</v>
      </c>
      <c r="C90" s="12">
        <v>223714972</v>
      </c>
      <c r="D90" s="12">
        <v>223743132</v>
      </c>
      <c r="E90" s="12" t="s">
        <v>3940</v>
      </c>
      <c r="F90" s="12">
        <v>95</v>
      </c>
      <c r="G90" s="12" t="s">
        <v>399</v>
      </c>
      <c r="H90" s="12" t="s">
        <v>139</v>
      </c>
      <c r="I90" s="12">
        <v>223714972</v>
      </c>
      <c r="J90" s="41" t="s">
        <v>2226</v>
      </c>
      <c r="K90" s="41" t="s">
        <v>2226</v>
      </c>
      <c r="L90" s="41" t="s">
        <v>8337</v>
      </c>
    </row>
    <row r="91" spans="1:12" x14ac:dyDescent="0.2">
      <c r="A91" s="12" t="s">
        <v>4310</v>
      </c>
      <c r="B91" s="41" t="s">
        <v>139</v>
      </c>
      <c r="C91" s="12">
        <v>223714972</v>
      </c>
      <c r="D91" s="12">
        <v>223724382</v>
      </c>
      <c r="E91" s="12" t="s">
        <v>3940</v>
      </c>
      <c r="F91" s="12">
        <v>199</v>
      </c>
      <c r="G91" s="12" t="s">
        <v>399</v>
      </c>
      <c r="H91" s="12" t="s">
        <v>139</v>
      </c>
      <c r="I91" s="12">
        <v>223714972</v>
      </c>
      <c r="J91" s="41" t="s">
        <v>2226</v>
      </c>
      <c r="K91" s="41" t="s">
        <v>2226</v>
      </c>
      <c r="L91" s="41" t="s">
        <v>8337</v>
      </c>
    </row>
    <row r="92" spans="1:12" x14ac:dyDescent="0.2">
      <c r="A92" s="12" t="s">
        <v>5107</v>
      </c>
      <c r="B92" s="41" t="s">
        <v>212</v>
      </c>
      <c r="C92" s="12">
        <v>80838126</v>
      </c>
      <c r="D92" s="12">
        <v>80839498</v>
      </c>
      <c r="E92" s="12" t="s">
        <v>3940</v>
      </c>
      <c r="F92" s="12">
        <v>28</v>
      </c>
      <c r="G92" s="12" t="s">
        <v>1041</v>
      </c>
      <c r="H92" s="12" t="s">
        <v>212</v>
      </c>
      <c r="I92" s="12">
        <v>80838126</v>
      </c>
      <c r="J92" s="41" t="s">
        <v>3371</v>
      </c>
      <c r="K92" s="41" t="s">
        <v>3371</v>
      </c>
      <c r="L92" s="41" t="s">
        <v>8368</v>
      </c>
    </row>
    <row r="93" spans="1:12" x14ac:dyDescent="0.2">
      <c r="A93" s="12" t="s">
        <v>5107</v>
      </c>
      <c r="B93" s="41" t="s">
        <v>212</v>
      </c>
      <c r="C93" s="12">
        <v>80838126</v>
      </c>
      <c r="D93" s="12">
        <v>80840843</v>
      </c>
      <c r="E93" s="12" t="s">
        <v>3940</v>
      </c>
      <c r="F93" s="12">
        <v>96</v>
      </c>
      <c r="G93" s="12" t="s">
        <v>1041</v>
      </c>
      <c r="H93" s="12" t="s">
        <v>212</v>
      </c>
      <c r="I93" s="12">
        <v>80838126</v>
      </c>
      <c r="J93" s="41" t="s">
        <v>3371</v>
      </c>
      <c r="K93" s="41" t="s">
        <v>3371</v>
      </c>
      <c r="L93" s="41" t="s">
        <v>8368</v>
      </c>
    </row>
    <row r="94" spans="1:12" x14ac:dyDescent="0.2">
      <c r="A94" s="12" t="s">
        <v>5107</v>
      </c>
      <c r="B94" s="41" t="s">
        <v>212</v>
      </c>
      <c r="C94" s="12">
        <v>80838126</v>
      </c>
      <c r="D94" s="12">
        <v>80840810</v>
      </c>
      <c r="E94" s="12" t="s">
        <v>3943</v>
      </c>
      <c r="F94" s="12">
        <v>1</v>
      </c>
      <c r="G94" s="12" t="s">
        <v>1041</v>
      </c>
      <c r="H94" s="12" t="s">
        <v>212</v>
      </c>
      <c r="I94" s="12">
        <v>80838126</v>
      </c>
      <c r="J94" s="41" t="s">
        <v>3371</v>
      </c>
      <c r="K94" s="41" t="s">
        <v>3371</v>
      </c>
      <c r="L94" s="41" t="s">
        <v>8368</v>
      </c>
    </row>
    <row r="95" spans="1:12" x14ac:dyDescent="0.2">
      <c r="A95" s="12" t="s">
        <v>5107</v>
      </c>
      <c r="B95" s="41" t="s">
        <v>212</v>
      </c>
      <c r="C95" s="12">
        <v>80838126</v>
      </c>
      <c r="D95" s="12">
        <v>80840825</v>
      </c>
      <c r="E95" s="12" t="s">
        <v>3943</v>
      </c>
      <c r="F95" s="12">
        <v>1</v>
      </c>
      <c r="G95" s="12" t="s">
        <v>1041</v>
      </c>
      <c r="H95" s="12" t="s">
        <v>212</v>
      </c>
      <c r="I95" s="12">
        <v>80838126</v>
      </c>
      <c r="J95" s="41" t="s">
        <v>3371</v>
      </c>
      <c r="K95" s="41" t="s">
        <v>3371</v>
      </c>
      <c r="L95" s="41" t="s">
        <v>8368</v>
      </c>
    </row>
    <row r="96" spans="1:12" x14ac:dyDescent="0.2">
      <c r="A96" s="12" t="s">
        <v>5107</v>
      </c>
      <c r="B96" s="41" t="s">
        <v>212</v>
      </c>
      <c r="C96" s="12">
        <v>80838126</v>
      </c>
      <c r="D96" s="12">
        <v>80840830</v>
      </c>
      <c r="E96" s="12" t="s">
        <v>3943</v>
      </c>
      <c r="F96" s="12">
        <v>3</v>
      </c>
      <c r="G96" s="12" t="s">
        <v>1041</v>
      </c>
      <c r="H96" s="12" t="s">
        <v>212</v>
      </c>
      <c r="I96" s="12">
        <v>80838126</v>
      </c>
      <c r="J96" s="41" t="s">
        <v>3371</v>
      </c>
      <c r="K96" s="41" t="s">
        <v>3371</v>
      </c>
      <c r="L96" s="41" t="s">
        <v>8368</v>
      </c>
    </row>
    <row r="97" spans="1:12" x14ac:dyDescent="0.2">
      <c r="A97" s="12" t="s">
        <v>5107</v>
      </c>
      <c r="B97" s="41" t="s">
        <v>212</v>
      </c>
      <c r="C97" s="12">
        <v>80838126</v>
      </c>
      <c r="D97" s="12">
        <v>80849321</v>
      </c>
      <c r="E97" s="12" t="s">
        <v>3940</v>
      </c>
      <c r="F97" s="12">
        <v>256</v>
      </c>
      <c r="G97" s="12" t="s">
        <v>1041</v>
      </c>
      <c r="H97" s="12" t="s">
        <v>212</v>
      </c>
      <c r="I97" s="12">
        <v>80838126</v>
      </c>
      <c r="J97" s="41" t="s">
        <v>3371</v>
      </c>
      <c r="K97" s="41" t="s">
        <v>3371</v>
      </c>
      <c r="L97" s="41" t="s">
        <v>8368</v>
      </c>
    </row>
    <row r="98" spans="1:12" x14ac:dyDescent="0.2">
      <c r="A98" s="12" t="s">
        <v>5107</v>
      </c>
      <c r="B98" s="41" t="s">
        <v>212</v>
      </c>
      <c r="C98" s="12">
        <v>80838126</v>
      </c>
      <c r="D98" s="12">
        <v>80860628</v>
      </c>
      <c r="E98" s="12" t="s">
        <v>3940</v>
      </c>
      <c r="F98" s="12">
        <v>72</v>
      </c>
      <c r="G98" s="12" t="s">
        <v>1041</v>
      </c>
      <c r="H98" s="12" t="s">
        <v>212</v>
      </c>
      <c r="I98" s="12">
        <v>80838126</v>
      </c>
      <c r="J98" s="41" t="s">
        <v>3371</v>
      </c>
      <c r="K98" s="41" t="s">
        <v>3371</v>
      </c>
      <c r="L98" s="41" t="s">
        <v>8368</v>
      </c>
    </row>
    <row r="99" spans="1:12" x14ac:dyDescent="0.2">
      <c r="A99" s="12" t="s">
        <v>5004</v>
      </c>
      <c r="B99" s="41" t="s">
        <v>40</v>
      </c>
      <c r="C99" s="12">
        <v>72039492</v>
      </c>
      <c r="D99" s="12">
        <v>72209527</v>
      </c>
      <c r="E99" s="12" t="s">
        <v>3943</v>
      </c>
      <c r="F99" s="12">
        <v>1</v>
      </c>
      <c r="G99" s="12" t="s">
        <v>172</v>
      </c>
      <c r="H99" s="12" t="s">
        <v>40</v>
      </c>
      <c r="I99" s="12">
        <v>72039492</v>
      </c>
      <c r="J99" s="41" t="s">
        <v>2151</v>
      </c>
      <c r="K99" s="41" t="s">
        <v>2151</v>
      </c>
      <c r="L99" s="41" t="s">
        <v>3763</v>
      </c>
    </row>
    <row r="100" spans="1:12" x14ac:dyDescent="0.2">
      <c r="A100" s="12" t="s">
        <v>4070</v>
      </c>
      <c r="B100" s="41" t="s">
        <v>40</v>
      </c>
      <c r="C100" s="12">
        <v>72039492</v>
      </c>
      <c r="D100" s="12">
        <v>72209527</v>
      </c>
      <c r="E100" s="12" t="s">
        <v>3943</v>
      </c>
      <c r="F100" s="12">
        <v>1</v>
      </c>
      <c r="G100" s="12" t="s">
        <v>172</v>
      </c>
      <c r="H100" s="12" t="s">
        <v>40</v>
      </c>
      <c r="I100" s="12">
        <v>72039492</v>
      </c>
      <c r="J100" s="41" t="s">
        <v>2151</v>
      </c>
      <c r="K100" s="41" t="s">
        <v>2151</v>
      </c>
      <c r="L100" s="41" t="s">
        <v>3763</v>
      </c>
    </row>
    <row r="101" spans="1:12" x14ac:dyDescent="0.2">
      <c r="A101" s="12" t="s">
        <v>5333</v>
      </c>
      <c r="B101" s="41" t="s">
        <v>40</v>
      </c>
      <c r="C101" s="12">
        <v>72023729</v>
      </c>
      <c r="D101" s="12">
        <v>72209527</v>
      </c>
      <c r="E101" s="12" t="s">
        <v>3943</v>
      </c>
      <c r="F101" s="12">
        <v>1</v>
      </c>
      <c r="G101" s="12" t="s">
        <v>740</v>
      </c>
      <c r="H101" s="12" t="s">
        <v>40</v>
      </c>
      <c r="I101" s="12">
        <v>72023729</v>
      </c>
      <c r="J101" s="41" t="s">
        <v>3346</v>
      </c>
      <c r="K101" s="41" t="s">
        <v>3346</v>
      </c>
      <c r="L101" s="41" t="s">
        <v>3763</v>
      </c>
    </row>
    <row r="102" spans="1:12" x14ac:dyDescent="0.2">
      <c r="A102" s="12" t="s">
        <v>4604</v>
      </c>
      <c r="B102" s="41" t="s">
        <v>1</v>
      </c>
      <c r="C102" s="12">
        <v>24346350</v>
      </c>
      <c r="D102" s="12">
        <v>24387179</v>
      </c>
      <c r="E102" s="12" t="s">
        <v>3940</v>
      </c>
      <c r="F102" s="12">
        <v>1</v>
      </c>
      <c r="G102" s="12" t="s">
        <v>70</v>
      </c>
      <c r="H102" s="12" t="s">
        <v>1</v>
      </c>
      <c r="I102" s="12">
        <v>24346350</v>
      </c>
      <c r="J102" s="41" t="s">
        <v>2092</v>
      </c>
      <c r="K102" s="41" t="s">
        <v>2092</v>
      </c>
      <c r="L102" s="41" t="s">
        <v>3763</v>
      </c>
    </row>
    <row r="103" spans="1:12" x14ac:dyDescent="0.2">
      <c r="A103" s="12" t="s">
        <v>5251</v>
      </c>
      <c r="B103" s="41" t="s">
        <v>36</v>
      </c>
      <c r="C103" s="12">
        <v>67776048</v>
      </c>
      <c r="D103" s="12">
        <v>67786065</v>
      </c>
      <c r="E103" s="12" t="s">
        <v>3940</v>
      </c>
      <c r="F103" s="12">
        <v>1</v>
      </c>
      <c r="G103" s="12" t="s">
        <v>958</v>
      </c>
      <c r="H103" s="12" t="s">
        <v>36</v>
      </c>
      <c r="I103" s="12">
        <v>67776048</v>
      </c>
      <c r="J103" s="41" t="s">
        <v>2267</v>
      </c>
      <c r="K103" s="41" t="s">
        <v>2267</v>
      </c>
      <c r="L103" s="41" t="s">
        <v>3763</v>
      </c>
    </row>
    <row r="104" spans="1:12" x14ac:dyDescent="0.2">
      <c r="A104" s="12" t="s">
        <v>5251</v>
      </c>
      <c r="B104" s="41" t="s">
        <v>36</v>
      </c>
      <c r="C104" s="12">
        <v>67776048</v>
      </c>
      <c r="D104" s="12">
        <v>67789294</v>
      </c>
      <c r="E104" s="12" t="s">
        <v>3940</v>
      </c>
      <c r="F104" s="12">
        <v>1</v>
      </c>
      <c r="G104" s="12" t="s">
        <v>958</v>
      </c>
      <c r="H104" s="12" t="s">
        <v>36</v>
      </c>
      <c r="I104" s="12">
        <v>67776048</v>
      </c>
      <c r="J104" s="41" t="s">
        <v>2267</v>
      </c>
      <c r="K104" s="41" t="s">
        <v>2267</v>
      </c>
      <c r="L104" s="41" t="s">
        <v>3763</v>
      </c>
    </row>
    <row r="105" spans="1:12" x14ac:dyDescent="0.2">
      <c r="A105" s="12" t="s">
        <v>5251</v>
      </c>
      <c r="B105" s="41" t="s">
        <v>36</v>
      </c>
      <c r="C105" s="12">
        <v>67776048</v>
      </c>
      <c r="D105" s="12">
        <v>67795380</v>
      </c>
      <c r="E105" s="12" t="s">
        <v>3940</v>
      </c>
      <c r="F105" s="12">
        <v>1</v>
      </c>
      <c r="G105" s="12" t="s">
        <v>958</v>
      </c>
      <c r="H105" s="12" t="s">
        <v>36</v>
      </c>
      <c r="I105" s="12">
        <v>67776048</v>
      </c>
      <c r="J105" s="41" t="s">
        <v>2267</v>
      </c>
      <c r="K105" s="41" t="s">
        <v>2267</v>
      </c>
      <c r="L105" s="41" t="s">
        <v>3763</v>
      </c>
    </row>
    <row r="106" spans="1:12" x14ac:dyDescent="0.2">
      <c r="A106" s="12" t="s">
        <v>4250</v>
      </c>
      <c r="B106" s="41" t="s">
        <v>53</v>
      </c>
      <c r="C106" s="12">
        <v>21106624</v>
      </c>
      <c r="D106" s="12">
        <v>21186163</v>
      </c>
      <c r="E106" s="12" t="s">
        <v>3940</v>
      </c>
      <c r="F106" s="12">
        <v>1</v>
      </c>
      <c r="G106" s="12" t="s">
        <v>127</v>
      </c>
      <c r="H106" s="12" t="s">
        <v>53</v>
      </c>
      <c r="I106" s="12">
        <v>21106624</v>
      </c>
      <c r="J106" s="41" t="s">
        <v>2122</v>
      </c>
      <c r="K106" s="41" t="s">
        <v>2122</v>
      </c>
      <c r="L106" s="41" t="s">
        <v>3763</v>
      </c>
    </row>
    <row r="107" spans="1:12" x14ac:dyDescent="0.2">
      <c r="A107" s="12" t="s">
        <v>5174</v>
      </c>
      <c r="B107" s="41" t="s">
        <v>53</v>
      </c>
      <c r="C107" s="12">
        <v>21106624</v>
      </c>
      <c r="D107" s="12">
        <v>21186163</v>
      </c>
      <c r="E107" s="12" t="s">
        <v>3940</v>
      </c>
      <c r="F107" s="12">
        <v>1</v>
      </c>
      <c r="G107" s="12" t="s">
        <v>128</v>
      </c>
      <c r="H107" s="12" t="s">
        <v>53</v>
      </c>
      <c r="I107" s="12">
        <v>21106624</v>
      </c>
      <c r="J107" s="41" t="s">
        <v>2123</v>
      </c>
      <c r="K107" s="41" t="s">
        <v>2123</v>
      </c>
      <c r="L107" s="41" t="s">
        <v>3763</v>
      </c>
    </row>
    <row r="108" spans="1:12" x14ac:dyDescent="0.2">
      <c r="A108" s="12" t="s">
        <v>4596</v>
      </c>
      <c r="B108" s="41" t="s">
        <v>36</v>
      </c>
      <c r="C108" s="12">
        <v>118895061</v>
      </c>
      <c r="D108" s="12">
        <v>118898435</v>
      </c>
      <c r="E108" s="12" t="s">
        <v>3943</v>
      </c>
      <c r="F108" s="12">
        <v>1</v>
      </c>
      <c r="G108" s="12" t="s">
        <v>150</v>
      </c>
      <c r="H108" s="12" t="s">
        <v>36</v>
      </c>
      <c r="I108" s="12">
        <v>118895061</v>
      </c>
      <c r="J108" s="41" t="s">
        <v>2136</v>
      </c>
      <c r="K108" s="41" t="s">
        <v>2136</v>
      </c>
      <c r="L108" s="41" t="s">
        <v>3763</v>
      </c>
    </row>
    <row r="109" spans="1:12" x14ac:dyDescent="0.2">
      <c r="A109" s="12" t="s">
        <v>4396</v>
      </c>
      <c r="B109" s="41" t="s">
        <v>36</v>
      </c>
      <c r="C109" s="12">
        <v>118895061</v>
      </c>
      <c r="D109" s="12">
        <v>118898435</v>
      </c>
      <c r="E109" s="12" t="s">
        <v>3943</v>
      </c>
      <c r="F109" s="12">
        <v>1</v>
      </c>
      <c r="G109" s="12" t="s">
        <v>151</v>
      </c>
      <c r="H109" s="12" t="s">
        <v>36</v>
      </c>
      <c r="I109" s="12">
        <v>118895061</v>
      </c>
      <c r="J109" s="41" t="s">
        <v>2137</v>
      </c>
      <c r="K109" s="41" t="s">
        <v>2137</v>
      </c>
      <c r="L109" s="41" t="s">
        <v>3763</v>
      </c>
    </row>
    <row r="110" spans="1:12" x14ac:dyDescent="0.2">
      <c r="A110" s="12" t="s">
        <v>4497</v>
      </c>
      <c r="B110" s="41" t="s">
        <v>36</v>
      </c>
      <c r="C110" s="12">
        <v>118895061</v>
      </c>
      <c r="D110" s="12">
        <v>118898435</v>
      </c>
      <c r="E110" s="12" t="s">
        <v>3943</v>
      </c>
      <c r="F110" s="12">
        <v>1</v>
      </c>
      <c r="G110" s="12" t="s">
        <v>152</v>
      </c>
      <c r="H110" s="12" t="s">
        <v>36</v>
      </c>
      <c r="I110" s="12">
        <v>118895061</v>
      </c>
      <c r="J110" s="41" t="s">
        <v>2138</v>
      </c>
      <c r="K110" s="41" t="s">
        <v>2138</v>
      </c>
      <c r="L110" s="41" t="s">
        <v>3763</v>
      </c>
    </row>
    <row r="111" spans="1:12" x14ac:dyDescent="0.2">
      <c r="A111" s="12" t="s">
        <v>5502</v>
      </c>
      <c r="B111" s="41" t="s">
        <v>36</v>
      </c>
      <c r="C111" s="12">
        <v>118895061</v>
      </c>
      <c r="D111" s="12">
        <v>118898435</v>
      </c>
      <c r="E111" s="12" t="s">
        <v>3943</v>
      </c>
      <c r="F111" s="12">
        <v>1</v>
      </c>
      <c r="G111" s="12" t="s">
        <v>153</v>
      </c>
      <c r="H111" s="12" t="s">
        <v>36</v>
      </c>
      <c r="I111" s="12">
        <v>118895061</v>
      </c>
      <c r="J111" s="41" t="s">
        <v>2139</v>
      </c>
      <c r="K111" s="41" t="s">
        <v>2139</v>
      </c>
      <c r="L111" s="41" t="s">
        <v>3763</v>
      </c>
    </row>
    <row r="112" spans="1:12" x14ac:dyDescent="0.2">
      <c r="A112" s="12" t="s">
        <v>5279</v>
      </c>
      <c r="B112" s="41" t="s">
        <v>86</v>
      </c>
      <c r="C112" s="12">
        <v>51433298</v>
      </c>
      <c r="D112" s="12">
        <v>51467664</v>
      </c>
      <c r="E112" s="12" t="s">
        <v>3940</v>
      </c>
      <c r="F112" s="12">
        <v>159</v>
      </c>
      <c r="G112" s="12" t="s">
        <v>526</v>
      </c>
      <c r="H112" s="12" t="s">
        <v>86</v>
      </c>
      <c r="I112" s="12">
        <v>51433298</v>
      </c>
      <c r="J112" s="41" t="s">
        <v>2234</v>
      </c>
      <c r="K112" s="41" t="s">
        <v>2234</v>
      </c>
      <c r="L112" s="41" t="s">
        <v>8362</v>
      </c>
    </row>
    <row r="113" spans="1:12" x14ac:dyDescent="0.2">
      <c r="A113" s="12" t="s">
        <v>5525</v>
      </c>
      <c r="B113" s="41" t="s">
        <v>40</v>
      </c>
      <c r="C113" s="12">
        <v>36552549</v>
      </c>
      <c r="D113" s="12">
        <v>36552729</v>
      </c>
      <c r="E113" s="12" t="s">
        <v>3940</v>
      </c>
      <c r="F113" s="12">
        <v>1</v>
      </c>
      <c r="G113" s="12" t="s">
        <v>39</v>
      </c>
      <c r="H113" s="12" t="s">
        <v>40</v>
      </c>
      <c r="I113" s="12">
        <v>36552549</v>
      </c>
      <c r="J113" s="41" t="s">
        <v>2076</v>
      </c>
      <c r="K113" s="41" t="s">
        <v>2076</v>
      </c>
      <c r="L113" s="41" t="s">
        <v>3763</v>
      </c>
    </row>
    <row r="114" spans="1:12" x14ac:dyDescent="0.2">
      <c r="A114" s="12" t="s">
        <v>5525</v>
      </c>
      <c r="B114" s="41" t="s">
        <v>40</v>
      </c>
      <c r="C114" s="12">
        <v>36552549</v>
      </c>
      <c r="D114" s="12">
        <v>36552790</v>
      </c>
      <c r="E114" s="12" t="s">
        <v>3940</v>
      </c>
      <c r="F114" s="12">
        <v>1</v>
      </c>
      <c r="G114" s="12" t="s">
        <v>39</v>
      </c>
      <c r="H114" s="12" t="s">
        <v>40</v>
      </c>
      <c r="I114" s="12">
        <v>36552549</v>
      </c>
      <c r="J114" s="41" t="s">
        <v>2076</v>
      </c>
      <c r="K114" s="41" t="s">
        <v>2076</v>
      </c>
      <c r="L114" s="41" t="s">
        <v>3763</v>
      </c>
    </row>
    <row r="115" spans="1:12" x14ac:dyDescent="0.2">
      <c r="A115" s="12" t="s">
        <v>5440</v>
      </c>
      <c r="B115" s="41" t="s">
        <v>50</v>
      </c>
      <c r="C115" s="12">
        <v>7933605</v>
      </c>
      <c r="D115" s="12">
        <v>7938306</v>
      </c>
      <c r="E115" s="12" t="s">
        <v>3940</v>
      </c>
      <c r="F115" s="12">
        <v>1</v>
      </c>
      <c r="G115" s="12" t="s">
        <v>76</v>
      </c>
      <c r="H115" s="12" t="s">
        <v>50</v>
      </c>
      <c r="I115" s="12">
        <v>7933605</v>
      </c>
      <c r="J115" s="41" t="s">
        <v>2095</v>
      </c>
      <c r="K115" s="41" t="s">
        <v>2095</v>
      </c>
      <c r="L115" s="41" t="s">
        <v>3763</v>
      </c>
    </row>
    <row r="116" spans="1:12" x14ac:dyDescent="0.2">
      <c r="A116" s="12" t="s">
        <v>5576</v>
      </c>
      <c r="B116" s="41" t="s">
        <v>33</v>
      </c>
      <c r="C116" s="12">
        <v>95218487</v>
      </c>
      <c r="D116" s="12">
        <v>95237024</v>
      </c>
      <c r="E116" s="12" t="s">
        <v>3943</v>
      </c>
      <c r="F116" s="12">
        <v>3</v>
      </c>
      <c r="G116" s="12" t="s">
        <v>822</v>
      </c>
      <c r="H116" s="12" t="s">
        <v>33</v>
      </c>
      <c r="I116" s="12">
        <v>95218487</v>
      </c>
      <c r="J116" s="41" t="s">
        <v>2259</v>
      </c>
      <c r="K116" s="41" t="s">
        <v>2259</v>
      </c>
      <c r="L116" s="41" t="s">
        <v>8358</v>
      </c>
    </row>
    <row r="117" spans="1:12" x14ac:dyDescent="0.2">
      <c r="A117" s="12" t="s">
        <v>4522</v>
      </c>
      <c r="B117" s="41" t="s">
        <v>50</v>
      </c>
      <c r="C117" s="12">
        <v>56052023</v>
      </c>
      <c r="D117" s="12">
        <v>56052337</v>
      </c>
      <c r="E117" s="12" t="s">
        <v>3940</v>
      </c>
      <c r="F117" s="12">
        <v>1</v>
      </c>
      <c r="G117" s="12" t="s">
        <v>148</v>
      </c>
      <c r="H117" s="12" t="s">
        <v>50</v>
      </c>
      <c r="I117" s="12">
        <v>56052023</v>
      </c>
      <c r="J117" s="41" t="s">
        <v>2135</v>
      </c>
      <c r="K117" s="41" t="s">
        <v>2135</v>
      </c>
      <c r="L117" s="41" t="s">
        <v>3763</v>
      </c>
    </row>
    <row r="118" spans="1:12" x14ac:dyDescent="0.2">
      <c r="A118" s="12" t="s">
        <v>5336</v>
      </c>
      <c r="B118" s="41" t="s">
        <v>40</v>
      </c>
      <c r="C118" s="12">
        <v>50455032</v>
      </c>
      <c r="D118" s="12">
        <v>50455035</v>
      </c>
      <c r="E118" s="12" t="s">
        <v>3943</v>
      </c>
      <c r="F118" s="12">
        <v>4</v>
      </c>
      <c r="G118" s="12" t="s">
        <v>723</v>
      </c>
      <c r="H118" s="12" t="s">
        <v>40</v>
      </c>
      <c r="I118" s="12">
        <v>50455032</v>
      </c>
      <c r="J118" s="41" t="s">
        <v>3338</v>
      </c>
      <c r="K118" s="41" t="s">
        <v>3338</v>
      </c>
      <c r="L118" s="41" t="s">
        <v>3763</v>
      </c>
    </row>
    <row r="119" spans="1:12" x14ac:dyDescent="0.2">
      <c r="A119" s="12" t="s">
        <v>5657</v>
      </c>
      <c r="B119" s="41" t="s">
        <v>40</v>
      </c>
      <c r="C119" s="12">
        <v>50455032</v>
      </c>
      <c r="D119" s="12">
        <v>50455035</v>
      </c>
      <c r="E119" s="12" t="s">
        <v>3943</v>
      </c>
      <c r="F119" s="12">
        <v>4</v>
      </c>
      <c r="G119" s="12" t="s">
        <v>724</v>
      </c>
      <c r="H119" s="12" t="s">
        <v>40</v>
      </c>
      <c r="I119" s="12">
        <v>50455032</v>
      </c>
      <c r="J119" s="41" t="s">
        <v>3339</v>
      </c>
      <c r="K119" s="41" t="s">
        <v>3339</v>
      </c>
      <c r="L119" s="41" t="s">
        <v>3763</v>
      </c>
    </row>
    <row r="120" spans="1:12" x14ac:dyDescent="0.2">
      <c r="A120" s="12" t="s">
        <v>8438</v>
      </c>
      <c r="B120" s="41" t="s">
        <v>47</v>
      </c>
      <c r="C120" s="12">
        <v>26721661</v>
      </c>
      <c r="D120" s="12">
        <v>26727721</v>
      </c>
      <c r="E120" s="12" t="s">
        <v>3943</v>
      </c>
      <c r="F120" s="12">
        <v>1</v>
      </c>
      <c r="G120" s="12" t="s">
        <v>1164</v>
      </c>
      <c r="H120" s="12" t="s">
        <v>47</v>
      </c>
      <c r="I120" s="12">
        <v>26721661</v>
      </c>
      <c r="J120" s="41" t="s">
        <v>3386</v>
      </c>
      <c r="K120" s="41" t="s">
        <v>3386</v>
      </c>
      <c r="L120" s="41" t="s">
        <v>3763</v>
      </c>
    </row>
    <row r="121" spans="1:12" x14ac:dyDescent="0.2">
      <c r="A121" s="12" t="s">
        <v>4521</v>
      </c>
      <c r="B121" s="41" t="s">
        <v>36</v>
      </c>
      <c r="C121" s="12">
        <v>112831969</v>
      </c>
      <c r="D121" s="12">
        <v>112832308</v>
      </c>
      <c r="E121" s="12" t="s">
        <v>3940</v>
      </c>
      <c r="F121" s="12">
        <v>1</v>
      </c>
      <c r="G121" s="12" t="s">
        <v>981</v>
      </c>
      <c r="H121" s="12" t="s">
        <v>36</v>
      </c>
      <c r="I121" s="12">
        <v>112831969</v>
      </c>
      <c r="J121" s="41" t="s">
        <v>3361</v>
      </c>
      <c r="K121" s="41" t="s">
        <v>3361</v>
      </c>
      <c r="L121" s="41" t="s">
        <v>3763</v>
      </c>
    </row>
    <row r="122" spans="1:12" x14ac:dyDescent="0.2">
      <c r="A122" s="12" t="s">
        <v>4521</v>
      </c>
      <c r="B122" s="41" t="s">
        <v>36</v>
      </c>
      <c r="C122" s="12">
        <v>112831969</v>
      </c>
      <c r="D122" s="12">
        <v>112832339</v>
      </c>
      <c r="E122" s="12" t="s">
        <v>3943</v>
      </c>
      <c r="F122" s="12">
        <v>1</v>
      </c>
      <c r="G122" s="12" t="s">
        <v>981</v>
      </c>
      <c r="H122" s="12" t="s">
        <v>36</v>
      </c>
      <c r="I122" s="12">
        <v>112831969</v>
      </c>
      <c r="J122" s="41" t="s">
        <v>3361</v>
      </c>
      <c r="K122" s="41" t="s">
        <v>3361</v>
      </c>
      <c r="L122" s="41" t="s">
        <v>3763</v>
      </c>
    </row>
    <row r="123" spans="1:12" x14ac:dyDescent="0.2">
      <c r="A123" s="12" t="s">
        <v>5016</v>
      </c>
      <c r="B123" s="41" t="s">
        <v>36</v>
      </c>
      <c r="C123" s="12">
        <v>112831969</v>
      </c>
      <c r="D123" s="12">
        <v>112832308</v>
      </c>
      <c r="E123" s="12" t="s">
        <v>3940</v>
      </c>
      <c r="F123" s="12">
        <v>1</v>
      </c>
      <c r="G123" s="12" t="s">
        <v>985</v>
      </c>
      <c r="H123" s="12" t="s">
        <v>36</v>
      </c>
      <c r="I123" s="12">
        <v>112831969</v>
      </c>
      <c r="J123" s="41" t="s">
        <v>3365</v>
      </c>
      <c r="K123" s="41" t="s">
        <v>3365</v>
      </c>
      <c r="L123" s="41" t="s">
        <v>3763</v>
      </c>
    </row>
    <row r="124" spans="1:12" x14ac:dyDescent="0.2">
      <c r="A124" s="12" t="s">
        <v>5016</v>
      </c>
      <c r="B124" s="41" t="s">
        <v>36</v>
      </c>
      <c r="C124" s="12">
        <v>112831969</v>
      </c>
      <c r="D124" s="12">
        <v>112832339</v>
      </c>
      <c r="E124" s="12" t="s">
        <v>3943</v>
      </c>
      <c r="F124" s="12">
        <v>1</v>
      </c>
      <c r="G124" s="12" t="s">
        <v>985</v>
      </c>
      <c r="H124" s="12" t="s">
        <v>36</v>
      </c>
      <c r="I124" s="12">
        <v>112831969</v>
      </c>
      <c r="J124" s="41" t="s">
        <v>3365</v>
      </c>
      <c r="K124" s="41" t="s">
        <v>3365</v>
      </c>
      <c r="L124" s="41" t="s">
        <v>3763</v>
      </c>
    </row>
    <row r="125" spans="1:12" x14ac:dyDescent="0.2">
      <c r="A125" s="12" t="s">
        <v>4821</v>
      </c>
      <c r="B125" s="41" t="s">
        <v>121</v>
      </c>
      <c r="C125" s="12">
        <v>135800</v>
      </c>
      <c r="D125" s="12">
        <v>138772</v>
      </c>
      <c r="E125" s="12" t="s">
        <v>3940</v>
      </c>
      <c r="F125" s="12">
        <v>1</v>
      </c>
      <c r="G125" s="12" t="s">
        <v>197</v>
      </c>
      <c r="H125" s="12" t="s">
        <v>121</v>
      </c>
      <c r="I125" s="12">
        <v>135800</v>
      </c>
      <c r="J125" s="41" t="s">
        <v>2181</v>
      </c>
      <c r="K125" s="41" t="s">
        <v>2181</v>
      </c>
      <c r="L125" s="41" t="s">
        <v>3763</v>
      </c>
    </row>
    <row r="126" spans="1:12" x14ac:dyDescent="0.2">
      <c r="A126" s="12" t="s">
        <v>5011</v>
      </c>
      <c r="B126" s="41" t="s">
        <v>121</v>
      </c>
      <c r="C126" s="12">
        <v>135800</v>
      </c>
      <c r="D126" s="12">
        <v>138772</v>
      </c>
      <c r="E126" s="12" t="s">
        <v>3940</v>
      </c>
      <c r="F126" s="12">
        <v>1</v>
      </c>
      <c r="G126" s="12" t="s">
        <v>198</v>
      </c>
      <c r="H126" s="12" t="s">
        <v>121</v>
      </c>
      <c r="I126" s="12">
        <v>135800</v>
      </c>
      <c r="J126" s="41" t="s">
        <v>2182</v>
      </c>
      <c r="K126" s="41" t="s">
        <v>2182</v>
      </c>
      <c r="L126" s="41" t="s">
        <v>3763</v>
      </c>
    </row>
    <row r="127" spans="1:12" x14ac:dyDescent="0.2">
      <c r="A127" s="12" t="s">
        <v>5384</v>
      </c>
      <c r="B127" s="41" t="s">
        <v>121</v>
      </c>
      <c r="C127" s="12">
        <v>135800</v>
      </c>
      <c r="D127" s="12">
        <v>138772</v>
      </c>
      <c r="E127" s="12" t="s">
        <v>3940</v>
      </c>
      <c r="F127" s="12">
        <v>1</v>
      </c>
      <c r="G127" s="12" t="s">
        <v>199</v>
      </c>
      <c r="H127" s="12" t="s">
        <v>121</v>
      </c>
      <c r="I127" s="12">
        <v>135800</v>
      </c>
      <c r="J127" s="41" t="s">
        <v>2183</v>
      </c>
      <c r="K127" s="41" t="s">
        <v>2183</v>
      </c>
      <c r="L127" s="41" t="s">
        <v>3763</v>
      </c>
    </row>
    <row r="128" spans="1:12" x14ac:dyDescent="0.2">
      <c r="A128" s="12" t="s">
        <v>4263</v>
      </c>
      <c r="B128" s="41" t="s">
        <v>139</v>
      </c>
      <c r="C128" s="12">
        <v>156338980</v>
      </c>
      <c r="D128" s="12">
        <v>156354354</v>
      </c>
      <c r="E128" s="12" t="s">
        <v>3943</v>
      </c>
      <c r="F128" s="12">
        <v>1</v>
      </c>
      <c r="G128" s="12" t="s">
        <v>138</v>
      </c>
      <c r="H128" s="12" t="s">
        <v>139</v>
      </c>
      <c r="I128" s="12">
        <v>156338980</v>
      </c>
      <c r="J128" s="41" t="s">
        <v>2129</v>
      </c>
      <c r="K128" s="41" t="s">
        <v>2129</v>
      </c>
      <c r="L128" s="41" t="s">
        <v>3763</v>
      </c>
    </row>
    <row r="129" spans="1:12" x14ac:dyDescent="0.2">
      <c r="A129" s="12" t="s">
        <v>4076</v>
      </c>
      <c r="B129" s="41" t="s">
        <v>139</v>
      </c>
      <c r="C129" s="12">
        <v>156338980</v>
      </c>
      <c r="D129" s="12">
        <v>156354354</v>
      </c>
      <c r="E129" s="12" t="s">
        <v>3943</v>
      </c>
      <c r="F129" s="12">
        <v>1</v>
      </c>
      <c r="G129" s="12" t="s">
        <v>140</v>
      </c>
      <c r="H129" s="12" t="s">
        <v>139</v>
      </c>
      <c r="I129" s="12">
        <v>156338980</v>
      </c>
      <c r="J129" s="41" t="s">
        <v>2130</v>
      </c>
      <c r="K129" s="41" t="s">
        <v>2130</v>
      </c>
      <c r="L129" s="41" t="s">
        <v>3763</v>
      </c>
    </row>
    <row r="130" spans="1:12" x14ac:dyDescent="0.2">
      <c r="A130" s="12" t="s">
        <v>4815</v>
      </c>
      <c r="B130" s="41" t="s">
        <v>50</v>
      </c>
      <c r="C130" s="12">
        <v>50879680</v>
      </c>
      <c r="D130" s="12">
        <v>50881824</v>
      </c>
      <c r="E130" s="12" t="s">
        <v>3940</v>
      </c>
      <c r="F130" s="12">
        <v>3</v>
      </c>
      <c r="G130" s="12" t="s">
        <v>1274</v>
      </c>
      <c r="H130" s="12" t="s">
        <v>50</v>
      </c>
      <c r="I130" s="12">
        <v>50879680</v>
      </c>
      <c r="J130" s="41" t="s">
        <v>2288</v>
      </c>
      <c r="K130" s="41" t="s">
        <v>2288</v>
      </c>
      <c r="L130" s="41" t="s">
        <v>8347</v>
      </c>
    </row>
    <row r="131" spans="1:12" x14ac:dyDescent="0.2">
      <c r="A131" s="12" t="s">
        <v>5374</v>
      </c>
      <c r="B131" s="41" t="s">
        <v>73</v>
      </c>
      <c r="C131" s="12">
        <v>122318096</v>
      </c>
      <c r="D131" s="12">
        <v>122318386</v>
      </c>
      <c r="E131" s="12" t="s">
        <v>3940</v>
      </c>
      <c r="F131" s="12">
        <v>1</v>
      </c>
      <c r="G131" s="12" t="s">
        <v>83</v>
      </c>
      <c r="H131" s="12" t="s">
        <v>73</v>
      </c>
      <c r="I131" s="12">
        <v>122318096</v>
      </c>
      <c r="J131" s="41" t="s">
        <v>2098</v>
      </c>
      <c r="K131" s="41" t="s">
        <v>2098</v>
      </c>
      <c r="L131" s="41" t="s">
        <v>3763</v>
      </c>
    </row>
    <row r="132" spans="1:12" x14ac:dyDescent="0.2">
      <c r="A132" s="12" t="s">
        <v>5374</v>
      </c>
      <c r="B132" s="41" t="s">
        <v>73</v>
      </c>
      <c r="C132" s="12">
        <v>122318096</v>
      </c>
      <c r="D132" s="12">
        <v>122336603</v>
      </c>
      <c r="E132" s="12" t="s">
        <v>3940</v>
      </c>
      <c r="F132" s="12">
        <v>1</v>
      </c>
      <c r="G132" s="12" t="s">
        <v>83</v>
      </c>
      <c r="H132" s="12" t="s">
        <v>73</v>
      </c>
      <c r="I132" s="12">
        <v>122318096</v>
      </c>
      <c r="J132" s="41" t="s">
        <v>2098</v>
      </c>
      <c r="K132" s="41" t="s">
        <v>2098</v>
      </c>
      <c r="L132" s="41" t="s">
        <v>3763</v>
      </c>
    </row>
    <row r="133" spans="1:12" x14ac:dyDescent="0.2">
      <c r="A133" s="12" t="s">
        <v>4723</v>
      </c>
      <c r="B133" s="41" t="s">
        <v>1</v>
      </c>
      <c r="C133" s="12">
        <v>232063294</v>
      </c>
      <c r="D133" s="12">
        <v>232225538</v>
      </c>
      <c r="E133" s="12" t="s">
        <v>3940</v>
      </c>
      <c r="F133" s="12">
        <v>1</v>
      </c>
      <c r="G133" s="12" t="s">
        <v>200</v>
      </c>
      <c r="H133" s="12" t="s">
        <v>1</v>
      </c>
      <c r="I133" s="12">
        <v>232063294</v>
      </c>
      <c r="J133" s="41" t="s">
        <v>2158</v>
      </c>
      <c r="K133" s="41" t="s">
        <v>2158</v>
      </c>
      <c r="L133" s="41" t="s">
        <v>3763</v>
      </c>
    </row>
    <row r="134" spans="1:12" x14ac:dyDescent="0.2">
      <c r="A134" s="12" t="s">
        <v>4629</v>
      </c>
      <c r="B134" s="41" t="s">
        <v>36</v>
      </c>
      <c r="C134" s="12">
        <v>118895061</v>
      </c>
      <c r="D134" s="12">
        <v>118898435</v>
      </c>
      <c r="E134" s="12" t="s">
        <v>3943</v>
      </c>
      <c r="F134" s="12">
        <v>1</v>
      </c>
      <c r="G134" s="12" t="s">
        <v>154</v>
      </c>
      <c r="H134" s="12" t="s">
        <v>36</v>
      </c>
      <c r="I134" s="12">
        <v>118895061</v>
      </c>
      <c r="J134" s="41" t="s">
        <v>2140</v>
      </c>
      <c r="K134" s="41" t="s">
        <v>2140</v>
      </c>
      <c r="L134" s="41" t="s">
        <v>3763</v>
      </c>
    </row>
    <row r="135" spans="1:12" x14ac:dyDescent="0.2">
      <c r="A135" s="12" t="s">
        <v>4415</v>
      </c>
      <c r="B135" s="41" t="s">
        <v>40</v>
      </c>
      <c r="C135" s="12">
        <v>154002347</v>
      </c>
      <c r="D135" s="12">
        <v>154264004</v>
      </c>
      <c r="E135" s="12" t="s">
        <v>3943</v>
      </c>
      <c r="F135" s="12">
        <v>2</v>
      </c>
      <c r="G135" s="12" t="s">
        <v>257</v>
      </c>
      <c r="H135" s="12" t="s">
        <v>40</v>
      </c>
      <c r="I135" s="12">
        <v>154002347</v>
      </c>
      <c r="J135" s="41" t="s">
        <v>3821</v>
      </c>
      <c r="K135" s="41" t="s">
        <v>3821</v>
      </c>
      <c r="L135" s="41" t="s">
        <v>3763</v>
      </c>
    </row>
    <row r="136" spans="1:12" x14ac:dyDescent="0.2">
      <c r="A136" s="12" t="s">
        <v>4415</v>
      </c>
      <c r="B136" s="41" t="s">
        <v>40</v>
      </c>
      <c r="C136" s="12">
        <v>154002347</v>
      </c>
      <c r="D136" s="12">
        <v>154264011</v>
      </c>
      <c r="E136" s="12" t="s">
        <v>3940</v>
      </c>
      <c r="F136" s="12">
        <v>4</v>
      </c>
      <c r="G136" s="12" t="s">
        <v>257</v>
      </c>
      <c r="H136" s="12" t="s">
        <v>40</v>
      </c>
      <c r="I136" s="12">
        <v>154002347</v>
      </c>
      <c r="J136" s="41" t="s">
        <v>2254</v>
      </c>
      <c r="K136" s="41" t="s">
        <v>3821</v>
      </c>
      <c r="L136" s="41" t="s">
        <v>3763</v>
      </c>
    </row>
    <row r="137" spans="1:12" x14ac:dyDescent="0.2">
      <c r="A137" s="12" t="s">
        <v>4359</v>
      </c>
      <c r="B137" s="41" t="s">
        <v>569</v>
      </c>
      <c r="C137" s="12">
        <v>3076408</v>
      </c>
      <c r="D137" s="12">
        <v>3076662</v>
      </c>
      <c r="E137" s="12" t="s">
        <v>3940</v>
      </c>
      <c r="F137" s="12">
        <v>6</v>
      </c>
      <c r="G137" s="12" t="s">
        <v>579</v>
      </c>
      <c r="H137" s="12" t="s">
        <v>569</v>
      </c>
      <c r="I137" s="12">
        <v>3076408</v>
      </c>
      <c r="J137" s="41" t="s">
        <v>2240</v>
      </c>
      <c r="K137" s="41" t="s">
        <v>2240</v>
      </c>
      <c r="L137" s="41" t="s">
        <v>8338</v>
      </c>
    </row>
    <row r="138" spans="1:12" x14ac:dyDescent="0.2">
      <c r="A138" s="12" t="s">
        <v>5645</v>
      </c>
      <c r="B138" s="41" t="s">
        <v>569</v>
      </c>
      <c r="C138" s="12">
        <v>3076408</v>
      </c>
      <c r="D138" s="12">
        <v>3076662</v>
      </c>
      <c r="E138" s="12" t="s">
        <v>3940</v>
      </c>
      <c r="F138" s="12">
        <v>6</v>
      </c>
      <c r="G138" s="12" t="s">
        <v>579</v>
      </c>
      <c r="H138" s="12" t="s">
        <v>569</v>
      </c>
      <c r="I138" s="12">
        <v>3076408</v>
      </c>
      <c r="J138" s="41" t="s">
        <v>2240</v>
      </c>
      <c r="K138" s="41" t="s">
        <v>2240</v>
      </c>
      <c r="L138" s="41" t="s">
        <v>8338</v>
      </c>
    </row>
    <row r="139" spans="1:12" x14ac:dyDescent="0.2">
      <c r="A139" s="12" t="s">
        <v>4757</v>
      </c>
      <c r="B139" s="41" t="s">
        <v>50</v>
      </c>
      <c r="C139" s="12">
        <v>55315067</v>
      </c>
      <c r="D139" s="12">
        <v>55325145</v>
      </c>
      <c r="E139" s="12" t="s">
        <v>3940</v>
      </c>
      <c r="F139" s="12">
        <v>1</v>
      </c>
      <c r="G139" s="12" t="s">
        <v>96</v>
      </c>
      <c r="H139" s="12" t="s">
        <v>50</v>
      </c>
      <c r="I139" s="12">
        <v>55315067</v>
      </c>
      <c r="J139" s="41" t="s">
        <v>2104</v>
      </c>
      <c r="K139" s="41" t="s">
        <v>2104</v>
      </c>
      <c r="L139" s="41" t="s">
        <v>8431</v>
      </c>
    </row>
    <row r="140" spans="1:12" x14ac:dyDescent="0.2">
      <c r="A140" s="12" t="s">
        <v>5554</v>
      </c>
      <c r="B140" s="41" t="s">
        <v>36</v>
      </c>
      <c r="C140" s="12">
        <v>102733464</v>
      </c>
      <c r="D140" s="12">
        <v>102738793</v>
      </c>
      <c r="E140" s="12" t="s">
        <v>3940</v>
      </c>
      <c r="F140" s="12">
        <v>1</v>
      </c>
      <c r="G140" s="12" t="s">
        <v>201</v>
      </c>
      <c r="H140" s="12" t="s">
        <v>36</v>
      </c>
      <c r="I140" s="12">
        <v>102733464</v>
      </c>
      <c r="J140" s="41" t="s">
        <v>2176</v>
      </c>
      <c r="K140" s="41" t="s">
        <v>2176</v>
      </c>
      <c r="L140" s="41" t="s">
        <v>3763</v>
      </c>
    </row>
    <row r="141" spans="1:12" x14ac:dyDescent="0.2">
      <c r="A141" s="12" t="s">
        <v>5594</v>
      </c>
      <c r="B141" s="41" t="s">
        <v>36</v>
      </c>
      <c r="C141" s="12">
        <v>1074875</v>
      </c>
      <c r="D141" s="12">
        <v>1092799</v>
      </c>
      <c r="E141" s="12" t="s">
        <v>3940</v>
      </c>
      <c r="F141" s="12">
        <v>1083</v>
      </c>
      <c r="G141" s="12" t="s">
        <v>901</v>
      </c>
      <c r="H141" s="12" t="s">
        <v>36</v>
      </c>
      <c r="I141" s="12">
        <v>1074875</v>
      </c>
      <c r="J141" s="41" t="s">
        <v>2265</v>
      </c>
      <c r="K141" s="41" t="s">
        <v>2265</v>
      </c>
      <c r="L141" s="41" t="s">
        <v>8353</v>
      </c>
    </row>
    <row r="142" spans="1:12" x14ac:dyDescent="0.2">
      <c r="A142" s="12" t="s">
        <v>5594</v>
      </c>
      <c r="B142" s="41" t="s">
        <v>36</v>
      </c>
      <c r="C142" s="12">
        <v>1074875</v>
      </c>
      <c r="D142" s="12">
        <v>1093668</v>
      </c>
      <c r="E142" s="12" t="s">
        <v>3940</v>
      </c>
      <c r="F142" s="12">
        <v>6015</v>
      </c>
      <c r="G142" s="12" t="s">
        <v>901</v>
      </c>
      <c r="H142" s="12" t="s">
        <v>36</v>
      </c>
      <c r="I142" s="12">
        <v>1074875</v>
      </c>
      <c r="J142" s="41" t="s">
        <v>2265</v>
      </c>
      <c r="K142" s="41" t="s">
        <v>2265</v>
      </c>
      <c r="L142" s="41" t="s">
        <v>8353</v>
      </c>
    </row>
    <row r="143" spans="1:12" x14ac:dyDescent="0.2">
      <c r="A143" s="12" t="s">
        <v>5088</v>
      </c>
      <c r="B143" s="41" t="s">
        <v>36</v>
      </c>
      <c r="C143" s="12">
        <v>1074875</v>
      </c>
      <c r="D143" s="12">
        <v>1092799</v>
      </c>
      <c r="E143" s="12" t="s">
        <v>3940</v>
      </c>
      <c r="F143" s="12">
        <v>1083</v>
      </c>
      <c r="G143" s="12" t="s">
        <v>901</v>
      </c>
      <c r="H143" s="12" t="s">
        <v>36</v>
      </c>
      <c r="I143" s="12">
        <v>1074875</v>
      </c>
      <c r="J143" s="41" t="s">
        <v>2265</v>
      </c>
      <c r="K143" s="41" t="s">
        <v>2265</v>
      </c>
      <c r="L143" s="41" t="s">
        <v>8353</v>
      </c>
    </row>
    <row r="144" spans="1:12" x14ac:dyDescent="0.2">
      <c r="A144" s="12" t="s">
        <v>5088</v>
      </c>
      <c r="B144" s="41" t="s">
        <v>36</v>
      </c>
      <c r="C144" s="12">
        <v>1074875</v>
      </c>
      <c r="D144" s="12">
        <v>1093668</v>
      </c>
      <c r="E144" s="12" t="s">
        <v>3940</v>
      </c>
      <c r="F144" s="12">
        <v>6015</v>
      </c>
      <c r="G144" s="12" t="s">
        <v>901</v>
      </c>
      <c r="H144" s="12" t="s">
        <v>36</v>
      </c>
      <c r="I144" s="12">
        <v>1074875</v>
      </c>
      <c r="J144" s="41" t="s">
        <v>2265</v>
      </c>
      <c r="K144" s="41" t="s">
        <v>2265</v>
      </c>
      <c r="L144" s="41" t="s">
        <v>8353</v>
      </c>
    </row>
    <row r="145" spans="1:12" x14ac:dyDescent="0.2">
      <c r="A145" s="12" t="s">
        <v>5600</v>
      </c>
      <c r="B145" s="41" t="s">
        <v>36</v>
      </c>
      <c r="C145" s="12">
        <v>1074875</v>
      </c>
      <c r="D145" s="12">
        <v>1092799</v>
      </c>
      <c r="E145" s="12" t="s">
        <v>3940</v>
      </c>
      <c r="F145" s="12">
        <v>5484</v>
      </c>
      <c r="G145" s="12" t="s">
        <v>901</v>
      </c>
      <c r="H145" s="12" t="s">
        <v>36</v>
      </c>
      <c r="I145" s="12">
        <v>1074875</v>
      </c>
      <c r="J145" s="41" t="s">
        <v>2265</v>
      </c>
      <c r="K145" s="41" t="s">
        <v>2265</v>
      </c>
      <c r="L145" s="41" t="s">
        <v>8353</v>
      </c>
    </row>
    <row r="146" spans="1:12" x14ac:dyDescent="0.2">
      <c r="A146" s="12" t="s">
        <v>5600</v>
      </c>
      <c r="B146" s="41" t="s">
        <v>36</v>
      </c>
      <c r="C146" s="12">
        <v>1074875</v>
      </c>
      <c r="D146" s="12">
        <v>1093133</v>
      </c>
      <c r="E146" s="12" t="s">
        <v>3940</v>
      </c>
      <c r="F146" s="12">
        <v>1932</v>
      </c>
      <c r="G146" s="12" t="s">
        <v>901</v>
      </c>
      <c r="H146" s="12" t="s">
        <v>36</v>
      </c>
      <c r="I146" s="12">
        <v>1074875</v>
      </c>
      <c r="J146" s="41" t="s">
        <v>2265</v>
      </c>
      <c r="K146" s="41" t="s">
        <v>2265</v>
      </c>
      <c r="L146" s="41" t="s">
        <v>8353</v>
      </c>
    </row>
    <row r="147" spans="1:12" x14ac:dyDescent="0.2">
      <c r="A147" s="12" t="s">
        <v>5624</v>
      </c>
      <c r="B147" s="41" t="s">
        <v>113</v>
      </c>
      <c r="C147" s="12">
        <v>101844133</v>
      </c>
      <c r="D147" s="12">
        <v>102029685</v>
      </c>
      <c r="E147" s="12" t="s">
        <v>3940</v>
      </c>
      <c r="F147" s="12">
        <v>2</v>
      </c>
      <c r="G147" s="12" t="s">
        <v>112</v>
      </c>
      <c r="H147" s="12" t="s">
        <v>113</v>
      </c>
      <c r="I147" s="12">
        <v>101844133</v>
      </c>
      <c r="J147" s="41" t="s">
        <v>2113</v>
      </c>
      <c r="K147" s="41" t="s">
        <v>2113</v>
      </c>
      <c r="L147" s="41" t="s">
        <v>3763</v>
      </c>
    </row>
    <row r="148" spans="1:12" x14ac:dyDescent="0.2">
      <c r="A148" s="12" t="s">
        <v>4697</v>
      </c>
      <c r="B148" s="41" t="s">
        <v>113</v>
      </c>
      <c r="C148" s="12">
        <v>101844133</v>
      </c>
      <c r="D148" s="12">
        <v>102029685</v>
      </c>
      <c r="E148" s="12" t="s">
        <v>3940</v>
      </c>
      <c r="F148" s="12">
        <v>2</v>
      </c>
      <c r="G148" s="12" t="s">
        <v>112</v>
      </c>
      <c r="H148" s="12" t="s">
        <v>113</v>
      </c>
      <c r="I148" s="12">
        <v>101844133</v>
      </c>
      <c r="J148" s="41" t="s">
        <v>2113</v>
      </c>
      <c r="K148" s="41" t="s">
        <v>2113</v>
      </c>
      <c r="L148" s="41" t="s">
        <v>3763</v>
      </c>
    </row>
    <row r="149" spans="1:12" x14ac:dyDescent="0.2">
      <c r="A149" s="12" t="s">
        <v>4357</v>
      </c>
      <c r="B149" s="41" t="s">
        <v>86</v>
      </c>
      <c r="C149" s="12">
        <v>133875978</v>
      </c>
      <c r="D149" s="12">
        <v>133969437</v>
      </c>
      <c r="E149" s="12" t="s">
        <v>3940</v>
      </c>
      <c r="F149" s="12">
        <v>1</v>
      </c>
      <c r="G149" s="12" t="s">
        <v>144</v>
      </c>
      <c r="H149" s="12" t="s">
        <v>86</v>
      </c>
      <c r="I149" s="12">
        <v>133875978</v>
      </c>
      <c r="J149" s="41" t="s">
        <v>2133</v>
      </c>
      <c r="K149" s="41" t="s">
        <v>2133</v>
      </c>
      <c r="L149" s="41" t="s">
        <v>3763</v>
      </c>
    </row>
    <row r="150" spans="1:12" x14ac:dyDescent="0.2">
      <c r="A150" s="12" t="s">
        <v>4357</v>
      </c>
      <c r="B150" s="41" t="s">
        <v>86</v>
      </c>
      <c r="C150" s="12">
        <v>133875978</v>
      </c>
      <c r="D150" s="12">
        <v>133969487</v>
      </c>
      <c r="E150" s="12" t="s">
        <v>3940</v>
      </c>
      <c r="F150" s="12">
        <v>1</v>
      </c>
      <c r="G150" s="12" t="s">
        <v>144</v>
      </c>
      <c r="H150" s="12" t="s">
        <v>86</v>
      </c>
      <c r="I150" s="12">
        <v>133875978</v>
      </c>
      <c r="J150" s="41" t="s">
        <v>2133</v>
      </c>
      <c r="K150" s="41" t="s">
        <v>2133</v>
      </c>
      <c r="L150" s="41" t="s">
        <v>3763</v>
      </c>
    </row>
    <row r="151" spans="1:12" x14ac:dyDescent="0.2">
      <c r="A151" s="12" t="s">
        <v>4482</v>
      </c>
      <c r="B151" s="41" t="s">
        <v>40</v>
      </c>
      <c r="C151" s="12">
        <v>100331249</v>
      </c>
      <c r="D151" s="12">
        <v>100371476</v>
      </c>
      <c r="E151" s="12" t="s">
        <v>3940</v>
      </c>
      <c r="F151" s="12">
        <v>1</v>
      </c>
      <c r="G151" s="12" t="s">
        <v>748</v>
      </c>
      <c r="H151" s="12" t="s">
        <v>40</v>
      </c>
      <c r="I151" s="12">
        <v>100331249</v>
      </c>
      <c r="J151" s="41" t="s">
        <v>3351</v>
      </c>
      <c r="K151" s="41" t="s">
        <v>3351</v>
      </c>
      <c r="L151" s="41" t="s">
        <v>3763</v>
      </c>
    </row>
    <row r="152" spans="1:12" x14ac:dyDescent="0.2">
      <c r="A152" s="12" t="s">
        <v>5615</v>
      </c>
      <c r="B152" s="41" t="s">
        <v>40</v>
      </c>
      <c r="C152" s="12">
        <v>100331249</v>
      </c>
      <c r="D152" s="12">
        <v>100371476</v>
      </c>
      <c r="E152" s="12" t="s">
        <v>3940</v>
      </c>
      <c r="F152" s="12">
        <v>1</v>
      </c>
      <c r="G152" s="12" t="s">
        <v>748</v>
      </c>
      <c r="H152" s="12" t="s">
        <v>40</v>
      </c>
      <c r="I152" s="12">
        <v>100331249</v>
      </c>
      <c r="J152" s="41" t="s">
        <v>3351</v>
      </c>
      <c r="K152" s="41" t="s">
        <v>3351</v>
      </c>
      <c r="L152" s="41" t="s">
        <v>3763</v>
      </c>
    </row>
    <row r="153" spans="1:12" x14ac:dyDescent="0.2">
      <c r="A153" s="12" t="s">
        <v>3985</v>
      </c>
      <c r="B153" s="41" t="s">
        <v>50</v>
      </c>
      <c r="C153" s="12">
        <v>41099072</v>
      </c>
      <c r="D153" s="12">
        <v>41123095</v>
      </c>
      <c r="E153" s="12" t="s">
        <v>3940</v>
      </c>
      <c r="F153" s="12">
        <v>1</v>
      </c>
      <c r="G153" s="12" t="s">
        <v>100</v>
      </c>
      <c r="H153" s="12" t="s">
        <v>50</v>
      </c>
      <c r="I153" s="12">
        <v>41099072</v>
      </c>
      <c r="J153" s="41" t="s">
        <v>2107</v>
      </c>
      <c r="K153" s="41" t="s">
        <v>2107</v>
      </c>
      <c r="L153" s="41" t="s">
        <v>3763</v>
      </c>
    </row>
    <row r="154" spans="1:12" x14ac:dyDescent="0.2">
      <c r="A154" s="12" t="s">
        <v>4290</v>
      </c>
      <c r="B154" s="41" t="s">
        <v>569</v>
      </c>
      <c r="C154" s="12">
        <v>76649829</v>
      </c>
      <c r="D154" s="12">
        <v>76650069</v>
      </c>
      <c r="E154" s="12" t="s">
        <v>3940</v>
      </c>
      <c r="F154" s="12">
        <v>23</v>
      </c>
      <c r="G154" s="12" t="s">
        <v>596</v>
      </c>
      <c r="H154" s="12" t="s">
        <v>569</v>
      </c>
      <c r="I154" s="12">
        <v>76649829</v>
      </c>
      <c r="J154" s="41" t="s">
        <v>2241</v>
      </c>
      <c r="K154" s="41" t="s">
        <v>2241</v>
      </c>
      <c r="L154" s="41" t="s">
        <v>8425</v>
      </c>
    </row>
    <row r="155" spans="1:12" x14ac:dyDescent="0.2">
      <c r="A155" s="12" t="s">
        <v>4290</v>
      </c>
      <c r="B155" s="41" t="s">
        <v>569</v>
      </c>
      <c r="C155" s="12">
        <v>76649829</v>
      </c>
      <c r="D155" s="12">
        <v>76657500</v>
      </c>
      <c r="E155" s="12" t="s">
        <v>3940</v>
      </c>
      <c r="F155" s="12">
        <v>96</v>
      </c>
      <c r="G155" s="12" t="s">
        <v>596</v>
      </c>
      <c r="H155" s="12" t="s">
        <v>569</v>
      </c>
      <c r="I155" s="12">
        <v>76649829</v>
      </c>
      <c r="J155" s="41" t="s">
        <v>2241</v>
      </c>
      <c r="K155" s="41" t="s">
        <v>2241</v>
      </c>
      <c r="L155" s="41" t="s">
        <v>8425</v>
      </c>
    </row>
    <row r="156" spans="1:12" x14ac:dyDescent="0.2">
      <c r="A156" s="12" t="s">
        <v>4581</v>
      </c>
      <c r="B156" s="41" t="s">
        <v>103</v>
      </c>
      <c r="C156" s="12">
        <v>143738874</v>
      </c>
      <c r="D156" s="12">
        <v>143739805</v>
      </c>
      <c r="E156" s="12" t="s">
        <v>3940</v>
      </c>
      <c r="F156" s="12">
        <v>2</v>
      </c>
      <c r="G156" s="12" t="s">
        <v>794</v>
      </c>
      <c r="H156" s="12" t="s">
        <v>103</v>
      </c>
      <c r="I156" s="12">
        <v>143738874</v>
      </c>
      <c r="J156" s="41" t="s">
        <v>3354</v>
      </c>
      <c r="K156" s="41" t="s">
        <v>3354</v>
      </c>
      <c r="L156" s="41" t="s">
        <v>8428</v>
      </c>
    </row>
    <row r="157" spans="1:12" x14ac:dyDescent="0.2">
      <c r="A157" s="12" t="s">
        <v>4581</v>
      </c>
      <c r="B157" s="41" t="s">
        <v>103</v>
      </c>
      <c r="C157" s="12">
        <v>143738874</v>
      </c>
      <c r="D157" s="12">
        <v>143743881</v>
      </c>
      <c r="E157" s="12" t="s">
        <v>3943</v>
      </c>
      <c r="F157" s="12">
        <v>1</v>
      </c>
      <c r="G157" s="12" t="s">
        <v>794</v>
      </c>
      <c r="H157" s="12" t="s">
        <v>103</v>
      </c>
      <c r="I157" s="12">
        <v>143738874</v>
      </c>
      <c r="J157" s="41" t="s">
        <v>3354</v>
      </c>
      <c r="K157" s="41" t="s">
        <v>3354</v>
      </c>
      <c r="L157" s="41" t="s">
        <v>8428</v>
      </c>
    </row>
    <row r="158" spans="1:12" x14ac:dyDescent="0.2">
      <c r="A158" s="12" t="s">
        <v>4581</v>
      </c>
      <c r="B158" s="41" t="s">
        <v>103</v>
      </c>
      <c r="C158" s="12">
        <v>143738874</v>
      </c>
      <c r="D158" s="12">
        <v>143744422</v>
      </c>
      <c r="E158" s="12" t="s">
        <v>3943</v>
      </c>
      <c r="F158" s="12">
        <v>4</v>
      </c>
      <c r="G158" s="12" t="s">
        <v>794</v>
      </c>
      <c r="H158" s="12" t="s">
        <v>103</v>
      </c>
      <c r="I158" s="12">
        <v>143738874</v>
      </c>
      <c r="J158" s="41" t="s">
        <v>3354</v>
      </c>
      <c r="K158" s="41" t="s">
        <v>3354</v>
      </c>
      <c r="L158" s="41" t="s">
        <v>8428</v>
      </c>
    </row>
    <row r="159" spans="1:12" x14ac:dyDescent="0.2">
      <c r="A159" s="12" t="s">
        <v>4581</v>
      </c>
      <c r="B159" s="41" t="s">
        <v>103</v>
      </c>
      <c r="C159" s="12">
        <v>143738874</v>
      </c>
      <c r="D159" s="12">
        <v>143746093</v>
      </c>
      <c r="E159" s="12" t="s">
        <v>3943</v>
      </c>
      <c r="F159" s="12">
        <v>2</v>
      </c>
      <c r="G159" s="12" t="s">
        <v>794</v>
      </c>
      <c r="H159" s="12" t="s">
        <v>103</v>
      </c>
      <c r="I159" s="12">
        <v>143738874</v>
      </c>
      <c r="J159" s="41" t="s">
        <v>3354</v>
      </c>
      <c r="K159" s="41" t="s">
        <v>3354</v>
      </c>
      <c r="L159" s="41" t="s">
        <v>8428</v>
      </c>
    </row>
    <row r="160" spans="1:12" x14ac:dyDescent="0.2">
      <c r="A160" s="12" t="s">
        <v>4844</v>
      </c>
      <c r="B160" s="41" t="s">
        <v>47</v>
      </c>
      <c r="C160" s="12">
        <v>43340488</v>
      </c>
      <c r="D160" s="12">
        <v>43364293</v>
      </c>
      <c r="E160" s="12" t="s">
        <v>3940</v>
      </c>
      <c r="F160" s="12">
        <v>1</v>
      </c>
      <c r="G160" s="12" t="s">
        <v>202</v>
      </c>
      <c r="H160" s="12" t="s">
        <v>47</v>
      </c>
      <c r="I160" s="12">
        <v>43340488</v>
      </c>
      <c r="J160" s="41" t="s">
        <v>2174</v>
      </c>
      <c r="K160" s="41" t="s">
        <v>2174</v>
      </c>
      <c r="L160" s="41" t="s">
        <v>3763</v>
      </c>
    </row>
    <row r="161" spans="1:12" x14ac:dyDescent="0.2">
      <c r="A161" s="12" t="s">
        <v>4672</v>
      </c>
      <c r="B161" s="41" t="s">
        <v>93</v>
      </c>
      <c r="C161" s="12">
        <v>102505468</v>
      </c>
      <c r="D161" s="12">
        <v>102587331</v>
      </c>
      <c r="E161" s="12" t="s">
        <v>3943</v>
      </c>
      <c r="F161" s="12">
        <v>3</v>
      </c>
      <c r="G161" s="12" t="s">
        <v>890</v>
      </c>
      <c r="H161" s="12" t="s">
        <v>93</v>
      </c>
      <c r="I161" s="12">
        <v>102505468</v>
      </c>
      <c r="J161" s="41" t="s">
        <v>3304</v>
      </c>
      <c r="K161" s="41" t="s">
        <v>3304</v>
      </c>
      <c r="L161" s="41" t="s">
        <v>8342</v>
      </c>
    </row>
    <row r="162" spans="1:12" x14ac:dyDescent="0.2">
      <c r="A162" s="12" t="s">
        <v>5476</v>
      </c>
      <c r="B162" s="41" t="s">
        <v>93</v>
      </c>
      <c r="C162" s="12">
        <v>102505468</v>
      </c>
      <c r="D162" s="12">
        <v>102587331</v>
      </c>
      <c r="E162" s="12" t="s">
        <v>3943</v>
      </c>
      <c r="F162" s="12">
        <v>3</v>
      </c>
      <c r="G162" s="12" t="s">
        <v>893</v>
      </c>
      <c r="H162" s="12" t="s">
        <v>93</v>
      </c>
      <c r="I162" s="12">
        <v>102505468</v>
      </c>
      <c r="J162" s="41" t="s">
        <v>2263</v>
      </c>
      <c r="K162" s="41" t="s">
        <v>2263</v>
      </c>
      <c r="L162" s="41" t="s">
        <v>8342</v>
      </c>
    </row>
    <row r="163" spans="1:12" x14ac:dyDescent="0.2">
      <c r="A163" s="12" t="s">
        <v>5575</v>
      </c>
      <c r="B163" s="41" t="s">
        <v>93</v>
      </c>
      <c r="C163" s="12">
        <v>102505468</v>
      </c>
      <c r="D163" s="12">
        <v>102587331</v>
      </c>
      <c r="E163" s="12" t="s">
        <v>3943</v>
      </c>
      <c r="F163" s="12">
        <v>3</v>
      </c>
      <c r="G163" s="12" t="s">
        <v>891</v>
      </c>
      <c r="H163" s="12" t="s">
        <v>93</v>
      </c>
      <c r="I163" s="12">
        <v>102505468</v>
      </c>
      <c r="J163" s="41" t="s">
        <v>2262</v>
      </c>
      <c r="K163" s="41" t="s">
        <v>2262</v>
      </c>
      <c r="L163" s="41" t="s">
        <v>8342</v>
      </c>
    </row>
    <row r="164" spans="1:12" x14ac:dyDescent="0.2">
      <c r="A164" s="12" t="s">
        <v>4927</v>
      </c>
      <c r="B164" s="41" t="s">
        <v>103</v>
      </c>
      <c r="C164" s="12">
        <v>145736667</v>
      </c>
      <c r="D164" s="12">
        <v>145738767</v>
      </c>
      <c r="E164" s="12" t="s">
        <v>3943</v>
      </c>
      <c r="F164" s="12">
        <v>1</v>
      </c>
      <c r="G164" s="12" t="s">
        <v>136</v>
      </c>
      <c r="H164" s="12" t="s">
        <v>103</v>
      </c>
      <c r="I164" s="12">
        <v>145736667</v>
      </c>
      <c r="J164" s="41" t="s">
        <v>2128</v>
      </c>
      <c r="K164" s="41" t="s">
        <v>2128</v>
      </c>
      <c r="L164" s="41" t="s">
        <v>3764</v>
      </c>
    </row>
    <row r="165" spans="1:12" x14ac:dyDescent="0.2">
      <c r="A165" s="12" t="s">
        <v>4810</v>
      </c>
      <c r="B165" s="41" t="s">
        <v>186</v>
      </c>
      <c r="C165" s="12">
        <v>72742083</v>
      </c>
      <c r="D165" s="12">
        <v>72743299</v>
      </c>
      <c r="E165" s="12" t="s">
        <v>3940</v>
      </c>
      <c r="F165" s="12">
        <v>2</v>
      </c>
      <c r="G165" s="12" t="s">
        <v>203</v>
      </c>
      <c r="H165" s="12" t="s">
        <v>186</v>
      </c>
      <c r="I165" s="12">
        <v>72742083</v>
      </c>
      <c r="J165" s="41" t="s">
        <v>2167</v>
      </c>
      <c r="K165" s="41" t="s">
        <v>2167</v>
      </c>
      <c r="L165" s="41" t="s">
        <v>3763</v>
      </c>
    </row>
    <row r="166" spans="1:12" x14ac:dyDescent="0.2">
      <c r="A166" s="12" t="s">
        <v>4935</v>
      </c>
      <c r="B166" s="41" t="s">
        <v>86</v>
      </c>
      <c r="C166" s="12">
        <v>50305040</v>
      </c>
      <c r="D166" s="12">
        <v>50306757</v>
      </c>
      <c r="E166" s="12" t="s">
        <v>3940</v>
      </c>
      <c r="F166" s="12">
        <v>1</v>
      </c>
      <c r="G166" s="12" t="s">
        <v>204</v>
      </c>
      <c r="H166" s="12" t="s">
        <v>86</v>
      </c>
      <c r="I166" s="12">
        <v>50305040</v>
      </c>
      <c r="J166" s="41" t="s">
        <v>2194</v>
      </c>
      <c r="K166" s="41" t="s">
        <v>2194</v>
      </c>
      <c r="L166" s="41" t="s">
        <v>3763</v>
      </c>
    </row>
    <row r="167" spans="1:12" x14ac:dyDescent="0.2">
      <c r="A167" s="12" t="s">
        <v>5183</v>
      </c>
      <c r="B167" s="41" t="s">
        <v>186</v>
      </c>
      <c r="C167" s="12">
        <v>77656339</v>
      </c>
      <c r="D167" s="12">
        <v>77745854</v>
      </c>
      <c r="E167" s="12" t="s">
        <v>3940</v>
      </c>
      <c r="F167" s="12">
        <v>1</v>
      </c>
      <c r="G167" s="12" t="s">
        <v>205</v>
      </c>
      <c r="H167" s="12" t="s">
        <v>186</v>
      </c>
      <c r="I167" s="12">
        <v>77656339</v>
      </c>
      <c r="J167" s="41" t="s">
        <v>2192</v>
      </c>
      <c r="K167" s="41" t="s">
        <v>2192</v>
      </c>
      <c r="L167" s="41" t="s">
        <v>3763</v>
      </c>
    </row>
    <row r="168" spans="1:12" x14ac:dyDescent="0.2">
      <c r="A168" s="12" t="s">
        <v>5068</v>
      </c>
      <c r="B168" s="41" t="s">
        <v>36</v>
      </c>
      <c r="C168" s="12">
        <v>125439298</v>
      </c>
      <c r="D168" s="12">
        <v>125452303</v>
      </c>
      <c r="E168" s="12" t="s">
        <v>3940</v>
      </c>
      <c r="F168" s="12">
        <v>1</v>
      </c>
      <c r="G168" s="12" t="s">
        <v>206</v>
      </c>
      <c r="H168" s="12" t="s">
        <v>36</v>
      </c>
      <c r="I168" s="12">
        <v>125439298</v>
      </c>
      <c r="J168" s="41" t="s">
        <v>2164</v>
      </c>
      <c r="K168" s="41" t="s">
        <v>2164</v>
      </c>
      <c r="L168" s="41" t="s">
        <v>3763</v>
      </c>
    </row>
    <row r="169" spans="1:12" x14ac:dyDescent="0.2">
      <c r="A169" s="12" t="s">
        <v>4611</v>
      </c>
      <c r="B169" s="41" t="s">
        <v>81</v>
      </c>
      <c r="C169" s="12">
        <v>24641234</v>
      </c>
      <c r="D169" s="12">
        <v>24646413</v>
      </c>
      <c r="E169" s="12" t="s">
        <v>3940</v>
      </c>
      <c r="F169" s="12">
        <v>3</v>
      </c>
      <c r="G169" s="12" t="s">
        <v>1072</v>
      </c>
      <c r="H169" s="12" t="s">
        <v>81</v>
      </c>
      <c r="I169" s="12">
        <v>24641234</v>
      </c>
      <c r="J169" s="41" t="s">
        <v>2276</v>
      </c>
      <c r="K169" s="41" t="s">
        <v>2276</v>
      </c>
      <c r="L169" s="41" t="s">
        <v>8343</v>
      </c>
    </row>
    <row r="170" spans="1:12" x14ac:dyDescent="0.2">
      <c r="A170" s="12" t="s">
        <v>5213</v>
      </c>
      <c r="B170" s="41" t="s">
        <v>93</v>
      </c>
      <c r="C170" s="12">
        <v>118380465</v>
      </c>
      <c r="D170" s="12">
        <v>118383464</v>
      </c>
      <c r="E170" s="12" t="s">
        <v>3940</v>
      </c>
      <c r="F170" s="12">
        <v>1</v>
      </c>
      <c r="G170" s="12" t="s">
        <v>131</v>
      </c>
      <c r="H170" s="12" t="s">
        <v>93</v>
      </c>
      <c r="I170" s="12">
        <v>118380465</v>
      </c>
      <c r="J170" s="41" t="s">
        <v>2125</v>
      </c>
      <c r="K170" s="41" t="s">
        <v>2125</v>
      </c>
      <c r="L170" s="41" t="s">
        <v>3763</v>
      </c>
    </row>
    <row r="171" spans="1:12" x14ac:dyDescent="0.2">
      <c r="A171" s="12" t="s">
        <v>4405</v>
      </c>
      <c r="B171" s="41" t="s">
        <v>103</v>
      </c>
      <c r="C171" s="12">
        <v>30601690</v>
      </c>
      <c r="D171" s="12">
        <v>30620844</v>
      </c>
      <c r="E171" s="12" t="s">
        <v>3940</v>
      </c>
      <c r="F171" s="12">
        <v>1</v>
      </c>
      <c r="G171" s="12" t="s">
        <v>207</v>
      </c>
      <c r="H171" s="12" t="s">
        <v>103</v>
      </c>
      <c r="I171" s="12">
        <v>30601690</v>
      </c>
      <c r="J171" s="41" t="s">
        <v>2201</v>
      </c>
      <c r="K171" s="41" t="s">
        <v>2201</v>
      </c>
      <c r="L171" s="41" t="s">
        <v>3763</v>
      </c>
    </row>
    <row r="172" spans="1:12" x14ac:dyDescent="0.2">
      <c r="A172" s="12" t="s">
        <v>4401</v>
      </c>
      <c r="B172" s="41" t="s">
        <v>47</v>
      </c>
      <c r="C172" s="12">
        <v>61627796</v>
      </c>
      <c r="D172" s="12">
        <v>61660894</v>
      </c>
      <c r="E172" s="12" t="s">
        <v>3943</v>
      </c>
      <c r="F172" s="12">
        <v>1</v>
      </c>
      <c r="G172" s="12" t="s">
        <v>208</v>
      </c>
      <c r="H172" s="12" t="s">
        <v>47</v>
      </c>
      <c r="I172" s="12">
        <v>61627822</v>
      </c>
      <c r="J172" s="48" t="s">
        <v>8710</v>
      </c>
      <c r="K172" s="48" t="s">
        <v>8711</v>
      </c>
      <c r="L172" s="41" t="s">
        <v>3899</v>
      </c>
    </row>
    <row r="173" spans="1:12" x14ac:dyDescent="0.2">
      <c r="A173" s="12" t="s">
        <v>5075</v>
      </c>
      <c r="B173" s="41" t="s">
        <v>186</v>
      </c>
      <c r="C173" s="12">
        <v>135468536</v>
      </c>
      <c r="D173" s="12">
        <v>135513085</v>
      </c>
      <c r="E173" s="12" t="s">
        <v>3940</v>
      </c>
      <c r="F173" s="12">
        <v>1</v>
      </c>
      <c r="G173" s="12" t="s">
        <v>209</v>
      </c>
      <c r="H173" s="12" t="s">
        <v>186</v>
      </c>
      <c r="I173" s="12">
        <v>135468536</v>
      </c>
      <c r="J173" s="41" t="s">
        <v>2197</v>
      </c>
      <c r="K173" s="41" t="s">
        <v>2197</v>
      </c>
      <c r="L173" s="41" t="s">
        <v>3763</v>
      </c>
    </row>
    <row r="174" spans="1:12" x14ac:dyDescent="0.2">
      <c r="A174" s="12" t="s">
        <v>5206</v>
      </c>
      <c r="B174" s="41" t="s">
        <v>36</v>
      </c>
      <c r="C174" s="12">
        <v>13984184</v>
      </c>
      <c r="D174" s="12">
        <v>14101494</v>
      </c>
      <c r="E174" s="12" t="s">
        <v>3940</v>
      </c>
      <c r="F174" s="12">
        <v>1</v>
      </c>
      <c r="G174" s="12" t="s">
        <v>156</v>
      </c>
      <c r="H174" s="12" t="s">
        <v>36</v>
      </c>
      <c r="I174" s="12">
        <v>13984184</v>
      </c>
      <c r="J174" s="41" t="s">
        <v>2141</v>
      </c>
      <c r="K174" s="41" t="s">
        <v>2141</v>
      </c>
      <c r="L174" s="41" t="s">
        <v>3763</v>
      </c>
    </row>
    <row r="175" spans="1:12" x14ac:dyDescent="0.2">
      <c r="A175" s="12" t="s">
        <v>5058</v>
      </c>
      <c r="B175" s="41" t="s">
        <v>103</v>
      </c>
      <c r="C175" s="12">
        <v>24808468</v>
      </c>
      <c r="D175" s="12">
        <v>24811064</v>
      </c>
      <c r="E175" s="12" t="s">
        <v>3943</v>
      </c>
      <c r="F175" s="12">
        <v>1</v>
      </c>
      <c r="G175" s="12" t="s">
        <v>8371</v>
      </c>
      <c r="H175" s="12" t="s">
        <v>103</v>
      </c>
      <c r="I175" s="12">
        <v>24808468</v>
      </c>
      <c r="J175" s="41" t="s">
        <v>2177</v>
      </c>
      <c r="K175" s="41" t="s">
        <v>2177</v>
      </c>
      <c r="L175" s="41" t="s">
        <v>3899</v>
      </c>
    </row>
    <row r="176" spans="1:12" x14ac:dyDescent="0.2">
      <c r="A176" s="12" t="s">
        <v>4600</v>
      </c>
      <c r="B176" s="41" t="s">
        <v>212</v>
      </c>
      <c r="C176" s="12">
        <v>11418857</v>
      </c>
      <c r="D176" s="12">
        <v>11420333</v>
      </c>
      <c r="E176" s="12" t="s">
        <v>3943</v>
      </c>
      <c r="F176" s="12">
        <v>1</v>
      </c>
      <c r="G176" s="12" t="s">
        <v>211</v>
      </c>
      <c r="H176" s="12" t="s">
        <v>212</v>
      </c>
      <c r="I176" s="12">
        <v>11418857</v>
      </c>
      <c r="J176" s="41" t="s">
        <v>2190</v>
      </c>
      <c r="K176" s="41" t="s">
        <v>2190</v>
      </c>
      <c r="L176" s="41" t="s">
        <v>3763</v>
      </c>
    </row>
    <row r="177" spans="1:12" x14ac:dyDescent="0.2">
      <c r="A177" s="12" t="s">
        <v>5608</v>
      </c>
      <c r="B177" s="41" t="s">
        <v>212</v>
      </c>
      <c r="C177" s="12">
        <v>7079944</v>
      </c>
      <c r="D177" s="12">
        <v>7080212</v>
      </c>
      <c r="E177" s="12" t="s">
        <v>3940</v>
      </c>
      <c r="F177" s="12">
        <v>1</v>
      </c>
      <c r="G177" s="12" t="s">
        <v>1004</v>
      </c>
      <c r="H177" s="12" t="s">
        <v>212</v>
      </c>
      <c r="I177" s="12">
        <v>7079944</v>
      </c>
      <c r="J177" s="41" t="s">
        <v>3367</v>
      </c>
      <c r="K177" s="41" t="s">
        <v>3367</v>
      </c>
      <c r="L177" s="41" t="s">
        <v>3763</v>
      </c>
    </row>
    <row r="178" spans="1:12" x14ac:dyDescent="0.2">
      <c r="A178" s="12" t="s">
        <v>5139</v>
      </c>
      <c r="B178" s="41" t="s">
        <v>43</v>
      </c>
      <c r="C178" s="12">
        <v>29702985</v>
      </c>
      <c r="D178" s="12">
        <v>29707641</v>
      </c>
      <c r="E178" s="12" t="s">
        <v>3940</v>
      </c>
      <c r="F178" s="12">
        <v>1</v>
      </c>
      <c r="G178" s="12" t="s">
        <v>213</v>
      </c>
      <c r="H178" s="12" t="s">
        <v>43</v>
      </c>
      <c r="I178" s="12">
        <v>29702997</v>
      </c>
      <c r="J178" s="48" t="s">
        <v>7692</v>
      </c>
      <c r="K178" s="48" t="s">
        <v>8712</v>
      </c>
      <c r="L178" s="41" t="s">
        <v>3899</v>
      </c>
    </row>
    <row r="179" spans="1:12" x14ac:dyDescent="0.2">
      <c r="A179" s="12" t="s">
        <v>4710</v>
      </c>
      <c r="B179" s="41" t="s">
        <v>103</v>
      </c>
      <c r="C179" s="12">
        <v>48685669</v>
      </c>
      <c r="D179" s="12">
        <v>48805816</v>
      </c>
      <c r="E179" s="12" t="s">
        <v>3940</v>
      </c>
      <c r="F179" s="12">
        <v>1</v>
      </c>
      <c r="G179" s="12" t="s">
        <v>134</v>
      </c>
      <c r="H179" s="12" t="s">
        <v>103</v>
      </c>
      <c r="I179" s="12">
        <v>48685669</v>
      </c>
      <c r="J179" s="41" t="s">
        <v>2127</v>
      </c>
      <c r="K179" s="41" t="s">
        <v>2127</v>
      </c>
      <c r="L179" s="41" t="s">
        <v>3763</v>
      </c>
    </row>
    <row r="180" spans="1:12" x14ac:dyDescent="0.2">
      <c r="A180" s="12" t="s">
        <v>5493</v>
      </c>
      <c r="B180" s="41" t="s">
        <v>50</v>
      </c>
      <c r="C180" s="12">
        <v>50879680</v>
      </c>
      <c r="D180" s="12">
        <v>50881824</v>
      </c>
      <c r="E180" s="12" t="s">
        <v>3940</v>
      </c>
      <c r="F180" s="12">
        <v>3</v>
      </c>
      <c r="G180" s="12" t="s">
        <v>1273</v>
      </c>
      <c r="H180" s="12" t="s">
        <v>50</v>
      </c>
      <c r="I180" s="12">
        <v>50879680</v>
      </c>
      <c r="J180" s="41" t="s">
        <v>2287</v>
      </c>
      <c r="K180" s="41" t="s">
        <v>2287</v>
      </c>
      <c r="L180" s="41" t="s">
        <v>8347</v>
      </c>
    </row>
    <row r="181" spans="1:12" x14ac:dyDescent="0.2">
      <c r="A181" s="12" t="s">
        <v>4125</v>
      </c>
      <c r="B181" s="41" t="s">
        <v>36</v>
      </c>
      <c r="C181" s="12">
        <v>118528942</v>
      </c>
      <c r="D181" s="12">
        <v>118529044</v>
      </c>
      <c r="E181" s="12" t="s">
        <v>3940</v>
      </c>
      <c r="F181" s="12">
        <v>1</v>
      </c>
      <c r="G181" s="12" t="s">
        <v>170</v>
      </c>
      <c r="H181" s="12" t="s">
        <v>36</v>
      </c>
      <c r="I181" s="12">
        <v>118528942</v>
      </c>
      <c r="J181" s="41" t="s">
        <v>2150</v>
      </c>
      <c r="K181" s="41" t="s">
        <v>2150</v>
      </c>
      <c r="L181" s="41" t="s">
        <v>3763</v>
      </c>
    </row>
    <row r="182" spans="1:12" x14ac:dyDescent="0.2">
      <c r="A182" s="12" t="s">
        <v>4210</v>
      </c>
      <c r="B182" s="41" t="s">
        <v>50</v>
      </c>
      <c r="C182" s="12">
        <v>15726029</v>
      </c>
      <c r="D182" s="12">
        <v>15730498</v>
      </c>
      <c r="E182" s="12" t="s">
        <v>3940</v>
      </c>
      <c r="F182" s="12">
        <v>1</v>
      </c>
      <c r="G182" s="12" t="s">
        <v>66</v>
      </c>
      <c r="H182" s="12" t="s">
        <v>50</v>
      </c>
      <c r="I182" s="12">
        <v>15726029</v>
      </c>
      <c r="J182" s="41" t="s">
        <v>2090</v>
      </c>
      <c r="K182" s="41" t="s">
        <v>2090</v>
      </c>
      <c r="L182" s="41" t="s">
        <v>3763</v>
      </c>
    </row>
    <row r="183" spans="1:12" x14ac:dyDescent="0.2">
      <c r="A183" s="12" t="s">
        <v>4466</v>
      </c>
      <c r="B183" s="41" t="s">
        <v>40</v>
      </c>
      <c r="C183" s="12">
        <v>130146079</v>
      </c>
      <c r="D183" s="12">
        <v>130287359</v>
      </c>
      <c r="E183" s="12" t="s">
        <v>3940</v>
      </c>
      <c r="F183" s="12">
        <v>308</v>
      </c>
      <c r="G183" s="12" t="s">
        <v>758</v>
      </c>
      <c r="H183" s="12" t="s">
        <v>40</v>
      </c>
      <c r="I183" s="12">
        <v>130146079</v>
      </c>
      <c r="J183" s="41" t="s">
        <v>2249</v>
      </c>
      <c r="K183" s="41" t="s">
        <v>2249</v>
      </c>
      <c r="L183" s="41" t="s">
        <v>8427</v>
      </c>
    </row>
    <row r="184" spans="1:12" x14ac:dyDescent="0.2">
      <c r="A184" s="12" t="s">
        <v>4466</v>
      </c>
      <c r="B184" s="41" t="s">
        <v>40</v>
      </c>
      <c r="C184" s="12">
        <v>130146079</v>
      </c>
      <c r="D184" s="12">
        <v>130277168</v>
      </c>
      <c r="E184" s="12" t="s">
        <v>3940</v>
      </c>
      <c r="F184" s="12">
        <v>317</v>
      </c>
      <c r="G184" s="12" t="s">
        <v>758</v>
      </c>
      <c r="H184" s="12" t="s">
        <v>40</v>
      </c>
      <c r="I184" s="12">
        <v>130146079</v>
      </c>
      <c r="J184" s="41" t="s">
        <v>2249</v>
      </c>
      <c r="K184" s="41" t="s">
        <v>2249</v>
      </c>
      <c r="L184" s="41" t="s">
        <v>8427</v>
      </c>
    </row>
    <row r="185" spans="1:12" x14ac:dyDescent="0.2">
      <c r="A185" s="12" t="s">
        <v>4466</v>
      </c>
      <c r="B185" s="41" t="s">
        <v>40</v>
      </c>
      <c r="C185" s="12">
        <v>130146079</v>
      </c>
      <c r="D185" s="12">
        <v>130273732</v>
      </c>
      <c r="E185" s="12" t="s">
        <v>3940</v>
      </c>
      <c r="F185" s="12">
        <v>29</v>
      </c>
      <c r="G185" s="12" t="s">
        <v>758</v>
      </c>
      <c r="H185" s="12" t="s">
        <v>40</v>
      </c>
      <c r="I185" s="12">
        <v>130146079</v>
      </c>
      <c r="J185" s="41" t="s">
        <v>2249</v>
      </c>
      <c r="K185" s="41" t="s">
        <v>2249</v>
      </c>
      <c r="L185" s="41" t="s">
        <v>8427</v>
      </c>
    </row>
    <row r="186" spans="1:12" x14ac:dyDescent="0.2">
      <c r="A186" s="12" t="s">
        <v>4466</v>
      </c>
      <c r="B186" s="41" t="s">
        <v>40</v>
      </c>
      <c r="C186" s="12">
        <v>130146079</v>
      </c>
      <c r="D186" s="12">
        <v>130277162</v>
      </c>
      <c r="E186" s="12" t="s">
        <v>3940</v>
      </c>
      <c r="F186" s="12">
        <v>2</v>
      </c>
      <c r="G186" s="12" t="s">
        <v>758</v>
      </c>
      <c r="H186" s="12" t="s">
        <v>40</v>
      </c>
      <c r="I186" s="12">
        <v>130146079</v>
      </c>
      <c r="J186" s="41" t="s">
        <v>2249</v>
      </c>
      <c r="K186" s="41" t="s">
        <v>2249</v>
      </c>
      <c r="L186" s="41" t="s">
        <v>8427</v>
      </c>
    </row>
    <row r="187" spans="1:12" x14ac:dyDescent="0.2">
      <c r="A187" s="12" t="s">
        <v>4466</v>
      </c>
      <c r="B187" s="41" t="s">
        <v>40</v>
      </c>
      <c r="C187" s="12">
        <v>130146079</v>
      </c>
      <c r="D187" s="12">
        <v>130269215</v>
      </c>
      <c r="E187" s="12" t="s">
        <v>3940</v>
      </c>
      <c r="F187" s="12">
        <v>68</v>
      </c>
      <c r="G187" s="12" t="s">
        <v>758</v>
      </c>
      <c r="H187" s="12" t="s">
        <v>40</v>
      </c>
      <c r="I187" s="12">
        <v>130146079</v>
      </c>
      <c r="J187" s="41" t="s">
        <v>2249</v>
      </c>
      <c r="K187" s="41" t="s">
        <v>2249</v>
      </c>
      <c r="L187" s="41" t="s">
        <v>8427</v>
      </c>
    </row>
    <row r="188" spans="1:12" x14ac:dyDescent="0.2">
      <c r="A188" s="12" t="s">
        <v>4466</v>
      </c>
      <c r="B188" s="41" t="s">
        <v>40</v>
      </c>
      <c r="C188" s="12">
        <v>130146079</v>
      </c>
      <c r="D188" s="12">
        <v>130255198</v>
      </c>
      <c r="E188" s="12" t="s">
        <v>3940</v>
      </c>
      <c r="F188" s="12">
        <v>364</v>
      </c>
      <c r="G188" s="12" t="s">
        <v>758</v>
      </c>
      <c r="H188" s="12" t="s">
        <v>40</v>
      </c>
      <c r="I188" s="12">
        <v>130146079</v>
      </c>
      <c r="J188" s="41" t="s">
        <v>2249</v>
      </c>
      <c r="K188" s="41" t="s">
        <v>2249</v>
      </c>
      <c r="L188" s="41" t="s">
        <v>8427</v>
      </c>
    </row>
    <row r="189" spans="1:12" x14ac:dyDescent="0.2">
      <c r="A189" s="12" t="s">
        <v>4466</v>
      </c>
      <c r="B189" s="41" t="s">
        <v>40</v>
      </c>
      <c r="C189" s="12">
        <v>130146079</v>
      </c>
      <c r="D189" s="12">
        <v>130153710</v>
      </c>
      <c r="E189" s="12" t="s">
        <v>3943</v>
      </c>
      <c r="F189" s="12">
        <v>1</v>
      </c>
      <c r="G189" s="12" t="s">
        <v>758</v>
      </c>
      <c r="H189" s="12" t="s">
        <v>40</v>
      </c>
      <c r="I189" s="12">
        <v>130146079</v>
      </c>
      <c r="J189" s="41" t="s">
        <v>2249</v>
      </c>
      <c r="K189" s="41" t="s">
        <v>2249</v>
      </c>
      <c r="L189" s="41" t="s">
        <v>8427</v>
      </c>
    </row>
    <row r="190" spans="1:12" x14ac:dyDescent="0.2">
      <c r="A190" s="12" t="s">
        <v>4466</v>
      </c>
      <c r="B190" s="41" t="s">
        <v>40</v>
      </c>
      <c r="C190" s="12">
        <v>130146079</v>
      </c>
      <c r="D190" s="12">
        <v>130148522</v>
      </c>
      <c r="E190" s="12" t="s">
        <v>3940</v>
      </c>
      <c r="F190" s="12">
        <v>190</v>
      </c>
      <c r="G190" s="12" t="s">
        <v>758</v>
      </c>
      <c r="H190" s="12" t="s">
        <v>40</v>
      </c>
      <c r="I190" s="12">
        <v>130146079</v>
      </c>
      <c r="J190" s="41" t="s">
        <v>2249</v>
      </c>
      <c r="K190" s="41" t="s">
        <v>2249</v>
      </c>
      <c r="L190" s="41" t="s">
        <v>8427</v>
      </c>
    </row>
    <row r="191" spans="1:12" x14ac:dyDescent="0.2">
      <c r="A191" s="12" t="s">
        <v>4466</v>
      </c>
      <c r="B191" s="41" t="s">
        <v>40</v>
      </c>
      <c r="C191" s="12">
        <v>130146079</v>
      </c>
      <c r="D191" s="12">
        <v>130148502</v>
      </c>
      <c r="E191" s="12" t="s">
        <v>3943</v>
      </c>
      <c r="F191" s="12">
        <v>3</v>
      </c>
      <c r="G191" s="12" t="s">
        <v>758</v>
      </c>
      <c r="H191" s="12" t="s">
        <v>40</v>
      </c>
      <c r="I191" s="12">
        <v>130146079</v>
      </c>
      <c r="J191" s="41" t="s">
        <v>2249</v>
      </c>
      <c r="K191" s="41" t="s">
        <v>2249</v>
      </c>
      <c r="L191" s="41" t="s">
        <v>8427</v>
      </c>
    </row>
    <row r="192" spans="1:12" x14ac:dyDescent="0.2">
      <c r="A192" s="12" t="s">
        <v>4466</v>
      </c>
      <c r="B192" s="41" t="s">
        <v>40</v>
      </c>
      <c r="C192" s="12">
        <v>130146079</v>
      </c>
      <c r="D192" s="12">
        <v>130148514</v>
      </c>
      <c r="E192" s="12" t="s">
        <v>3940</v>
      </c>
      <c r="F192" s="12">
        <v>8</v>
      </c>
      <c r="G192" s="12" t="s">
        <v>758</v>
      </c>
      <c r="H192" s="12" t="s">
        <v>40</v>
      </c>
      <c r="I192" s="12">
        <v>130146079</v>
      </c>
      <c r="J192" s="41" t="s">
        <v>2249</v>
      </c>
      <c r="K192" s="41" t="s">
        <v>2249</v>
      </c>
      <c r="L192" s="41" t="s">
        <v>8427</v>
      </c>
    </row>
    <row r="193" spans="1:12" x14ac:dyDescent="0.2">
      <c r="A193" s="12" t="s">
        <v>4466</v>
      </c>
      <c r="B193" s="41" t="s">
        <v>40</v>
      </c>
      <c r="C193" s="12">
        <v>130146079</v>
      </c>
      <c r="D193" s="12">
        <v>130146326</v>
      </c>
      <c r="E193" s="12" t="s">
        <v>3943</v>
      </c>
      <c r="F193" s="12">
        <v>1</v>
      </c>
      <c r="G193" s="12" t="s">
        <v>758</v>
      </c>
      <c r="H193" s="12" t="s">
        <v>40</v>
      </c>
      <c r="I193" s="12">
        <v>130146079</v>
      </c>
      <c r="J193" s="41" t="s">
        <v>2249</v>
      </c>
      <c r="K193" s="41" t="s">
        <v>2249</v>
      </c>
      <c r="L193" s="41" t="s">
        <v>8427</v>
      </c>
    </row>
    <row r="194" spans="1:12" x14ac:dyDescent="0.2">
      <c r="A194" s="12" t="s">
        <v>4244</v>
      </c>
      <c r="B194" s="41" t="s">
        <v>36</v>
      </c>
      <c r="C194" s="12">
        <v>70313961</v>
      </c>
      <c r="D194" s="12">
        <v>70785659</v>
      </c>
      <c r="E194" s="12" t="s">
        <v>3940</v>
      </c>
      <c r="F194" s="12">
        <v>25</v>
      </c>
      <c r="G194" s="12" t="s">
        <v>962</v>
      </c>
      <c r="H194" s="12" t="s">
        <v>36</v>
      </c>
      <c r="I194" s="12">
        <v>70313961</v>
      </c>
      <c r="J194" s="41" t="s">
        <v>3359</v>
      </c>
      <c r="K194" s="41" t="s">
        <v>3359</v>
      </c>
      <c r="L194" s="41" t="s">
        <v>8424</v>
      </c>
    </row>
    <row r="195" spans="1:12" x14ac:dyDescent="0.2">
      <c r="A195" s="12" t="s">
        <v>4244</v>
      </c>
      <c r="B195" s="41" t="s">
        <v>36</v>
      </c>
      <c r="C195" s="12">
        <v>70313961</v>
      </c>
      <c r="D195" s="12">
        <v>70766144</v>
      </c>
      <c r="E195" s="12" t="s">
        <v>3940</v>
      </c>
      <c r="F195" s="12">
        <v>64</v>
      </c>
      <c r="G195" s="12" t="s">
        <v>962</v>
      </c>
      <c r="H195" s="12" t="s">
        <v>36</v>
      </c>
      <c r="I195" s="12">
        <v>70313961</v>
      </c>
      <c r="J195" s="41" t="s">
        <v>3359</v>
      </c>
      <c r="K195" s="41" t="s">
        <v>3359</v>
      </c>
      <c r="L195" s="41" t="s">
        <v>8424</v>
      </c>
    </row>
    <row r="196" spans="1:12" x14ac:dyDescent="0.2">
      <c r="A196" s="12" t="s">
        <v>4244</v>
      </c>
      <c r="B196" s="41" t="s">
        <v>36</v>
      </c>
      <c r="C196" s="12">
        <v>70313961</v>
      </c>
      <c r="D196" s="12">
        <v>70776136</v>
      </c>
      <c r="E196" s="12" t="s">
        <v>3943</v>
      </c>
      <c r="F196" s="12">
        <v>1</v>
      </c>
      <c r="G196" s="12" t="s">
        <v>962</v>
      </c>
      <c r="H196" s="12" t="s">
        <v>36</v>
      </c>
      <c r="I196" s="12">
        <v>70313961</v>
      </c>
      <c r="J196" s="41" t="s">
        <v>3359</v>
      </c>
      <c r="K196" s="41" t="s">
        <v>3359</v>
      </c>
      <c r="L196" s="41" t="s">
        <v>8424</v>
      </c>
    </row>
    <row r="197" spans="1:12" x14ac:dyDescent="0.2">
      <c r="A197" s="12" t="s">
        <v>4244</v>
      </c>
      <c r="B197" s="41" t="s">
        <v>36</v>
      </c>
      <c r="C197" s="12">
        <v>70313961</v>
      </c>
      <c r="D197" s="12">
        <v>70742678</v>
      </c>
      <c r="E197" s="12" t="s">
        <v>3940</v>
      </c>
      <c r="F197" s="12">
        <v>52</v>
      </c>
      <c r="G197" s="12" t="s">
        <v>962</v>
      </c>
      <c r="H197" s="12" t="s">
        <v>36</v>
      </c>
      <c r="I197" s="12">
        <v>70313961</v>
      </c>
      <c r="J197" s="41" t="s">
        <v>3359</v>
      </c>
      <c r="K197" s="41" t="s">
        <v>3359</v>
      </c>
      <c r="L197" s="41" t="s">
        <v>8424</v>
      </c>
    </row>
    <row r="198" spans="1:12" x14ac:dyDescent="0.2">
      <c r="A198" s="12" t="s">
        <v>5078</v>
      </c>
      <c r="B198" s="41" t="s">
        <v>36</v>
      </c>
      <c r="C198" s="12">
        <v>70313961</v>
      </c>
      <c r="D198" s="12">
        <v>70785659</v>
      </c>
      <c r="E198" s="12" t="s">
        <v>3940</v>
      </c>
      <c r="F198" s="12">
        <v>25</v>
      </c>
      <c r="G198" s="12" t="s">
        <v>962</v>
      </c>
      <c r="H198" s="12" t="s">
        <v>36</v>
      </c>
      <c r="I198" s="12">
        <v>70313961</v>
      </c>
      <c r="J198" s="41" t="s">
        <v>3359</v>
      </c>
      <c r="K198" s="41" t="s">
        <v>3359</v>
      </c>
      <c r="L198" s="41" t="s">
        <v>8424</v>
      </c>
    </row>
    <row r="199" spans="1:12" x14ac:dyDescent="0.2">
      <c r="A199" s="12" t="s">
        <v>5078</v>
      </c>
      <c r="B199" s="41" t="s">
        <v>36</v>
      </c>
      <c r="C199" s="12">
        <v>70313961</v>
      </c>
      <c r="D199" s="12">
        <v>70766144</v>
      </c>
      <c r="E199" s="12" t="s">
        <v>3940</v>
      </c>
      <c r="F199" s="12">
        <v>64</v>
      </c>
      <c r="G199" s="12" t="s">
        <v>962</v>
      </c>
      <c r="H199" s="12" t="s">
        <v>36</v>
      </c>
      <c r="I199" s="12">
        <v>70313961</v>
      </c>
      <c r="J199" s="41" t="s">
        <v>3359</v>
      </c>
      <c r="K199" s="41" t="s">
        <v>3359</v>
      </c>
      <c r="L199" s="41" t="s">
        <v>8424</v>
      </c>
    </row>
    <row r="200" spans="1:12" x14ac:dyDescent="0.2">
      <c r="A200" s="12" t="s">
        <v>5078</v>
      </c>
      <c r="B200" s="41" t="s">
        <v>36</v>
      </c>
      <c r="C200" s="12">
        <v>70313961</v>
      </c>
      <c r="D200" s="12">
        <v>70776136</v>
      </c>
      <c r="E200" s="12" t="s">
        <v>3943</v>
      </c>
      <c r="F200" s="12">
        <v>1</v>
      </c>
      <c r="G200" s="12" t="s">
        <v>962</v>
      </c>
      <c r="H200" s="12" t="s">
        <v>36</v>
      </c>
      <c r="I200" s="12">
        <v>70313961</v>
      </c>
      <c r="J200" s="41" t="s">
        <v>3359</v>
      </c>
      <c r="K200" s="41" t="s">
        <v>3359</v>
      </c>
      <c r="L200" s="41" t="s">
        <v>8424</v>
      </c>
    </row>
    <row r="201" spans="1:12" x14ac:dyDescent="0.2">
      <c r="A201" s="12" t="s">
        <v>5078</v>
      </c>
      <c r="B201" s="41" t="s">
        <v>36</v>
      </c>
      <c r="C201" s="12">
        <v>70313961</v>
      </c>
      <c r="D201" s="12">
        <v>70742678</v>
      </c>
      <c r="E201" s="12" t="s">
        <v>3940</v>
      </c>
      <c r="F201" s="12">
        <v>52</v>
      </c>
      <c r="G201" s="12" t="s">
        <v>962</v>
      </c>
      <c r="H201" s="12" t="s">
        <v>36</v>
      </c>
      <c r="I201" s="12">
        <v>70313961</v>
      </c>
      <c r="J201" s="41" t="s">
        <v>3359</v>
      </c>
      <c r="K201" s="41" t="s">
        <v>3359</v>
      </c>
      <c r="L201" s="41" t="s">
        <v>8424</v>
      </c>
    </row>
    <row r="202" spans="1:12" x14ac:dyDescent="0.2">
      <c r="A202" s="12" t="s">
        <v>4060</v>
      </c>
      <c r="B202" s="41" t="s">
        <v>50</v>
      </c>
      <c r="C202" s="12">
        <v>55344174</v>
      </c>
      <c r="D202" s="12">
        <v>55350965</v>
      </c>
      <c r="E202" s="12" t="s">
        <v>3940</v>
      </c>
      <c r="F202" s="12">
        <v>22</v>
      </c>
      <c r="G202" s="12" t="s">
        <v>214</v>
      </c>
      <c r="H202" s="12" t="s">
        <v>50</v>
      </c>
      <c r="I202" s="12">
        <v>55344174</v>
      </c>
      <c r="J202" s="41" t="s">
        <v>2170</v>
      </c>
      <c r="K202" s="41" t="s">
        <v>2170</v>
      </c>
      <c r="L202" s="41" t="s">
        <v>8334</v>
      </c>
    </row>
    <row r="203" spans="1:12" x14ac:dyDescent="0.2">
      <c r="A203" s="12" t="s">
        <v>5472</v>
      </c>
      <c r="B203" s="41" t="s">
        <v>43</v>
      </c>
      <c r="C203" s="12">
        <v>51039131</v>
      </c>
      <c r="D203" s="12">
        <v>51042513</v>
      </c>
      <c r="E203" s="12" t="s">
        <v>3940</v>
      </c>
      <c r="F203" s="12">
        <v>1</v>
      </c>
      <c r="G203" s="12" t="s">
        <v>215</v>
      </c>
      <c r="H203" s="12" t="s">
        <v>43</v>
      </c>
      <c r="I203" s="12">
        <v>51039131</v>
      </c>
      <c r="J203" s="41" t="s">
        <v>2175</v>
      </c>
      <c r="K203" s="41" t="s">
        <v>2175</v>
      </c>
      <c r="L203" s="41" t="s">
        <v>3763</v>
      </c>
    </row>
    <row r="204" spans="1:12" x14ac:dyDescent="0.2">
      <c r="A204" s="12" t="s">
        <v>5172</v>
      </c>
      <c r="B204" s="41" t="s">
        <v>50</v>
      </c>
      <c r="C204" s="12">
        <v>4910566</v>
      </c>
      <c r="D204" s="12">
        <v>4954680</v>
      </c>
      <c r="E204" s="12" t="s">
        <v>3940</v>
      </c>
      <c r="F204" s="12">
        <v>1</v>
      </c>
      <c r="G204" s="12" t="s">
        <v>216</v>
      </c>
      <c r="H204" s="12" t="s">
        <v>50</v>
      </c>
      <c r="I204" s="12">
        <v>4910566</v>
      </c>
      <c r="J204" s="41" t="s">
        <v>2203</v>
      </c>
      <c r="K204" s="41" t="s">
        <v>2203</v>
      </c>
      <c r="L204" s="41" t="s">
        <v>3763</v>
      </c>
    </row>
    <row r="205" spans="1:12" x14ac:dyDescent="0.2">
      <c r="A205" s="12" t="s">
        <v>4041</v>
      </c>
      <c r="B205" s="41" t="s">
        <v>113</v>
      </c>
      <c r="C205" s="12">
        <v>72102888</v>
      </c>
      <c r="D205" s="12">
        <v>72105932</v>
      </c>
      <c r="E205" s="12" t="s">
        <v>3943</v>
      </c>
      <c r="F205" s="12">
        <v>1</v>
      </c>
      <c r="G205" s="12" t="s">
        <v>217</v>
      </c>
      <c r="H205" s="12" t="s">
        <v>113</v>
      </c>
      <c r="I205" s="12">
        <v>72102894</v>
      </c>
      <c r="J205" s="48" t="s">
        <v>6691</v>
      </c>
      <c r="K205" s="48" t="s">
        <v>8714</v>
      </c>
      <c r="L205" s="41" t="s">
        <v>3899</v>
      </c>
    </row>
    <row r="206" spans="1:12" x14ac:dyDescent="0.2">
      <c r="A206" s="12" t="s">
        <v>4817</v>
      </c>
      <c r="B206" s="41" t="s">
        <v>212</v>
      </c>
      <c r="C206" s="12">
        <v>6937572</v>
      </c>
      <c r="D206" s="12">
        <v>6938024</v>
      </c>
      <c r="E206" s="12" t="s">
        <v>3940</v>
      </c>
      <c r="F206" s="12">
        <v>1</v>
      </c>
      <c r="G206" s="12" t="s">
        <v>218</v>
      </c>
      <c r="H206" s="12" t="s">
        <v>212</v>
      </c>
      <c r="I206" s="12">
        <v>6937572</v>
      </c>
      <c r="J206" s="41" t="s">
        <v>2173</v>
      </c>
      <c r="K206" s="41" t="s">
        <v>2173</v>
      </c>
      <c r="L206" s="41" t="s">
        <v>3763</v>
      </c>
    </row>
    <row r="207" spans="1:12" x14ac:dyDescent="0.2">
      <c r="A207" s="12" t="s">
        <v>4099</v>
      </c>
      <c r="B207" s="41" t="s">
        <v>179</v>
      </c>
      <c r="C207" s="12">
        <v>74069637</v>
      </c>
      <c r="D207" s="12">
        <v>74090957</v>
      </c>
      <c r="E207" s="12" t="s">
        <v>3943</v>
      </c>
      <c r="F207" s="12">
        <v>1</v>
      </c>
      <c r="G207" s="12" t="s">
        <v>178</v>
      </c>
      <c r="H207" s="12" t="s">
        <v>179</v>
      </c>
      <c r="I207" s="12">
        <v>74069637</v>
      </c>
      <c r="J207" s="41" t="s">
        <v>2154</v>
      </c>
      <c r="K207" s="41" t="s">
        <v>2154</v>
      </c>
      <c r="L207" s="41" t="s">
        <v>3763</v>
      </c>
    </row>
    <row r="208" spans="1:12" x14ac:dyDescent="0.2">
      <c r="A208" s="12" t="s">
        <v>4264</v>
      </c>
      <c r="B208" s="41" t="s">
        <v>86</v>
      </c>
      <c r="C208" s="12">
        <v>51433298</v>
      </c>
      <c r="D208" s="12">
        <v>51467664</v>
      </c>
      <c r="E208" s="12" t="s">
        <v>3940</v>
      </c>
      <c r="F208" s="12">
        <v>159</v>
      </c>
      <c r="G208" s="12" t="s">
        <v>527</v>
      </c>
      <c r="H208" s="12" t="s">
        <v>86</v>
      </c>
      <c r="I208" s="12">
        <v>51433298</v>
      </c>
      <c r="J208" s="41" t="s">
        <v>2235</v>
      </c>
      <c r="K208" s="41" t="s">
        <v>2235</v>
      </c>
      <c r="L208" s="41" t="s">
        <v>8336</v>
      </c>
    </row>
    <row r="209" spans="1:12" x14ac:dyDescent="0.2">
      <c r="A209" s="12" t="s">
        <v>4585</v>
      </c>
      <c r="B209" s="41" t="s">
        <v>93</v>
      </c>
      <c r="C209" s="12">
        <v>97889472</v>
      </c>
      <c r="D209" s="12">
        <v>97920100</v>
      </c>
      <c r="E209" s="12" t="s">
        <v>3940</v>
      </c>
      <c r="F209" s="12">
        <v>1</v>
      </c>
      <c r="G209" s="12" t="s">
        <v>181</v>
      </c>
      <c r="H209" s="12" t="s">
        <v>93</v>
      </c>
      <c r="I209" s="12">
        <v>97889472</v>
      </c>
      <c r="J209" s="41" t="s">
        <v>2155</v>
      </c>
      <c r="K209" s="41" t="s">
        <v>2155</v>
      </c>
      <c r="L209" s="41" t="s">
        <v>3763</v>
      </c>
    </row>
    <row r="210" spans="1:12" x14ac:dyDescent="0.2">
      <c r="A210" s="12" t="s">
        <v>5546</v>
      </c>
      <c r="B210" s="41" t="s">
        <v>40</v>
      </c>
      <c r="C210" s="12">
        <v>28992974</v>
      </c>
      <c r="D210" s="12">
        <v>28997498</v>
      </c>
      <c r="E210" s="12" t="s">
        <v>3943</v>
      </c>
      <c r="F210" s="12">
        <v>1</v>
      </c>
      <c r="G210" s="12" t="s">
        <v>721</v>
      </c>
      <c r="H210" s="12" t="s">
        <v>40</v>
      </c>
      <c r="I210" s="12">
        <v>28992974</v>
      </c>
      <c r="J210" s="41" t="s">
        <v>2245</v>
      </c>
      <c r="K210" s="41" t="s">
        <v>2245</v>
      </c>
      <c r="L210" s="41" t="s">
        <v>3763</v>
      </c>
    </row>
    <row r="211" spans="1:12" x14ac:dyDescent="0.2">
      <c r="A211" s="12" t="s">
        <v>5546</v>
      </c>
      <c r="B211" s="41" t="s">
        <v>40</v>
      </c>
      <c r="C211" s="12">
        <v>28992974</v>
      </c>
      <c r="D211" s="12">
        <v>28997596</v>
      </c>
      <c r="E211" s="12" t="s">
        <v>3940</v>
      </c>
      <c r="F211" s="12">
        <v>1</v>
      </c>
      <c r="G211" s="12" t="s">
        <v>721</v>
      </c>
      <c r="H211" s="12" t="s">
        <v>40</v>
      </c>
      <c r="I211" s="12">
        <v>28992974</v>
      </c>
      <c r="J211" s="41" t="s">
        <v>2245</v>
      </c>
      <c r="K211" s="41" t="s">
        <v>2245</v>
      </c>
      <c r="L211" s="41" t="s">
        <v>3763</v>
      </c>
    </row>
    <row r="212" spans="1:12" x14ac:dyDescent="0.2">
      <c r="A212" s="12" t="s">
        <v>4885</v>
      </c>
      <c r="B212" s="41" t="s">
        <v>47</v>
      </c>
      <c r="C212" s="12">
        <v>26698683</v>
      </c>
      <c r="D212" s="12">
        <v>26699195</v>
      </c>
      <c r="E212" s="12" t="s">
        <v>3940</v>
      </c>
      <c r="F212" s="12">
        <v>1</v>
      </c>
      <c r="G212" s="12" t="s">
        <v>8730</v>
      </c>
      <c r="H212" s="12" t="s">
        <v>47</v>
      </c>
      <c r="I212" s="12">
        <v>26698987</v>
      </c>
      <c r="J212" s="48" t="s">
        <v>8153</v>
      </c>
      <c r="K212" s="48" t="s">
        <v>8715</v>
      </c>
      <c r="L212" s="41" t="s">
        <v>8428</v>
      </c>
    </row>
    <row r="213" spans="1:12" x14ac:dyDescent="0.2">
      <c r="A213" s="12" t="s">
        <v>4885</v>
      </c>
      <c r="B213" s="41" t="s">
        <v>47</v>
      </c>
      <c r="C213" s="12">
        <v>26698683</v>
      </c>
      <c r="D213" s="12">
        <v>26699202</v>
      </c>
      <c r="E213" s="12" t="s">
        <v>3940</v>
      </c>
      <c r="F213" s="12">
        <v>1</v>
      </c>
      <c r="G213" s="12" t="s">
        <v>1163</v>
      </c>
      <c r="H213" s="12" t="s">
        <v>47</v>
      </c>
      <c r="I213" s="12">
        <v>26698987</v>
      </c>
      <c r="J213" s="48" t="s">
        <v>8153</v>
      </c>
      <c r="K213" s="48" t="s">
        <v>3385</v>
      </c>
      <c r="L213" s="41" t="s">
        <v>8428</v>
      </c>
    </row>
    <row r="214" spans="1:12" x14ac:dyDescent="0.2">
      <c r="A214" s="12" t="s">
        <v>4885</v>
      </c>
      <c r="B214" s="41" t="s">
        <v>47</v>
      </c>
      <c r="C214" s="12">
        <v>26698683</v>
      </c>
      <c r="D214" s="12">
        <v>26699207</v>
      </c>
      <c r="E214" s="12" t="s">
        <v>3943</v>
      </c>
      <c r="F214" s="12">
        <v>1</v>
      </c>
      <c r="G214" s="12" t="s">
        <v>1163</v>
      </c>
      <c r="H214" s="12" t="s">
        <v>47</v>
      </c>
      <c r="I214" s="12">
        <v>26698987</v>
      </c>
      <c r="J214" s="48" t="s">
        <v>8153</v>
      </c>
      <c r="K214" s="48" t="s">
        <v>3385</v>
      </c>
      <c r="L214" s="41" t="s">
        <v>8428</v>
      </c>
    </row>
    <row r="215" spans="1:12" x14ac:dyDescent="0.2">
      <c r="A215" s="12" t="s">
        <v>4885</v>
      </c>
      <c r="B215" s="41" t="s">
        <v>47</v>
      </c>
      <c r="C215" s="12">
        <v>26698683</v>
      </c>
      <c r="D215" s="12">
        <v>26699368</v>
      </c>
      <c r="E215" s="12" t="s">
        <v>3940</v>
      </c>
      <c r="F215" s="12">
        <v>1</v>
      </c>
      <c r="G215" s="12" t="s">
        <v>1163</v>
      </c>
      <c r="H215" s="12" t="s">
        <v>47</v>
      </c>
      <c r="I215" s="12">
        <v>26698987</v>
      </c>
      <c r="J215" s="48" t="s">
        <v>8153</v>
      </c>
      <c r="K215" s="48" t="s">
        <v>3385</v>
      </c>
      <c r="L215" s="41" t="s">
        <v>8428</v>
      </c>
    </row>
    <row r="216" spans="1:12" x14ac:dyDescent="0.2">
      <c r="A216" s="12" t="s">
        <v>4885</v>
      </c>
      <c r="B216" s="41" t="s">
        <v>47</v>
      </c>
      <c r="C216" s="12">
        <v>26698683</v>
      </c>
      <c r="D216" s="12">
        <v>26724876</v>
      </c>
      <c r="E216" s="12" t="s">
        <v>3940</v>
      </c>
      <c r="F216" s="12">
        <v>3</v>
      </c>
      <c r="G216" s="12" t="s">
        <v>1163</v>
      </c>
      <c r="H216" s="12" t="s">
        <v>47</v>
      </c>
      <c r="I216" s="12">
        <v>26698987</v>
      </c>
      <c r="J216" s="48" t="s">
        <v>8153</v>
      </c>
      <c r="K216" s="48" t="s">
        <v>3385</v>
      </c>
      <c r="L216" s="41" t="s">
        <v>8428</v>
      </c>
    </row>
    <row r="217" spans="1:12" x14ac:dyDescent="0.2">
      <c r="A217" s="12" t="s">
        <v>4885</v>
      </c>
      <c r="B217" s="41" t="s">
        <v>47</v>
      </c>
      <c r="C217" s="12">
        <v>26698683</v>
      </c>
      <c r="D217" s="12">
        <v>26727722</v>
      </c>
      <c r="E217" s="12" t="s">
        <v>3943</v>
      </c>
      <c r="F217" s="12">
        <v>1</v>
      </c>
      <c r="G217" s="12" t="s">
        <v>1163</v>
      </c>
      <c r="H217" s="12" t="s">
        <v>47</v>
      </c>
      <c r="I217" s="12">
        <v>26698987</v>
      </c>
      <c r="J217" s="48" t="s">
        <v>8153</v>
      </c>
      <c r="K217" s="48" t="s">
        <v>3385</v>
      </c>
      <c r="L217" s="41" t="s">
        <v>8428</v>
      </c>
    </row>
    <row r="218" spans="1:12" x14ac:dyDescent="0.2">
      <c r="A218" s="12" t="s">
        <v>5482</v>
      </c>
      <c r="B218" s="41" t="s">
        <v>1</v>
      </c>
      <c r="C218" s="12">
        <v>73612886</v>
      </c>
      <c r="D218" s="12">
        <v>73613070</v>
      </c>
      <c r="E218" s="12" t="s">
        <v>3940</v>
      </c>
      <c r="F218" s="12">
        <v>3</v>
      </c>
      <c r="G218" s="12" t="s">
        <v>426</v>
      </c>
      <c r="H218" s="12" t="s">
        <v>1</v>
      </c>
      <c r="I218" s="12">
        <v>73612886</v>
      </c>
      <c r="J218" s="41" t="s">
        <v>2227</v>
      </c>
      <c r="K218" s="41" t="s">
        <v>2227</v>
      </c>
      <c r="L218" s="41" t="s">
        <v>8364</v>
      </c>
    </row>
    <row r="219" spans="1:12" x14ac:dyDescent="0.2">
      <c r="A219" s="12" t="s">
        <v>5482</v>
      </c>
      <c r="B219" s="41" t="s">
        <v>1</v>
      </c>
      <c r="C219" s="12">
        <v>73612886</v>
      </c>
      <c r="D219" s="12">
        <v>73675230</v>
      </c>
      <c r="E219" s="12" t="s">
        <v>3940</v>
      </c>
      <c r="F219" s="12">
        <v>3</v>
      </c>
      <c r="G219" s="12" t="s">
        <v>426</v>
      </c>
      <c r="H219" s="12" t="s">
        <v>1</v>
      </c>
      <c r="I219" s="12">
        <v>73612886</v>
      </c>
      <c r="J219" s="41" t="s">
        <v>2227</v>
      </c>
      <c r="K219" s="41" t="s">
        <v>2227</v>
      </c>
      <c r="L219" s="41" t="s">
        <v>8364</v>
      </c>
    </row>
    <row r="220" spans="1:12" x14ac:dyDescent="0.2">
      <c r="A220" s="12" t="s">
        <v>4077</v>
      </c>
      <c r="B220" s="41" t="s">
        <v>113</v>
      </c>
      <c r="C220" s="12">
        <v>99645286</v>
      </c>
      <c r="D220" s="12">
        <v>99646107</v>
      </c>
      <c r="E220" s="12" t="s">
        <v>3940</v>
      </c>
      <c r="F220" s="12">
        <v>1</v>
      </c>
      <c r="G220" s="12" t="s">
        <v>163</v>
      </c>
      <c r="H220" s="12" t="s">
        <v>113</v>
      </c>
      <c r="I220" s="12">
        <v>99645286</v>
      </c>
      <c r="J220" s="41" t="s">
        <v>2146</v>
      </c>
      <c r="K220" s="41" t="s">
        <v>2146</v>
      </c>
      <c r="L220" s="41" t="s">
        <v>3763</v>
      </c>
    </row>
    <row r="221" spans="1:12" x14ac:dyDescent="0.2">
      <c r="A221" s="12" t="s">
        <v>4080</v>
      </c>
      <c r="B221" s="41" t="s">
        <v>47</v>
      </c>
      <c r="C221" s="12">
        <v>26673659</v>
      </c>
      <c r="D221" s="12">
        <v>26684390</v>
      </c>
      <c r="E221" s="12" t="s">
        <v>3940</v>
      </c>
      <c r="F221" s="12">
        <v>1</v>
      </c>
      <c r="G221" s="12" t="s">
        <v>220</v>
      </c>
      <c r="H221" s="12" t="s">
        <v>47</v>
      </c>
      <c r="I221" s="12">
        <v>26673659</v>
      </c>
      <c r="J221" s="41" t="s">
        <v>2189</v>
      </c>
      <c r="K221" s="41" t="s">
        <v>2189</v>
      </c>
      <c r="L221" s="41" t="s">
        <v>3763</v>
      </c>
    </row>
    <row r="222" spans="1:12" x14ac:dyDescent="0.2">
      <c r="A222" s="12" t="s">
        <v>4080</v>
      </c>
      <c r="B222" s="41" t="s">
        <v>47</v>
      </c>
      <c r="C222" s="12">
        <v>26673659</v>
      </c>
      <c r="D222" s="12">
        <v>26684529</v>
      </c>
      <c r="E222" s="12" t="s">
        <v>3940</v>
      </c>
      <c r="F222" s="12">
        <v>2</v>
      </c>
      <c r="G222" s="12" t="s">
        <v>220</v>
      </c>
      <c r="H222" s="12" t="s">
        <v>47</v>
      </c>
      <c r="I222" s="12">
        <v>26673659</v>
      </c>
      <c r="J222" s="41" t="s">
        <v>2189</v>
      </c>
      <c r="K222" s="41" t="s">
        <v>2189</v>
      </c>
      <c r="L222" s="41" t="s">
        <v>3763</v>
      </c>
    </row>
    <row r="223" spans="1:12" x14ac:dyDescent="0.2">
      <c r="A223" s="12" t="s">
        <v>5269</v>
      </c>
      <c r="B223" s="41" t="s">
        <v>43</v>
      </c>
      <c r="C223" s="12">
        <v>45809572</v>
      </c>
      <c r="D223" s="12">
        <v>45810279</v>
      </c>
      <c r="E223" s="12" t="s">
        <v>3940</v>
      </c>
      <c r="F223" s="12">
        <v>1</v>
      </c>
      <c r="G223" s="12" t="s">
        <v>221</v>
      </c>
      <c r="H223" s="12" t="s">
        <v>43</v>
      </c>
      <c r="I223" s="12">
        <v>45809574</v>
      </c>
      <c r="J223" s="48" t="s">
        <v>7833</v>
      </c>
      <c r="K223" s="48" t="s">
        <v>8716</v>
      </c>
      <c r="L223" s="41" t="s">
        <v>3899</v>
      </c>
    </row>
    <row r="224" spans="1:12" x14ac:dyDescent="0.2">
      <c r="A224" s="12" t="s">
        <v>5005</v>
      </c>
      <c r="B224" s="41" t="s">
        <v>47</v>
      </c>
      <c r="C224" s="12">
        <v>7465309</v>
      </c>
      <c r="D224" s="12">
        <v>7470287</v>
      </c>
      <c r="E224" s="12" t="s">
        <v>3943</v>
      </c>
      <c r="F224" s="12">
        <v>1</v>
      </c>
      <c r="G224" s="12" t="s">
        <v>146</v>
      </c>
      <c r="H224" s="12" t="s">
        <v>47</v>
      </c>
      <c r="I224" s="12">
        <v>7465309</v>
      </c>
      <c r="J224" s="41" t="s">
        <v>2134</v>
      </c>
      <c r="K224" s="41" t="s">
        <v>2134</v>
      </c>
      <c r="L224" s="41" t="s">
        <v>3763</v>
      </c>
    </row>
    <row r="225" spans="1:12" x14ac:dyDescent="0.2">
      <c r="A225" s="12" t="s">
        <v>4818</v>
      </c>
      <c r="B225" s="41" t="s">
        <v>50</v>
      </c>
      <c r="C225" s="12">
        <v>58694356</v>
      </c>
      <c r="D225" s="12">
        <v>58718361</v>
      </c>
      <c r="E225" s="12" t="s">
        <v>3940</v>
      </c>
      <c r="F225" s="12">
        <v>1</v>
      </c>
      <c r="G225" s="12" t="s">
        <v>222</v>
      </c>
      <c r="H225" s="12" t="s">
        <v>50</v>
      </c>
      <c r="I225" s="12">
        <v>58694396</v>
      </c>
      <c r="J225" s="48" t="s">
        <v>8729</v>
      </c>
      <c r="K225" s="48" t="s">
        <v>8717</v>
      </c>
      <c r="L225" s="41" t="s">
        <v>3899</v>
      </c>
    </row>
    <row r="226" spans="1:12" x14ac:dyDescent="0.2">
      <c r="A226" s="12" t="s">
        <v>4177</v>
      </c>
      <c r="B226" s="41" t="s">
        <v>50</v>
      </c>
      <c r="C226" s="12">
        <v>58694356</v>
      </c>
      <c r="D226" s="12">
        <v>58718361</v>
      </c>
      <c r="E226" s="12" t="s">
        <v>3940</v>
      </c>
      <c r="F226" s="12">
        <v>1</v>
      </c>
      <c r="G226" s="12" t="s">
        <v>223</v>
      </c>
      <c r="H226" s="12" t="s">
        <v>50</v>
      </c>
      <c r="I226" s="12">
        <v>58694396</v>
      </c>
      <c r="J226" s="48" t="s">
        <v>6787</v>
      </c>
      <c r="K226" s="48" t="s">
        <v>2209</v>
      </c>
      <c r="L226" s="41" t="s">
        <v>3899</v>
      </c>
    </row>
    <row r="227" spans="1:12" x14ac:dyDescent="0.2">
      <c r="A227" s="12" t="s">
        <v>4622</v>
      </c>
      <c r="B227" s="41" t="s">
        <v>113</v>
      </c>
      <c r="C227" s="12">
        <v>72102888</v>
      </c>
      <c r="D227" s="12">
        <v>72105932</v>
      </c>
      <c r="E227" s="12" t="s">
        <v>3943</v>
      </c>
      <c r="F227" s="12">
        <v>1</v>
      </c>
      <c r="G227" s="12" t="s">
        <v>224</v>
      </c>
      <c r="H227" s="12" t="s">
        <v>113</v>
      </c>
      <c r="I227" s="12">
        <v>72102894</v>
      </c>
      <c r="J227" s="48" t="s">
        <v>7194</v>
      </c>
      <c r="K227" s="48" t="s">
        <v>8734</v>
      </c>
      <c r="L227" s="41" t="s">
        <v>3899</v>
      </c>
    </row>
    <row r="228" spans="1:12" x14ac:dyDescent="0.2">
      <c r="A228" s="12" t="s">
        <v>4939</v>
      </c>
      <c r="B228" s="41" t="s">
        <v>36</v>
      </c>
      <c r="C228" s="12">
        <v>94695787</v>
      </c>
      <c r="D228" s="12">
        <v>94699507</v>
      </c>
      <c r="E228" s="12" t="s">
        <v>3940</v>
      </c>
      <c r="F228" s="12">
        <v>1</v>
      </c>
      <c r="G228" s="12" t="s">
        <v>64</v>
      </c>
      <c r="H228" s="12" t="s">
        <v>36</v>
      </c>
      <c r="I228" s="12">
        <v>94695787</v>
      </c>
      <c r="J228" s="41" t="s">
        <v>2089</v>
      </c>
      <c r="K228" s="41" t="s">
        <v>2089</v>
      </c>
      <c r="L228" s="41" t="s">
        <v>3763</v>
      </c>
    </row>
    <row r="229" spans="1:12" x14ac:dyDescent="0.2">
      <c r="A229" s="12" t="s">
        <v>4945</v>
      </c>
      <c r="B229" s="41" t="s">
        <v>47</v>
      </c>
      <c r="C229" s="12">
        <v>46103533</v>
      </c>
      <c r="D229" s="12">
        <v>46115072</v>
      </c>
      <c r="E229" s="12" t="s">
        <v>3940</v>
      </c>
      <c r="F229" s="12">
        <v>1</v>
      </c>
      <c r="G229" s="12" t="s">
        <v>62</v>
      </c>
      <c r="H229" s="12" t="s">
        <v>47</v>
      </c>
      <c r="I229" s="12">
        <v>46103533</v>
      </c>
      <c r="J229" s="41" t="s">
        <v>2088</v>
      </c>
      <c r="K229" s="41" t="s">
        <v>2088</v>
      </c>
      <c r="L229" s="41" t="s">
        <v>3763</v>
      </c>
    </row>
    <row r="230" spans="1:12" x14ac:dyDescent="0.2">
      <c r="A230" s="12" t="s">
        <v>4945</v>
      </c>
      <c r="B230" s="41" t="s">
        <v>47</v>
      </c>
      <c r="C230" s="12">
        <v>46103533</v>
      </c>
      <c r="D230" s="12">
        <v>46115084</v>
      </c>
      <c r="E230" s="12" t="s">
        <v>3940</v>
      </c>
      <c r="F230" s="12">
        <v>2</v>
      </c>
      <c r="G230" s="12" t="s">
        <v>62</v>
      </c>
      <c r="H230" s="12" t="s">
        <v>47</v>
      </c>
      <c r="I230" s="12">
        <v>46103533</v>
      </c>
      <c r="J230" s="41" t="s">
        <v>2088</v>
      </c>
      <c r="K230" s="41" t="s">
        <v>2088</v>
      </c>
      <c r="L230" s="41" t="s">
        <v>3763</v>
      </c>
    </row>
    <row r="231" spans="1:12" x14ac:dyDescent="0.2">
      <c r="A231" s="12" t="s">
        <v>4945</v>
      </c>
      <c r="B231" s="41" t="s">
        <v>47</v>
      </c>
      <c r="C231" s="12">
        <v>46103533</v>
      </c>
      <c r="D231" s="12">
        <v>46115122</v>
      </c>
      <c r="E231" s="12" t="s">
        <v>3940</v>
      </c>
      <c r="F231" s="12">
        <v>1</v>
      </c>
      <c r="G231" s="12" t="s">
        <v>62</v>
      </c>
      <c r="H231" s="12" t="s">
        <v>47</v>
      </c>
      <c r="I231" s="12">
        <v>46103533</v>
      </c>
      <c r="J231" s="41" t="s">
        <v>2088</v>
      </c>
      <c r="K231" s="41" t="s">
        <v>2088</v>
      </c>
      <c r="L231" s="41" t="s">
        <v>3763</v>
      </c>
    </row>
    <row r="232" spans="1:12" x14ac:dyDescent="0.2">
      <c r="A232" s="12" t="s">
        <v>5570</v>
      </c>
      <c r="B232" s="41" t="s">
        <v>47</v>
      </c>
      <c r="C232" s="12">
        <v>46103533</v>
      </c>
      <c r="D232" s="12">
        <v>46115072</v>
      </c>
      <c r="E232" s="12" t="s">
        <v>3940</v>
      </c>
      <c r="F232" s="12">
        <v>1</v>
      </c>
      <c r="G232" s="12" t="s">
        <v>62</v>
      </c>
      <c r="H232" s="12" t="s">
        <v>47</v>
      </c>
      <c r="I232" s="12">
        <v>46103533</v>
      </c>
      <c r="J232" s="41" t="s">
        <v>2088</v>
      </c>
      <c r="K232" s="41" t="s">
        <v>2088</v>
      </c>
      <c r="L232" s="41" t="s">
        <v>3763</v>
      </c>
    </row>
    <row r="233" spans="1:12" x14ac:dyDescent="0.2">
      <c r="A233" s="12" t="s">
        <v>5570</v>
      </c>
      <c r="B233" s="41" t="s">
        <v>47</v>
      </c>
      <c r="C233" s="12">
        <v>46103533</v>
      </c>
      <c r="D233" s="12">
        <v>46115084</v>
      </c>
      <c r="E233" s="12" t="s">
        <v>3940</v>
      </c>
      <c r="F233" s="12">
        <v>2</v>
      </c>
      <c r="G233" s="12" t="s">
        <v>62</v>
      </c>
      <c r="H233" s="12" t="s">
        <v>47</v>
      </c>
      <c r="I233" s="12">
        <v>46103533</v>
      </c>
      <c r="J233" s="41" t="s">
        <v>2088</v>
      </c>
      <c r="K233" s="41" t="s">
        <v>2088</v>
      </c>
      <c r="L233" s="41" t="s">
        <v>3763</v>
      </c>
    </row>
    <row r="234" spans="1:12" x14ac:dyDescent="0.2">
      <c r="A234" s="12" t="s">
        <v>5570</v>
      </c>
      <c r="B234" s="41" t="s">
        <v>47</v>
      </c>
      <c r="C234" s="12">
        <v>46103533</v>
      </c>
      <c r="D234" s="12">
        <v>46115122</v>
      </c>
      <c r="E234" s="12" t="s">
        <v>3940</v>
      </c>
      <c r="F234" s="12">
        <v>1</v>
      </c>
      <c r="G234" s="12" t="s">
        <v>62</v>
      </c>
      <c r="H234" s="12" t="s">
        <v>47</v>
      </c>
      <c r="I234" s="12">
        <v>46103533</v>
      </c>
      <c r="J234" s="41" t="s">
        <v>2088</v>
      </c>
      <c r="K234" s="41" t="s">
        <v>2088</v>
      </c>
      <c r="L234" s="41" t="s">
        <v>3763</v>
      </c>
    </row>
    <row r="235" spans="1:12" x14ac:dyDescent="0.2">
      <c r="A235" s="12" t="s">
        <v>5285</v>
      </c>
      <c r="B235" s="41" t="s">
        <v>43</v>
      </c>
      <c r="C235" s="12">
        <v>51041562</v>
      </c>
      <c r="D235" s="12">
        <v>51042513</v>
      </c>
      <c r="E235" s="12" t="s">
        <v>3940</v>
      </c>
      <c r="F235" s="12">
        <v>1</v>
      </c>
      <c r="G235" s="12" t="s">
        <v>1359</v>
      </c>
      <c r="H235" s="12" t="s">
        <v>43</v>
      </c>
      <c r="I235" s="12">
        <v>51041562</v>
      </c>
      <c r="J235" s="41" t="s">
        <v>3392</v>
      </c>
      <c r="K235" s="41" t="s">
        <v>3392</v>
      </c>
      <c r="L235" s="41" t="s">
        <v>3763</v>
      </c>
    </row>
    <row r="236" spans="1:12" x14ac:dyDescent="0.2">
      <c r="A236" s="12" t="s">
        <v>4855</v>
      </c>
      <c r="B236" s="41" t="s">
        <v>212</v>
      </c>
      <c r="C236" s="12">
        <v>9980077</v>
      </c>
      <c r="D236" s="12">
        <v>9994449</v>
      </c>
      <c r="E236" s="12" t="s">
        <v>3943</v>
      </c>
      <c r="F236" s="12">
        <v>3</v>
      </c>
      <c r="G236" s="12" t="s">
        <v>1008</v>
      </c>
      <c r="H236" s="12" t="s">
        <v>212</v>
      </c>
      <c r="I236" s="12">
        <v>9980077</v>
      </c>
      <c r="J236" s="41" t="s">
        <v>2270</v>
      </c>
      <c r="K236" s="41" t="s">
        <v>2270</v>
      </c>
      <c r="L236" s="41" t="s">
        <v>8348</v>
      </c>
    </row>
    <row r="237" spans="1:12" x14ac:dyDescent="0.2">
      <c r="A237" s="12" t="s">
        <v>5267</v>
      </c>
      <c r="B237" s="41" t="s">
        <v>212</v>
      </c>
      <c r="C237" s="12">
        <v>9980077</v>
      </c>
      <c r="D237" s="12">
        <v>9994449</v>
      </c>
      <c r="E237" s="12" t="s">
        <v>3943</v>
      </c>
      <c r="F237" s="12">
        <v>3</v>
      </c>
      <c r="G237" s="12" t="s">
        <v>1008</v>
      </c>
      <c r="H237" s="12" t="s">
        <v>212</v>
      </c>
      <c r="I237" s="12">
        <v>9980077</v>
      </c>
      <c r="J237" s="41" t="s">
        <v>2270</v>
      </c>
      <c r="K237" s="41" t="s">
        <v>2270</v>
      </c>
      <c r="L237" s="41" t="s">
        <v>8348</v>
      </c>
    </row>
    <row r="238" spans="1:12" x14ac:dyDescent="0.2">
      <c r="A238" s="12" t="s">
        <v>5288</v>
      </c>
      <c r="B238" s="41" t="s">
        <v>103</v>
      </c>
      <c r="C238" s="12">
        <v>145106167</v>
      </c>
      <c r="D238" s="12">
        <v>145106938</v>
      </c>
      <c r="E238" s="12" t="s">
        <v>3943</v>
      </c>
      <c r="F238" s="12">
        <v>2</v>
      </c>
      <c r="G238" s="12" t="s">
        <v>110</v>
      </c>
      <c r="H238" s="12" t="s">
        <v>103</v>
      </c>
      <c r="I238" s="12">
        <v>145106167</v>
      </c>
      <c r="J238" s="41" t="s">
        <v>2112</v>
      </c>
      <c r="K238" s="41" t="s">
        <v>2112</v>
      </c>
      <c r="L238" s="41" t="s">
        <v>3763</v>
      </c>
    </row>
    <row r="239" spans="1:12" x14ac:dyDescent="0.2">
      <c r="A239" s="12" t="s">
        <v>4276</v>
      </c>
      <c r="B239" s="41" t="s">
        <v>103</v>
      </c>
      <c r="C239" s="12">
        <v>145106167</v>
      </c>
      <c r="D239" s="12">
        <v>145106938</v>
      </c>
      <c r="E239" s="12" t="s">
        <v>3943</v>
      </c>
      <c r="F239" s="12">
        <v>2</v>
      </c>
      <c r="G239" s="12" t="s">
        <v>110</v>
      </c>
      <c r="H239" s="12" t="s">
        <v>103</v>
      </c>
      <c r="I239" s="12">
        <v>145106167</v>
      </c>
      <c r="J239" s="41" t="s">
        <v>2112</v>
      </c>
      <c r="K239" s="41" t="s">
        <v>2112</v>
      </c>
      <c r="L239" s="41" t="s">
        <v>3763</v>
      </c>
    </row>
    <row r="240" spans="1:12" x14ac:dyDescent="0.2">
      <c r="A240" s="12" t="s">
        <v>5134</v>
      </c>
      <c r="B240" s="41" t="s">
        <v>33</v>
      </c>
      <c r="C240" s="12">
        <v>95218487</v>
      </c>
      <c r="D240" s="12">
        <v>95237024</v>
      </c>
      <c r="E240" s="12" t="s">
        <v>3943</v>
      </c>
      <c r="F240" s="12">
        <v>3</v>
      </c>
      <c r="G240" s="12" t="s">
        <v>823</v>
      </c>
      <c r="H240" s="12" t="s">
        <v>33</v>
      </c>
      <c r="I240" s="12">
        <v>95218487</v>
      </c>
      <c r="J240" s="41" t="s">
        <v>2260</v>
      </c>
      <c r="K240" s="41" t="s">
        <v>2260</v>
      </c>
      <c r="L240" s="41" t="s">
        <v>8358</v>
      </c>
    </row>
    <row r="241" spans="1:12" x14ac:dyDescent="0.2">
      <c r="A241" s="12" t="s">
        <v>5180</v>
      </c>
      <c r="B241" s="41" t="s">
        <v>139</v>
      </c>
      <c r="C241" s="12">
        <v>16888922</v>
      </c>
      <c r="D241" s="12">
        <v>16892304</v>
      </c>
      <c r="E241" s="12" t="s">
        <v>3940</v>
      </c>
      <c r="F241" s="12">
        <v>273</v>
      </c>
      <c r="G241" s="12" t="s">
        <v>326</v>
      </c>
      <c r="H241" s="12" t="s">
        <v>139</v>
      </c>
      <c r="I241" s="12">
        <v>16888922</v>
      </c>
      <c r="J241" s="41" t="s">
        <v>7735</v>
      </c>
      <c r="K241" s="41" t="s">
        <v>2225</v>
      </c>
      <c r="L241" s="41" t="s">
        <v>8433</v>
      </c>
    </row>
    <row r="242" spans="1:12" x14ac:dyDescent="0.2">
      <c r="A242" s="12" t="s">
        <v>5265</v>
      </c>
      <c r="B242" s="41" t="s">
        <v>86</v>
      </c>
      <c r="C242" s="12">
        <v>53317443</v>
      </c>
      <c r="D242" s="12">
        <v>53324819</v>
      </c>
      <c r="E242" s="12" t="s">
        <v>3943</v>
      </c>
      <c r="F242" s="12">
        <v>6</v>
      </c>
      <c r="G242" s="12" t="s">
        <v>531</v>
      </c>
      <c r="H242" s="12" t="s">
        <v>86</v>
      </c>
      <c r="I242" s="12">
        <v>53317443</v>
      </c>
      <c r="J242" s="41" t="s">
        <v>2236</v>
      </c>
      <c r="K242" s="41" t="s">
        <v>2236</v>
      </c>
      <c r="L242" s="41" t="s">
        <v>8361</v>
      </c>
    </row>
    <row r="243" spans="1:12" x14ac:dyDescent="0.2">
      <c r="A243" s="12" t="s">
        <v>5351</v>
      </c>
      <c r="B243" s="41" t="s">
        <v>86</v>
      </c>
      <c r="C243" s="12">
        <v>53317443</v>
      </c>
      <c r="D243" s="12">
        <v>53324819</v>
      </c>
      <c r="E243" s="12" t="s">
        <v>3943</v>
      </c>
      <c r="F243" s="12">
        <v>6</v>
      </c>
      <c r="G243" s="12" t="s">
        <v>531</v>
      </c>
      <c r="H243" s="12" t="s">
        <v>86</v>
      </c>
      <c r="I243" s="12">
        <v>53317443</v>
      </c>
      <c r="J243" s="41" t="s">
        <v>2236</v>
      </c>
      <c r="K243" s="41" t="s">
        <v>2236</v>
      </c>
      <c r="L243" s="41" t="s">
        <v>8361</v>
      </c>
    </row>
    <row r="244" spans="1:12" x14ac:dyDescent="0.2">
      <c r="A244" s="12" t="s">
        <v>5351</v>
      </c>
      <c r="B244" s="41" t="s">
        <v>86</v>
      </c>
      <c r="C244" s="12">
        <v>53317443</v>
      </c>
      <c r="D244" s="12">
        <v>53318546</v>
      </c>
      <c r="E244" s="12" t="s">
        <v>3940</v>
      </c>
      <c r="F244" s="12">
        <v>2</v>
      </c>
      <c r="G244" s="12" t="s">
        <v>531</v>
      </c>
      <c r="H244" s="12" t="s">
        <v>86</v>
      </c>
      <c r="I244" s="12">
        <v>53317443</v>
      </c>
      <c r="J244" s="41" t="s">
        <v>2236</v>
      </c>
      <c r="K244" s="41" t="s">
        <v>2236</v>
      </c>
      <c r="L244" s="41" t="s">
        <v>8361</v>
      </c>
    </row>
    <row r="245" spans="1:12" x14ac:dyDescent="0.2">
      <c r="A245" s="12" t="s">
        <v>4208</v>
      </c>
      <c r="B245" s="41" t="s">
        <v>53</v>
      </c>
      <c r="C245" s="12">
        <v>21106624</v>
      </c>
      <c r="D245" s="12">
        <v>21186163</v>
      </c>
      <c r="E245" s="12" t="s">
        <v>3940</v>
      </c>
      <c r="F245" s="12">
        <v>1</v>
      </c>
      <c r="G245" s="12" t="s">
        <v>129</v>
      </c>
      <c r="H245" s="12" t="s">
        <v>53</v>
      </c>
      <c r="I245" s="12">
        <v>21106624</v>
      </c>
      <c r="J245" s="41" t="s">
        <v>2124</v>
      </c>
      <c r="K245" s="41" t="s">
        <v>2124</v>
      </c>
      <c r="L245" s="41" t="s">
        <v>3763</v>
      </c>
    </row>
    <row r="246" spans="1:12" x14ac:dyDescent="0.2">
      <c r="A246" s="12" t="s">
        <v>5085</v>
      </c>
      <c r="B246" s="41" t="s">
        <v>212</v>
      </c>
      <c r="C246" s="12">
        <v>109304658</v>
      </c>
      <c r="D246" s="12">
        <v>109372440</v>
      </c>
      <c r="E246" s="12" t="s">
        <v>3940</v>
      </c>
      <c r="F246" s="12">
        <v>5</v>
      </c>
      <c r="G246" s="12" t="s">
        <v>1044</v>
      </c>
      <c r="H246" s="12" t="s">
        <v>212</v>
      </c>
      <c r="I246" s="12">
        <v>109304658</v>
      </c>
      <c r="J246" s="41" t="s">
        <v>3372</v>
      </c>
      <c r="K246" s="41" t="s">
        <v>3372</v>
      </c>
      <c r="L246" s="41" t="s">
        <v>3763</v>
      </c>
    </row>
    <row r="247" spans="1:12" x14ac:dyDescent="0.2">
      <c r="A247" s="12" t="s">
        <v>5340</v>
      </c>
      <c r="B247" s="41" t="s">
        <v>569</v>
      </c>
      <c r="C247" s="12">
        <v>140637545</v>
      </c>
      <c r="D247" s="12">
        <v>140811063</v>
      </c>
      <c r="E247" s="12" t="s">
        <v>3943</v>
      </c>
      <c r="F247" s="12">
        <v>12</v>
      </c>
      <c r="G247" s="12" t="s">
        <v>625</v>
      </c>
      <c r="H247" s="12" t="s">
        <v>569</v>
      </c>
      <c r="I247" s="12">
        <v>140637545</v>
      </c>
      <c r="J247" s="41" t="s">
        <v>2242</v>
      </c>
      <c r="K247" s="41" t="s">
        <v>2242</v>
      </c>
      <c r="L247" s="41" t="s">
        <v>8363</v>
      </c>
    </row>
    <row r="248" spans="1:12" x14ac:dyDescent="0.2">
      <c r="A248" s="12" t="s">
        <v>5340</v>
      </c>
      <c r="B248" s="41" t="s">
        <v>569</v>
      </c>
      <c r="C248" s="12">
        <v>140637545</v>
      </c>
      <c r="D248" s="12">
        <v>140651584</v>
      </c>
      <c r="E248" s="12" t="s">
        <v>3943</v>
      </c>
      <c r="F248" s="12">
        <v>3</v>
      </c>
      <c r="G248" s="12" t="s">
        <v>625</v>
      </c>
      <c r="H248" s="12" t="s">
        <v>569</v>
      </c>
      <c r="I248" s="12">
        <v>140637545</v>
      </c>
      <c r="J248" s="41" t="s">
        <v>2242</v>
      </c>
      <c r="K248" s="41" t="s">
        <v>2242</v>
      </c>
      <c r="L248" s="41" t="s">
        <v>8363</v>
      </c>
    </row>
    <row r="249" spans="1:12" x14ac:dyDescent="0.2">
      <c r="A249" s="12" t="s">
        <v>4386</v>
      </c>
      <c r="B249" s="41" t="s">
        <v>186</v>
      </c>
      <c r="C249" s="12">
        <v>140566893</v>
      </c>
      <c r="D249" s="12">
        <v>140568035</v>
      </c>
      <c r="E249" s="12" t="s">
        <v>3940</v>
      </c>
      <c r="F249" s="12">
        <v>1</v>
      </c>
      <c r="G249" s="12" t="s">
        <v>225</v>
      </c>
      <c r="H249" s="12" t="s">
        <v>186</v>
      </c>
      <c r="I249" s="12">
        <v>140566893</v>
      </c>
      <c r="J249" s="41" t="s">
        <v>2187</v>
      </c>
      <c r="K249" s="41" t="s">
        <v>2187</v>
      </c>
      <c r="L249" s="41" t="s">
        <v>8339</v>
      </c>
    </row>
    <row r="250" spans="1:12" x14ac:dyDescent="0.2">
      <c r="A250" s="12" t="s">
        <v>5334</v>
      </c>
      <c r="B250" s="41" t="s">
        <v>139</v>
      </c>
      <c r="C250" s="12">
        <v>156338980</v>
      </c>
      <c r="D250" s="12">
        <v>156354354</v>
      </c>
      <c r="E250" s="12" t="s">
        <v>3943</v>
      </c>
      <c r="F250" s="12">
        <v>1</v>
      </c>
      <c r="G250" s="12" t="s">
        <v>141</v>
      </c>
      <c r="H250" s="12" t="s">
        <v>139</v>
      </c>
      <c r="I250" s="12">
        <v>156338980</v>
      </c>
      <c r="J250" s="41" t="s">
        <v>2131</v>
      </c>
      <c r="K250" s="41" t="s">
        <v>2131</v>
      </c>
      <c r="L250" s="41" t="s">
        <v>3763</v>
      </c>
    </row>
    <row r="251" spans="1:12" x14ac:dyDescent="0.2">
      <c r="A251" s="12" t="s">
        <v>4114</v>
      </c>
      <c r="B251" s="41" t="s">
        <v>33</v>
      </c>
      <c r="C251" s="12">
        <v>136130563</v>
      </c>
      <c r="D251" s="12">
        <v>136132908</v>
      </c>
      <c r="E251" s="12" t="s">
        <v>3940</v>
      </c>
      <c r="F251" s="12">
        <v>1</v>
      </c>
      <c r="G251" s="12" t="s">
        <v>32</v>
      </c>
      <c r="H251" s="12" t="s">
        <v>33</v>
      </c>
      <c r="I251" s="12">
        <v>136130563</v>
      </c>
      <c r="J251" s="41" t="s">
        <v>2073</v>
      </c>
      <c r="K251" s="41" t="s">
        <v>2073</v>
      </c>
      <c r="L251" s="41" t="s">
        <v>3763</v>
      </c>
    </row>
    <row r="252" spans="1:12" x14ac:dyDescent="0.2">
      <c r="A252" s="12" t="s">
        <v>5656</v>
      </c>
      <c r="B252" s="41" t="s">
        <v>40</v>
      </c>
      <c r="C252" s="12">
        <v>101928405</v>
      </c>
      <c r="D252" s="12">
        <v>101952188</v>
      </c>
      <c r="E252" s="12" t="s">
        <v>3940</v>
      </c>
      <c r="F252" s="12">
        <v>246</v>
      </c>
      <c r="G252" s="12" t="s">
        <v>749</v>
      </c>
      <c r="H252" s="12" t="s">
        <v>40</v>
      </c>
      <c r="I252" s="12">
        <v>101928405</v>
      </c>
      <c r="J252" s="41" t="s">
        <v>2246</v>
      </c>
      <c r="K252" s="41" t="s">
        <v>2246</v>
      </c>
      <c r="L252" s="41" t="s">
        <v>8369</v>
      </c>
    </row>
    <row r="253" spans="1:12" x14ac:dyDescent="0.2">
      <c r="A253" s="12" t="s">
        <v>5099</v>
      </c>
      <c r="B253" s="41" t="s">
        <v>1</v>
      </c>
      <c r="C253" s="12">
        <v>95831183</v>
      </c>
      <c r="D253" s="12">
        <v>95847046</v>
      </c>
      <c r="E253" s="12" t="s">
        <v>3943</v>
      </c>
      <c r="F253" s="12">
        <v>3</v>
      </c>
      <c r="G253" s="12" t="s">
        <v>430</v>
      </c>
      <c r="H253" s="12" t="s">
        <v>1</v>
      </c>
      <c r="I253" s="12">
        <v>95831183</v>
      </c>
      <c r="J253" s="41" t="s">
        <v>2229</v>
      </c>
      <c r="K253" s="41" t="s">
        <v>2229</v>
      </c>
      <c r="L253" s="41" t="s">
        <v>8354</v>
      </c>
    </row>
    <row r="254" spans="1:12" x14ac:dyDescent="0.2">
      <c r="A254" s="12" t="s">
        <v>4003</v>
      </c>
      <c r="B254" s="41" t="s">
        <v>103</v>
      </c>
      <c r="C254" s="12">
        <v>38758753</v>
      </c>
      <c r="D254" s="12">
        <v>38827186</v>
      </c>
      <c r="E254" s="12" t="s">
        <v>3943</v>
      </c>
      <c r="F254" s="12">
        <v>1</v>
      </c>
      <c r="G254" s="12" t="s">
        <v>125</v>
      </c>
      <c r="H254" s="12" t="s">
        <v>103</v>
      </c>
      <c r="I254" s="12">
        <v>38758753</v>
      </c>
      <c r="J254" s="41" t="s">
        <v>2121</v>
      </c>
      <c r="K254" s="41" t="s">
        <v>2121</v>
      </c>
      <c r="L254" s="41" t="s">
        <v>3763</v>
      </c>
    </row>
    <row r="255" spans="1:12" x14ac:dyDescent="0.2">
      <c r="A255" s="12" t="s">
        <v>4381</v>
      </c>
      <c r="B255" s="41" t="s">
        <v>36</v>
      </c>
      <c r="C255" s="12">
        <v>118938493</v>
      </c>
      <c r="D255" s="12">
        <v>118939941</v>
      </c>
      <c r="E255" s="12" t="s">
        <v>3940</v>
      </c>
      <c r="F255" s="12">
        <v>1</v>
      </c>
      <c r="G255" s="12" t="s">
        <v>226</v>
      </c>
      <c r="H255" s="12" t="s">
        <v>36</v>
      </c>
      <c r="I255" s="12">
        <v>118938493</v>
      </c>
      <c r="J255" s="41" t="s">
        <v>2205</v>
      </c>
      <c r="K255" s="41" t="s">
        <v>2205</v>
      </c>
      <c r="L255" s="41" t="s">
        <v>3763</v>
      </c>
    </row>
    <row r="256" spans="1:12" x14ac:dyDescent="0.2">
      <c r="A256" s="12" t="s">
        <v>4623</v>
      </c>
      <c r="B256" s="41" t="s">
        <v>40</v>
      </c>
      <c r="C256" s="12">
        <v>139246316</v>
      </c>
      <c r="D256" s="12">
        <v>139316493</v>
      </c>
      <c r="E256" s="12" t="s">
        <v>3940</v>
      </c>
      <c r="F256" s="12">
        <v>962</v>
      </c>
      <c r="G256" s="12" t="s">
        <v>263</v>
      </c>
      <c r="H256" s="12" t="s">
        <v>40</v>
      </c>
      <c r="I256" s="12">
        <v>139246316</v>
      </c>
      <c r="J256" s="41" t="s">
        <v>2251</v>
      </c>
      <c r="K256" s="41" t="s">
        <v>2251</v>
      </c>
      <c r="L256" s="41" t="s">
        <v>8332</v>
      </c>
    </row>
    <row r="257" spans="1:12" x14ac:dyDescent="0.2">
      <c r="A257" s="12" t="s">
        <v>4623</v>
      </c>
      <c r="B257" s="41" t="s">
        <v>40</v>
      </c>
      <c r="C257" s="12">
        <v>139246316</v>
      </c>
      <c r="D257" s="12">
        <v>139316474</v>
      </c>
      <c r="E257" s="12" t="s">
        <v>3940</v>
      </c>
      <c r="F257" s="12">
        <v>1</v>
      </c>
      <c r="G257" s="12" t="s">
        <v>263</v>
      </c>
      <c r="H257" s="12" t="s">
        <v>40</v>
      </c>
      <c r="I257" s="12">
        <v>139246316</v>
      </c>
      <c r="J257" s="41" t="s">
        <v>2251</v>
      </c>
      <c r="K257" s="41" t="s">
        <v>2251</v>
      </c>
      <c r="L257" s="41" t="s">
        <v>8332</v>
      </c>
    </row>
    <row r="258" spans="1:12" x14ac:dyDescent="0.2">
      <c r="A258" s="12" t="s">
        <v>5119</v>
      </c>
      <c r="B258" s="41" t="s">
        <v>121</v>
      </c>
      <c r="C258" s="12">
        <v>1278336</v>
      </c>
      <c r="D258" s="12">
        <v>1279237</v>
      </c>
      <c r="E258" s="12" t="s">
        <v>3943</v>
      </c>
      <c r="F258" s="12">
        <v>1</v>
      </c>
      <c r="G258" s="12" t="s">
        <v>168</v>
      </c>
      <c r="H258" s="12" t="s">
        <v>121</v>
      </c>
      <c r="I258" s="12">
        <v>1278336</v>
      </c>
      <c r="J258" s="41" t="s">
        <v>2149</v>
      </c>
      <c r="K258" s="41" t="s">
        <v>2149</v>
      </c>
      <c r="L258" s="41" t="s">
        <v>3763</v>
      </c>
    </row>
    <row r="259" spans="1:12" x14ac:dyDescent="0.2">
      <c r="A259" s="12" t="s">
        <v>5558</v>
      </c>
      <c r="B259" s="41" t="s">
        <v>47</v>
      </c>
      <c r="C259" s="12">
        <v>34092876</v>
      </c>
      <c r="D259" s="12">
        <v>34100350</v>
      </c>
      <c r="E259" s="12" t="s">
        <v>3940</v>
      </c>
      <c r="F259" s="12">
        <v>1</v>
      </c>
      <c r="G259" s="12" t="s">
        <v>105</v>
      </c>
      <c r="H259" s="12" t="s">
        <v>47</v>
      </c>
      <c r="I259" s="12">
        <v>34092876</v>
      </c>
      <c r="J259" s="41" t="s">
        <v>2109</v>
      </c>
      <c r="K259" s="41" t="s">
        <v>2109</v>
      </c>
      <c r="L259" s="41" t="s">
        <v>3763</v>
      </c>
    </row>
    <row r="260" spans="1:12" x14ac:dyDescent="0.2">
      <c r="A260" s="12" t="s">
        <v>4548</v>
      </c>
      <c r="B260" s="41" t="s">
        <v>47</v>
      </c>
      <c r="C260" s="12">
        <v>34092876</v>
      </c>
      <c r="D260" s="12">
        <v>34100350</v>
      </c>
      <c r="E260" s="12" t="s">
        <v>3940</v>
      </c>
      <c r="F260" s="12">
        <v>1</v>
      </c>
      <c r="G260" s="12" t="s">
        <v>105</v>
      </c>
      <c r="H260" s="12" t="s">
        <v>47</v>
      </c>
      <c r="I260" s="12">
        <v>34092876</v>
      </c>
      <c r="J260" s="41" t="s">
        <v>2109</v>
      </c>
      <c r="K260" s="41" t="s">
        <v>2109</v>
      </c>
      <c r="L260" s="41" t="s">
        <v>3763</v>
      </c>
    </row>
    <row r="261" spans="1:12" x14ac:dyDescent="0.2">
      <c r="A261" s="12" t="s">
        <v>5142</v>
      </c>
      <c r="B261" s="41" t="s">
        <v>81</v>
      </c>
      <c r="C261" s="12">
        <v>73957644</v>
      </c>
      <c r="D261" s="12">
        <v>73957982</v>
      </c>
      <c r="E261" s="12" t="s">
        <v>3940</v>
      </c>
      <c r="F261" s="12">
        <v>1</v>
      </c>
      <c r="G261" s="12" t="s">
        <v>227</v>
      </c>
      <c r="H261" s="12" t="s">
        <v>81</v>
      </c>
      <c r="I261" s="12">
        <v>73957644</v>
      </c>
      <c r="J261" s="41" t="s">
        <v>2159</v>
      </c>
      <c r="K261" s="41" t="s">
        <v>2159</v>
      </c>
      <c r="L261" s="41" t="s">
        <v>3899</v>
      </c>
    </row>
    <row r="262" spans="1:12" x14ac:dyDescent="0.2">
      <c r="A262" s="12" t="s">
        <v>5146</v>
      </c>
      <c r="B262" s="41" t="s">
        <v>36</v>
      </c>
      <c r="C262" s="12">
        <v>111652919</v>
      </c>
      <c r="D262" s="12">
        <v>111742145</v>
      </c>
      <c r="E262" s="12" t="s">
        <v>3943</v>
      </c>
      <c r="F262" s="12">
        <v>1</v>
      </c>
      <c r="G262" s="12" t="s">
        <v>37</v>
      </c>
      <c r="H262" s="12" t="s">
        <v>36</v>
      </c>
      <c r="I262" s="12">
        <v>111652919</v>
      </c>
      <c r="J262" s="41" t="s">
        <v>2075</v>
      </c>
      <c r="K262" s="41" t="s">
        <v>2075</v>
      </c>
      <c r="L262" s="41" t="s">
        <v>3763</v>
      </c>
    </row>
    <row r="263" spans="1:12" x14ac:dyDescent="0.2">
      <c r="A263" s="12" t="s">
        <v>4475</v>
      </c>
      <c r="B263" s="41" t="s">
        <v>103</v>
      </c>
      <c r="C263" s="12">
        <v>21964383</v>
      </c>
      <c r="D263" s="12">
        <v>21966700</v>
      </c>
      <c r="E263" s="12" t="s">
        <v>3943</v>
      </c>
      <c r="F263" s="12">
        <v>1</v>
      </c>
      <c r="G263" s="12" t="s">
        <v>108</v>
      </c>
      <c r="H263" s="12" t="s">
        <v>103</v>
      </c>
      <c r="I263" s="12">
        <v>21964383</v>
      </c>
      <c r="J263" s="41" t="s">
        <v>2111</v>
      </c>
      <c r="K263" s="41" t="s">
        <v>2111</v>
      </c>
      <c r="L263" s="41" t="s">
        <v>3763</v>
      </c>
    </row>
    <row r="264" spans="1:12" x14ac:dyDescent="0.2">
      <c r="A264" s="12" t="s">
        <v>4475</v>
      </c>
      <c r="B264" s="41" t="s">
        <v>103</v>
      </c>
      <c r="C264" s="12">
        <v>21964383</v>
      </c>
      <c r="D264" s="12">
        <v>21966707</v>
      </c>
      <c r="E264" s="12" t="s">
        <v>3943</v>
      </c>
      <c r="F264" s="12">
        <v>1</v>
      </c>
      <c r="G264" s="12" t="s">
        <v>108</v>
      </c>
      <c r="H264" s="12" t="s">
        <v>103</v>
      </c>
      <c r="I264" s="12">
        <v>21964383</v>
      </c>
      <c r="J264" s="41" t="s">
        <v>2111</v>
      </c>
      <c r="K264" s="41" t="s">
        <v>2111</v>
      </c>
      <c r="L264" s="41" t="s">
        <v>3763</v>
      </c>
    </row>
    <row r="265" spans="1:12" x14ac:dyDescent="0.2">
      <c r="A265" s="12" t="s">
        <v>5032</v>
      </c>
      <c r="B265" s="41" t="s">
        <v>93</v>
      </c>
      <c r="C265" s="12">
        <v>7601232</v>
      </c>
      <c r="D265" s="12">
        <v>7605077</v>
      </c>
      <c r="E265" s="12" t="s">
        <v>3943</v>
      </c>
      <c r="F265" s="12">
        <v>1</v>
      </c>
      <c r="G265" s="12" t="s">
        <v>92</v>
      </c>
      <c r="H265" s="12" t="s">
        <v>93</v>
      </c>
      <c r="I265" s="12">
        <v>7601232</v>
      </c>
      <c r="J265" s="41" t="s">
        <v>2102</v>
      </c>
      <c r="K265" s="41" t="s">
        <v>2102</v>
      </c>
      <c r="L265" s="41" t="s">
        <v>3763</v>
      </c>
    </row>
    <row r="266" spans="1:12" x14ac:dyDescent="0.2">
      <c r="A266" s="12" t="s">
        <v>4519</v>
      </c>
      <c r="B266" s="41" t="s">
        <v>241</v>
      </c>
      <c r="C266" s="12">
        <v>46875424</v>
      </c>
      <c r="D266" s="12">
        <v>46924439</v>
      </c>
      <c r="E266" s="12" t="s">
        <v>3943</v>
      </c>
      <c r="F266" s="12">
        <v>9</v>
      </c>
      <c r="G266" s="12" t="s">
        <v>1331</v>
      </c>
      <c r="H266" s="12" t="s">
        <v>241</v>
      </c>
      <c r="I266" s="12">
        <v>46875424</v>
      </c>
      <c r="J266" s="41" t="s">
        <v>2293</v>
      </c>
      <c r="K266" s="41" t="s">
        <v>2293</v>
      </c>
      <c r="L266" s="41" t="s">
        <v>8341</v>
      </c>
    </row>
    <row r="267" spans="1:12" x14ac:dyDescent="0.2">
      <c r="A267" s="12" t="s">
        <v>5605</v>
      </c>
      <c r="B267" s="41" t="s">
        <v>43</v>
      </c>
      <c r="C267" s="12">
        <v>36585176</v>
      </c>
      <c r="D267" s="12">
        <v>36587845</v>
      </c>
      <c r="E267" s="12" t="s">
        <v>3940</v>
      </c>
      <c r="F267" s="12">
        <v>2</v>
      </c>
      <c r="G267" s="12" t="s">
        <v>42</v>
      </c>
      <c r="H267" s="12" t="s">
        <v>43</v>
      </c>
      <c r="I267" s="12">
        <v>36585176</v>
      </c>
      <c r="J267" s="41" t="s">
        <v>2077</v>
      </c>
      <c r="K267" s="41" t="s">
        <v>2077</v>
      </c>
      <c r="L267" s="41" t="s">
        <v>3763</v>
      </c>
    </row>
    <row r="268" spans="1:12" x14ac:dyDescent="0.2">
      <c r="A268" s="12" t="s">
        <v>4556</v>
      </c>
      <c r="B268" s="41" t="s">
        <v>43</v>
      </c>
      <c r="C268" s="12">
        <v>36585176</v>
      </c>
      <c r="D268" s="12">
        <v>36587845</v>
      </c>
      <c r="E268" s="12" t="s">
        <v>3940</v>
      </c>
      <c r="F268" s="12">
        <v>2</v>
      </c>
      <c r="G268" s="12" t="s">
        <v>42</v>
      </c>
      <c r="H268" s="12" t="s">
        <v>43</v>
      </c>
      <c r="I268" s="12">
        <v>36585176</v>
      </c>
      <c r="J268" s="41" t="s">
        <v>2077</v>
      </c>
      <c r="K268" s="41" t="s">
        <v>2077</v>
      </c>
      <c r="L268" s="41" t="s">
        <v>3763</v>
      </c>
    </row>
    <row r="269" spans="1:12" x14ac:dyDescent="0.2">
      <c r="A269" s="12" t="s">
        <v>5655</v>
      </c>
      <c r="B269" s="41" t="s">
        <v>36</v>
      </c>
      <c r="C269" s="12">
        <v>67758575</v>
      </c>
      <c r="D269" s="12">
        <v>67765163</v>
      </c>
      <c r="E269" s="12" t="s">
        <v>3940</v>
      </c>
      <c r="F269" s="12">
        <v>1</v>
      </c>
      <c r="G269" s="12" t="s">
        <v>228</v>
      </c>
      <c r="H269" s="12" t="s">
        <v>36</v>
      </c>
      <c r="I269" s="12">
        <v>67758575</v>
      </c>
      <c r="J269" s="41" t="s">
        <v>2204</v>
      </c>
      <c r="K269" s="41" t="s">
        <v>2204</v>
      </c>
      <c r="L269" s="41" t="s">
        <v>3763</v>
      </c>
    </row>
    <row r="270" spans="1:12" x14ac:dyDescent="0.2">
      <c r="A270" s="12" t="s">
        <v>5095</v>
      </c>
      <c r="B270" s="41" t="s">
        <v>73</v>
      </c>
      <c r="C270" s="12">
        <v>104463611</v>
      </c>
      <c r="D270" s="12">
        <v>104464276</v>
      </c>
      <c r="E270" s="12" t="s">
        <v>3943</v>
      </c>
      <c r="F270" s="12">
        <v>1</v>
      </c>
      <c r="G270" s="12" t="s">
        <v>166</v>
      </c>
      <c r="H270" s="12" t="s">
        <v>73</v>
      </c>
      <c r="I270" s="12">
        <v>104463611</v>
      </c>
      <c r="J270" s="41" t="s">
        <v>2148</v>
      </c>
      <c r="K270" s="41" t="s">
        <v>2148</v>
      </c>
      <c r="L270" s="41" t="s">
        <v>3763</v>
      </c>
    </row>
    <row r="271" spans="1:12" x14ac:dyDescent="0.2">
      <c r="A271" s="12" t="s">
        <v>5095</v>
      </c>
      <c r="B271" s="41" t="s">
        <v>73</v>
      </c>
      <c r="C271" s="12">
        <v>104463611</v>
      </c>
      <c r="D271" s="12">
        <v>104464281</v>
      </c>
      <c r="E271" s="12" t="s">
        <v>3943</v>
      </c>
      <c r="F271" s="12">
        <v>1</v>
      </c>
      <c r="G271" s="12" t="s">
        <v>166</v>
      </c>
      <c r="H271" s="12" t="s">
        <v>73</v>
      </c>
      <c r="I271" s="12">
        <v>104463611</v>
      </c>
      <c r="J271" s="41" t="s">
        <v>2148</v>
      </c>
      <c r="K271" s="41" t="s">
        <v>2148</v>
      </c>
      <c r="L271" s="41" t="s">
        <v>3763</v>
      </c>
    </row>
    <row r="272" spans="1:12" x14ac:dyDescent="0.2">
      <c r="A272" s="12" t="s">
        <v>4630</v>
      </c>
      <c r="B272" s="41" t="s">
        <v>73</v>
      </c>
      <c r="C272" s="12">
        <v>104463611</v>
      </c>
      <c r="D272" s="12">
        <v>104464276</v>
      </c>
      <c r="E272" s="12" t="s">
        <v>3943</v>
      </c>
      <c r="F272" s="12">
        <v>1</v>
      </c>
      <c r="G272" s="12" t="s">
        <v>166</v>
      </c>
      <c r="H272" s="12" t="s">
        <v>73</v>
      </c>
      <c r="I272" s="12">
        <v>104463611</v>
      </c>
      <c r="J272" s="41" t="s">
        <v>2148</v>
      </c>
      <c r="K272" s="41" t="s">
        <v>2148</v>
      </c>
      <c r="L272" s="41" t="s">
        <v>3763</v>
      </c>
    </row>
    <row r="273" spans="1:12" x14ac:dyDescent="0.2">
      <c r="A273" s="12" t="s">
        <v>4630</v>
      </c>
      <c r="B273" s="41" t="s">
        <v>73</v>
      </c>
      <c r="C273" s="12">
        <v>104463611</v>
      </c>
      <c r="D273" s="12">
        <v>104464281</v>
      </c>
      <c r="E273" s="12" t="s">
        <v>3943</v>
      </c>
      <c r="F273" s="12">
        <v>1</v>
      </c>
      <c r="G273" s="12" t="s">
        <v>166</v>
      </c>
      <c r="H273" s="12" t="s">
        <v>73</v>
      </c>
      <c r="I273" s="12">
        <v>104463611</v>
      </c>
      <c r="J273" s="41" t="s">
        <v>2148</v>
      </c>
      <c r="K273" s="41" t="s">
        <v>2148</v>
      </c>
      <c r="L273" s="41" t="s">
        <v>3763</v>
      </c>
    </row>
    <row r="274" spans="1:12" x14ac:dyDescent="0.2">
      <c r="A274" s="12" t="s">
        <v>4653</v>
      </c>
      <c r="B274" s="41" t="s">
        <v>103</v>
      </c>
      <c r="C274" s="12">
        <v>144939492</v>
      </c>
      <c r="D274" s="12">
        <v>144940300</v>
      </c>
      <c r="E274" s="12" t="s">
        <v>3940</v>
      </c>
      <c r="F274" s="12">
        <v>8004</v>
      </c>
      <c r="G274" s="12" t="s">
        <v>803</v>
      </c>
      <c r="H274" s="12" t="s">
        <v>103</v>
      </c>
      <c r="I274" s="12">
        <v>144939492</v>
      </c>
      <c r="J274" s="41" t="s">
        <v>7226</v>
      </c>
      <c r="K274" s="41" t="s">
        <v>2258</v>
      </c>
      <c r="L274" s="41" t="s">
        <v>8430</v>
      </c>
    </row>
    <row r="275" spans="1:12" x14ac:dyDescent="0.2">
      <c r="A275" s="12" t="s">
        <v>4653</v>
      </c>
      <c r="B275" s="41" t="s">
        <v>103</v>
      </c>
      <c r="C275" s="12">
        <v>144939492</v>
      </c>
      <c r="D275" s="12">
        <v>144940069</v>
      </c>
      <c r="E275" s="12" t="s">
        <v>3940</v>
      </c>
      <c r="F275" s="12">
        <v>1</v>
      </c>
      <c r="G275" s="12" t="s">
        <v>803</v>
      </c>
      <c r="H275" s="12" t="s">
        <v>103</v>
      </c>
      <c r="I275" s="12">
        <v>144939492</v>
      </c>
      <c r="J275" s="41" t="s">
        <v>7226</v>
      </c>
      <c r="K275" s="41" t="s">
        <v>2258</v>
      </c>
      <c r="L275" s="41" t="s">
        <v>8430</v>
      </c>
    </row>
    <row r="276" spans="1:12" x14ac:dyDescent="0.2">
      <c r="A276" s="12" t="s">
        <v>5416</v>
      </c>
      <c r="B276" s="41" t="s">
        <v>103</v>
      </c>
      <c r="C276" s="12">
        <v>144939492</v>
      </c>
      <c r="D276" s="12">
        <v>144940300</v>
      </c>
      <c r="E276" s="12" t="s">
        <v>3940</v>
      </c>
      <c r="F276" s="12">
        <v>8004</v>
      </c>
      <c r="G276" s="12" t="s">
        <v>803</v>
      </c>
      <c r="H276" s="12" t="s">
        <v>103</v>
      </c>
      <c r="I276" s="12">
        <v>144939492</v>
      </c>
      <c r="J276" s="41" t="s">
        <v>7226</v>
      </c>
      <c r="K276" s="41" t="s">
        <v>2258</v>
      </c>
      <c r="L276" s="41" t="s">
        <v>8430</v>
      </c>
    </row>
    <row r="277" spans="1:12" x14ac:dyDescent="0.2">
      <c r="A277" s="12" t="s">
        <v>5416</v>
      </c>
      <c r="B277" s="41" t="s">
        <v>103</v>
      </c>
      <c r="C277" s="12">
        <v>144939492</v>
      </c>
      <c r="D277" s="12">
        <v>144940069</v>
      </c>
      <c r="E277" s="12" t="s">
        <v>3940</v>
      </c>
      <c r="F277" s="12">
        <v>1</v>
      </c>
      <c r="G277" s="12" t="s">
        <v>803</v>
      </c>
      <c r="H277" s="12" t="s">
        <v>103</v>
      </c>
      <c r="I277" s="12">
        <v>144939492</v>
      </c>
      <c r="J277" s="41" t="s">
        <v>7226</v>
      </c>
      <c r="K277" s="41" t="s">
        <v>2258</v>
      </c>
      <c r="L277" s="41" t="s">
        <v>8430</v>
      </c>
    </row>
    <row r="278" spans="1:12" x14ac:dyDescent="0.2">
      <c r="A278" s="12" t="s">
        <v>4541</v>
      </c>
      <c r="B278" s="41" t="s">
        <v>47</v>
      </c>
      <c r="C278" s="12">
        <v>40086888</v>
      </c>
      <c r="D278" s="12">
        <v>40101479</v>
      </c>
      <c r="E278" s="12" t="s">
        <v>3940</v>
      </c>
      <c r="F278" s="12">
        <v>194</v>
      </c>
      <c r="G278" s="12" t="s">
        <v>1177</v>
      </c>
      <c r="H278" s="12" t="s">
        <v>47</v>
      </c>
      <c r="I278" s="12">
        <v>40086888</v>
      </c>
      <c r="J278" s="41" t="s">
        <v>2278</v>
      </c>
      <c r="K278" s="41" t="s">
        <v>2278</v>
      </c>
      <c r="L278" s="41" t="s">
        <v>8426</v>
      </c>
    </row>
    <row r="279" spans="1:12" x14ac:dyDescent="0.2">
      <c r="A279" s="12" t="s">
        <v>4613</v>
      </c>
      <c r="B279" s="41" t="s">
        <v>47</v>
      </c>
      <c r="C279" s="12">
        <v>79609349</v>
      </c>
      <c r="D279" s="12">
        <v>79614937</v>
      </c>
      <c r="E279" s="12" t="s">
        <v>3943</v>
      </c>
      <c r="F279" s="12">
        <v>4</v>
      </c>
      <c r="G279" s="12" t="s">
        <v>229</v>
      </c>
      <c r="H279" s="12" t="s">
        <v>47</v>
      </c>
      <c r="I279" s="12">
        <v>79609349</v>
      </c>
      <c r="J279" s="41" t="s">
        <v>2200</v>
      </c>
      <c r="K279" s="41" t="s">
        <v>2200</v>
      </c>
      <c r="L279" s="41" t="s">
        <v>3763</v>
      </c>
    </row>
    <row r="280" spans="1:12" x14ac:dyDescent="0.2">
      <c r="A280" s="12" t="s">
        <v>4645</v>
      </c>
      <c r="B280" s="41" t="s">
        <v>36</v>
      </c>
      <c r="C280" s="12">
        <v>94800041</v>
      </c>
      <c r="D280" s="12">
        <v>94800903</v>
      </c>
      <c r="E280" s="12" t="s">
        <v>3940</v>
      </c>
      <c r="F280" s="12">
        <v>1</v>
      </c>
      <c r="G280" s="12" t="s">
        <v>230</v>
      </c>
      <c r="H280" s="12" t="s">
        <v>36</v>
      </c>
      <c r="I280" s="12">
        <v>94800056</v>
      </c>
      <c r="J280" s="48" t="s">
        <v>7217</v>
      </c>
      <c r="K280" s="48" t="s">
        <v>8718</v>
      </c>
      <c r="L280" s="41" t="s">
        <v>3899</v>
      </c>
    </row>
    <row r="281" spans="1:12" x14ac:dyDescent="0.2">
      <c r="A281" s="12" t="s">
        <v>4645</v>
      </c>
      <c r="B281" s="41" t="s">
        <v>36</v>
      </c>
      <c r="C281" s="12">
        <v>94800041</v>
      </c>
      <c r="D281" s="12">
        <v>94801634</v>
      </c>
      <c r="E281" s="12" t="s">
        <v>3940</v>
      </c>
      <c r="F281" s="12">
        <v>1</v>
      </c>
      <c r="G281" s="12" t="s">
        <v>230</v>
      </c>
      <c r="H281" s="12" t="s">
        <v>36</v>
      </c>
      <c r="I281" s="12">
        <v>94800056</v>
      </c>
      <c r="J281" s="48" t="s">
        <v>7217</v>
      </c>
      <c r="K281" s="48" t="s">
        <v>2199</v>
      </c>
      <c r="L281" s="41" t="s">
        <v>3899</v>
      </c>
    </row>
    <row r="282" spans="1:12" x14ac:dyDescent="0.2">
      <c r="A282" s="12" t="s">
        <v>5361</v>
      </c>
      <c r="B282" s="41" t="s">
        <v>40</v>
      </c>
      <c r="C282" s="12">
        <v>149412148</v>
      </c>
      <c r="D282" s="12">
        <v>149426307</v>
      </c>
      <c r="E282" s="12" t="s">
        <v>3940</v>
      </c>
      <c r="F282" s="12">
        <v>1</v>
      </c>
      <c r="G282" s="12" t="s">
        <v>231</v>
      </c>
      <c r="H282" s="12" t="s">
        <v>40</v>
      </c>
      <c r="I282" s="12">
        <v>149412148</v>
      </c>
      <c r="J282" s="41" t="s">
        <v>2171</v>
      </c>
      <c r="K282" s="41" t="s">
        <v>2171</v>
      </c>
      <c r="L282" s="41" t="s">
        <v>3763</v>
      </c>
    </row>
    <row r="283" spans="1:12" x14ac:dyDescent="0.2">
      <c r="A283" s="12" t="s">
        <v>4304</v>
      </c>
      <c r="B283" s="41" t="s">
        <v>47</v>
      </c>
      <c r="C283" s="12">
        <v>48211101</v>
      </c>
      <c r="D283" s="12">
        <v>48227384</v>
      </c>
      <c r="E283" s="12" t="s">
        <v>3940</v>
      </c>
      <c r="F283" s="12">
        <v>2</v>
      </c>
      <c r="G283" s="12" t="s">
        <v>1187</v>
      </c>
      <c r="H283" s="12" t="s">
        <v>47</v>
      </c>
      <c r="I283" s="12">
        <v>48211101</v>
      </c>
      <c r="J283" s="41" t="s">
        <v>3388</v>
      </c>
      <c r="K283" s="41" t="s">
        <v>3388</v>
      </c>
      <c r="L283" s="41" t="s">
        <v>3763</v>
      </c>
    </row>
    <row r="284" spans="1:12" x14ac:dyDescent="0.2">
      <c r="A284" s="12" t="s">
        <v>4304</v>
      </c>
      <c r="B284" s="41" t="s">
        <v>47</v>
      </c>
      <c r="C284" s="12">
        <v>48211101</v>
      </c>
      <c r="D284" s="12">
        <v>48227403</v>
      </c>
      <c r="E284" s="12" t="s">
        <v>3940</v>
      </c>
      <c r="F284" s="12">
        <v>2</v>
      </c>
      <c r="G284" s="12" t="s">
        <v>1187</v>
      </c>
      <c r="H284" s="12" t="s">
        <v>47</v>
      </c>
      <c r="I284" s="12">
        <v>48211101</v>
      </c>
      <c r="J284" s="41" t="s">
        <v>3388</v>
      </c>
      <c r="K284" s="41" t="s">
        <v>3388</v>
      </c>
      <c r="L284" s="41" t="s">
        <v>3763</v>
      </c>
    </row>
    <row r="285" spans="1:12" x14ac:dyDescent="0.2">
      <c r="A285" s="12" t="s">
        <v>4304</v>
      </c>
      <c r="B285" s="41" t="s">
        <v>47</v>
      </c>
      <c r="C285" s="12">
        <v>48211101</v>
      </c>
      <c r="D285" s="12">
        <v>48212647</v>
      </c>
      <c r="E285" s="12" t="s">
        <v>3943</v>
      </c>
      <c r="F285" s="12">
        <v>1</v>
      </c>
      <c r="G285" s="12" t="s">
        <v>1187</v>
      </c>
      <c r="H285" s="12" t="s">
        <v>47</v>
      </c>
      <c r="I285" s="12">
        <v>48211101</v>
      </c>
      <c r="J285" s="41" t="s">
        <v>3388</v>
      </c>
      <c r="K285" s="41" t="s">
        <v>3388</v>
      </c>
      <c r="L285" s="41" t="s">
        <v>3763</v>
      </c>
    </row>
    <row r="286" spans="1:12" x14ac:dyDescent="0.2">
      <c r="A286" s="12" t="s">
        <v>5513</v>
      </c>
      <c r="B286" s="41" t="s">
        <v>50</v>
      </c>
      <c r="C286" s="12">
        <v>4472255</v>
      </c>
      <c r="D286" s="12">
        <v>4499664</v>
      </c>
      <c r="E286" s="12" t="s">
        <v>3943</v>
      </c>
      <c r="F286" s="12">
        <v>15</v>
      </c>
      <c r="G286" s="12" t="s">
        <v>1228</v>
      </c>
      <c r="H286" s="12" t="s">
        <v>50</v>
      </c>
      <c r="I286" s="12">
        <v>4472255</v>
      </c>
      <c r="J286" s="41" t="s">
        <v>2284</v>
      </c>
      <c r="K286" s="41" t="s">
        <v>2284</v>
      </c>
      <c r="L286" s="41" t="s">
        <v>8365</v>
      </c>
    </row>
    <row r="287" spans="1:12" x14ac:dyDescent="0.2">
      <c r="A287" s="12" t="s">
        <v>5127</v>
      </c>
      <c r="B287" s="41" t="s">
        <v>212</v>
      </c>
      <c r="C287" s="12">
        <v>122064455</v>
      </c>
      <c r="D287" s="12">
        <v>122064784</v>
      </c>
      <c r="E287" s="12" t="s">
        <v>3943</v>
      </c>
      <c r="F287" s="12">
        <v>6</v>
      </c>
      <c r="G287" s="12" t="s">
        <v>1048</v>
      </c>
      <c r="H287" s="12" t="s">
        <v>212</v>
      </c>
      <c r="I287" s="12">
        <v>122064455</v>
      </c>
      <c r="J287" s="41" t="s">
        <v>2271</v>
      </c>
      <c r="K287" s="41" t="s">
        <v>2271</v>
      </c>
      <c r="L287" s="41" t="s">
        <v>8357</v>
      </c>
    </row>
    <row r="288" spans="1:12" x14ac:dyDescent="0.2">
      <c r="A288" s="12" t="s">
        <v>4761</v>
      </c>
      <c r="B288" s="41" t="s">
        <v>93</v>
      </c>
      <c r="C288" s="12">
        <v>7601232</v>
      </c>
      <c r="D288" s="12">
        <v>7605077</v>
      </c>
      <c r="E288" s="12" t="s">
        <v>3943</v>
      </c>
      <c r="F288" s="12">
        <v>1</v>
      </c>
      <c r="G288" s="12" t="s">
        <v>94</v>
      </c>
      <c r="H288" s="12" t="s">
        <v>93</v>
      </c>
      <c r="I288" s="12">
        <v>7601232</v>
      </c>
      <c r="J288" s="41" t="s">
        <v>2103</v>
      </c>
      <c r="K288" s="41" t="s">
        <v>2103</v>
      </c>
      <c r="L288" s="41" t="s">
        <v>3763</v>
      </c>
    </row>
    <row r="289" spans="1:12" x14ac:dyDescent="0.2">
      <c r="A289" s="12" t="s">
        <v>5038</v>
      </c>
      <c r="B289" s="41" t="s">
        <v>50</v>
      </c>
      <c r="C289" s="12">
        <v>16244838</v>
      </c>
      <c r="D289" s="12">
        <v>16268212</v>
      </c>
      <c r="E289" s="12" t="s">
        <v>3943</v>
      </c>
      <c r="F289" s="12">
        <v>1</v>
      </c>
      <c r="G289" s="12" t="s">
        <v>88</v>
      </c>
      <c r="H289" s="12" t="s">
        <v>50</v>
      </c>
      <c r="I289" s="12">
        <v>16244838</v>
      </c>
      <c r="J289" s="41" t="s">
        <v>2100</v>
      </c>
      <c r="K289" s="41" t="s">
        <v>2100</v>
      </c>
      <c r="L289" s="41" t="s">
        <v>3763</v>
      </c>
    </row>
    <row r="290" spans="1:12" x14ac:dyDescent="0.2">
      <c r="A290" s="12" t="s">
        <v>5329</v>
      </c>
      <c r="B290" s="41" t="s">
        <v>50</v>
      </c>
      <c r="C290" s="12">
        <v>16244838</v>
      </c>
      <c r="D290" s="12">
        <v>16268212</v>
      </c>
      <c r="E290" s="12" t="s">
        <v>3943</v>
      </c>
      <c r="F290" s="12">
        <v>1</v>
      </c>
      <c r="G290" s="12" t="s">
        <v>88</v>
      </c>
      <c r="H290" s="12" t="s">
        <v>50</v>
      </c>
      <c r="I290" s="12">
        <v>16244838</v>
      </c>
      <c r="J290" s="41" t="s">
        <v>2100</v>
      </c>
      <c r="K290" s="41" t="s">
        <v>2100</v>
      </c>
      <c r="L290" s="41" t="s">
        <v>3763</v>
      </c>
    </row>
    <row r="291" spans="1:12" x14ac:dyDescent="0.2">
      <c r="A291" s="12" t="s">
        <v>5197</v>
      </c>
      <c r="B291" s="41" t="s">
        <v>86</v>
      </c>
      <c r="C291" s="12">
        <v>124624289</v>
      </c>
      <c r="D291" s="12">
        <v>124646705</v>
      </c>
      <c r="E291" s="12" t="s">
        <v>3940</v>
      </c>
      <c r="F291" s="12">
        <v>3</v>
      </c>
      <c r="G291" s="12" t="s">
        <v>547</v>
      </c>
      <c r="H291" s="12" t="s">
        <v>86</v>
      </c>
      <c r="I291" s="12">
        <v>124624289</v>
      </c>
      <c r="J291" s="41" t="s">
        <v>2238</v>
      </c>
      <c r="K291" s="41" t="s">
        <v>2238</v>
      </c>
      <c r="L291" s="41" t="s">
        <v>8359</v>
      </c>
    </row>
    <row r="292" spans="1:12" x14ac:dyDescent="0.2">
      <c r="A292" s="12" t="s">
        <v>4455</v>
      </c>
      <c r="B292" s="41" t="s">
        <v>53</v>
      </c>
      <c r="C292" s="12">
        <v>278204</v>
      </c>
      <c r="D292" s="12">
        <v>278687</v>
      </c>
      <c r="E292" s="12" t="s">
        <v>3943</v>
      </c>
      <c r="F292" s="12">
        <v>3</v>
      </c>
      <c r="G292" s="12" t="s">
        <v>1291</v>
      </c>
      <c r="H292" s="12" t="s">
        <v>53</v>
      </c>
      <c r="I292" s="12">
        <v>278204</v>
      </c>
      <c r="J292" s="41" t="s">
        <v>2290</v>
      </c>
      <c r="K292" s="41" t="s">
        <v>2290</v>
      </c>
      <c r="L292" s="41" t="s">
        <v>8340</v>
      </c>
    </row>
    <row r="293" spans="1:12" x14ac:dyDescent="0.2">
      <c r="A293" s="12" t="s">
        <v>5114</v>
      </c>
      <c r="B293" s="41" t="s">
        <v>121</v>
      </c>
      <c r="C293" s="12">
        <v>76311176</v>
      </c>
      <c r="D293" s="12">
        <v>76311603</v>
      </c>
      <c r="E293" s="12" t="s">
        <v>3940</v>
      </c>
      <c r="F293" s="12">
        <v>1</v>
      </c>
      <c r="G293" s="12" t="s">
        <v>232</v>
      </c>
      <c r="H293" s="12" t="s">
        <v>121</v>
      </c>
      <c r="I293" s="12">
        <v>76311176</v>
      </c>
      <c r="J293" s="41" t="s">
        <v>2161</v>
      </c>
      <c r="K293" s="41" t="s">
        <v>2161</v>
      </c>
      <c r="L293" s="41" t="s">
        <v>3763</v>
      </c>
    </row>
    <row r="294" spans="1:12" x14ac:dyDescent="0.2">
      <c r="A294" s="12" t="s">
        <v>4793</v>
      </c>
      <c r="B294" s="41" t="s">
        <v>36</v>
      </c>
      <c r="C294" s="12">
        <v>111848033</v>
      </c>
      <c r="D294" s="12">
        <v>111848362</v>
      </c>
      <c r="E294" s="12" t="s">
        <v>3943</v>
      </c>
      <c r="F294" s="12">
        <v>1</v>
      </c>
      <c r="G294" s="12" t="s">
        <v>975</v>
      </c>
      <c r="H294" s="12" t="s">
        <v>36</v>
      </c>
      <c r="I294" s="12">
        <v>111848033</v>
      </c>
      <c r="J294" s="41" t="s">
        <v>3360</v>
      </c>
      <c r="K294" s="41" t="s">
        <v>3360</v>
      </c>
      <c r="L294" s="41" t="s">
        <v>8428</v>
      </c>
    </row>
    <row r="295" spans="1:12" x14ac:dyDescent="0.2">
      <c r="A295" s="12" t="s">
        <v>4793</v>
      </c>
      <c r="B295" s="41" t="s">
        <v>36</v>
      </c>
      <c r="C295" s="12">
        <v>111848033</v>
      </c>
      <c r="D295" s="12">
        <v>111853108</v>
      </c>
      <c r="E295" s="12" t="s">
        <v>3940</v>
      </c>
      <c r="F295" s="12">
        <v>1</v>
      </c>
      <c r="G295" s="12" t="s">
        <v>975</v>
      </c>
      <c r="H295" s="12" t="s">
        <v>36</v>
      </c>
      <c r="I295" s="12">
        <v>111848033</v>
      </c>
      <c r="J295" s="41" t="s">
        <v>3360</v>
      </c>
      <c r="K295" s="41" t="s">
        <v>3360</v>
      </c>
      <c r="L295" s="41" t="s">
        <v>8428</v>
      </c>
    </row>
    <row r="296" spans="1:12" x14ac:dyDescent="0.2">
      <c r="A296" s="12" t="s">
        <v>5475</v>
      </c>
      <c r="B296" s="41" t="s">
        <v>139</v>
      </c>
      <c r="C296" s="12">
        <v>1571100</v>
      </c>
      <c r="D296" s="12">
        <v>1590440</v>
      </c>
      <c r="E296" s="12" t="s">
        <v>3943</v>
      </c>
      <c r="F296" s="12">
        <v>1</v>
      </c>
      <c r="G296" s="12" t="s">
        <v>316</v>
      </c>
      <c r="H296" s="12" t="s">
        <v>139</v>
      </c>
      <c r="I296" s="12">
        <v>1571100</v>
      </c>
      <c r="J296" s="41" t="s">
        <v>2222</v>
      </c>
      <c r="K296" s="41" t="s">
        <v>2222</v>
      </c>
      <c r="L296" s="41" t="s">
        <v>8423</v>
      </c>
    </row>
    <row r="297" spans="1:12" x14ac:dyDescent="0.2">
      <c r="A297" s="12" t="s">
        <v>5475</v>
      </c>
      <c r="B297" s="41" t="s">
        <v>139</v>
      </c>
      <c r="C297" s="12">
        <v>1571100</v>
      </c>
      <c r="D297" s="12">
        <v>1585972</v>
      </c>
      <c r="E297" s="12" t="s">
        <v>3940</v>
      </c>
      <c r="F297" s="12">
        <v>57</v>
      </c>
      <c r="G297" s="12" t="s">
        <v>316</v>
      </c>
      <c r="H297" s="12" t="s">
        <v>139</v>
      </c>
      <c r="I297" s="12">
        <v>1571100</v>
      </c>
      <c r="J297" s="41" t="s">
        <v>2222</v>
      </c>
      <c r="K297" s="41" t="s">
        <v>2222</v>
      </c>
      <c r="L297" s="41" t="s">
        <v>8423</v>
      </c>
    </row>
    <row r="298" spans="1:12" x14ac:dyDescent="0.2">
      <c r="A298" s="12" t="s">
        <v>5475</v>
      </c>
      <c r="B298" s="41" t="s">
        <v>139</v>
      </c>
      <c r="C298" s="12">
        <v>1571100</v>
      </c>
      <c r="D298" s="12">
        <v>1580623</v>
      </c>
      <c r="E298" s="12" t="s">
        <v>3940</v>
      </c>
      <c r="F298" s="12">
        <v>193</v>
      </c>
      <c r="G298" s="12" t="s">
        <v>316</v>
      </c>
      <c r="H298" s="12" t="s">
        <v>139</v>
      </c>
      <c r="I298" s="12">
        <v>1571100</v>
      </c>
      <c r="J298" s="41" t="s">
        <v>2222</v>
      </c>
      <c r="K298" s="41" t="s">
        <v>2222</v>
      </c>
      <c r="L298" s="41" t="s">
        <v>8423</v>
      </c>
    </row>
    <row r="299" spans="1:12" x14ac:dyDescent="0.2">
      <c r="A299" s="12" t="s">
        <v>5263</v>
      </c>
      <c r="B299" s="41" t="s">
        <v>139</v>
      </c>
      <c r="C299" s="12">
        <v>1571100</v>
      </c>
      <c r="D299" s="12">
        <v>1590440</v>
      </c>
      <c r="E299" s="12" t="s">
        <v>3943</v>
      </c>
      <c r="F299" s="12">
        <v>1</v>
      </c>
      <c r="G299" s="12" t="s">
        <v>317</v>
      </c>
      <c r="H299" s="12" t="s">
        <v>139</v>
      </c>
      <c r="I299" s="12">
        <v>1571100</v>
      </c>
      <c r="J299" s="41" t="s">
        <v>2223</v>
      </c>
      <c r="K299" s="41" t="s">
        <v>2223</v>
      </c>
      <c r="L299" s="41" t="s">
        <v>8432</v>
      </c>
    </row>
    <row r="300" spans="1:12" x14ac:dyDescent="0.2">
      <c r="A300" s="12" t="s">
        <v>5263</v>
      </c>
      <c r="B300" s="41" t="s">
        <v>139</v>
      </c>
      <c r="C300" s="12">
        <v>1571100</v>
      </c>
      <c r="D300" s="12">
        <v>1580623</v>
      </c>
      <c r="E300" s="12" t="s">
        <v>3940</v>
      </c>
      <c r="F300" s="12">
        <v>229</v>
      </c>
      <c r="G300" s="12" t="s">
        <v>317</v>
      </c>
      <c r="H300" s="12" t="s">
        <v>139</v>
      </c>
      <c r="I300" s="12">
        <v>1571100</v>
      </c>
      <c r="J300" s="41" t="s">
        <v>2223</v>
      </c>
      <c r="K300" s="41" t="s">
        <v>2223</v>
      </c>
      <c r="L300" s="41" t="s">
        <v>8432</v>
      </c>
    </row>
    <row r="301" spans="1:12" x14ac:dyDescent="0.2">
      <c r="A301" s="12" t="s">
        <v>4139</v>
      </c>
      <c r="B301" s="41" t="s">
        <v>139</v>
      </c>
      <c r="C301" s="12">
        <v>1571100</v>
      </c>
      <c r="D301" s="12">
        <v>1590440</v>
      </c>
      <c r="E301" s="12" t="s">
        <v>3943</v>
      </c>
      <c r="F301" s="12">
        <v>1</v>
      </c>
      <c r="G301" s="12" t="s">
        <v>318</v>
      </c>
      <c r="H301" s="12" t="s">
        <v>139</v>
      </c>
      <c r="I301" s="12">
        <v>1571100</v>
      </c>
      <c r="J301" s="41" t="s">
        <v>2224</v>
      </c>
      <c r="K301" s="41" t="s">
        <v>2224</v>
      </c>
      <c r="L301" s="41" t="s">
        <v>8423</v>
      </c>
    </row>
    <row r="302" spans="1:12" x14ac:dyDescent="0.2">
      <c r="A302" s="12" t="s">
        <v>4139</v>
      </c>
      <c r="B302" s="41" t="s">
        <v>139</v>
      </c>
      <c r="C302" s="12">
        <v>1571100</v>
      </c>
      <c r="D302" s="12">
        <v>1585972</v>
      </c>
      <c r="E302" s="12" t="s">
        <v>3940</v>
      </c>
      <c r="F302" s="12">
        <v>57</v>
      </c>
      <c r="G302" s="12" t="s">
        <v>318</v>
      </c>
      <c r="H302" s="12" t="s">
        <v>139</v>
      </c>
      <c r="I302" s="12">
        <v>1571100</v>
      </c>
      <c r="J302" s="41" t="s">
        <v>2224</v>
      </c>
      <c r="K302" s="41" t="s">
        <v>2224</v>
      </c>
      <c r="L302" s="41" t="s">
        <v>8423</v>
      </c>
    </row>
    <row r="303" spans="1:12" x14ac:dyDescent="0.2">
      <c r="A303" s="12" t="s">
        <v>4139</v>
      </c>
      <c r="B303" s="41" t="s">
        <v>139</v>
      </c>
      <c r="C303" s="12">
        <v>1571100</v>
      </c>
      <c r="D303" s="12">
        <v>1580623</v>
      </c>
      <c r="E303" s="12" t="s">
        <v>3940</v>
      </c>
      <c r="F303" s="12">
        <v>193</v>
      </c>
      <c r="G303" s="12" t="s">
        <v>318</v>
      </c>
      <c r="H303" s="12" t="s">
        <v>139</v>
      </c>
      <c r="I303" s="12">
        <v>1571100</v>
      </c>
      <c r="J303" s="41" t="s">
        <v>2224</v>
      </c>
      <c r="K303" s="41" t="s">
        <v>2224</v>
      </c>
      <c r="L303" s="41" t="s">
        <v>8423</v>
      </c>
    </row>
    <row r="304" spans="1:12" x14ac:dyDescent="0.2">
      <c r="A304" s="12" t="s">
        <v>5553</v>
      </c>
      <c r="B304" s="41" t="s">
        <v>139</v>
      </c>
      <c r="C304" s="12">
        <v>1571100</v>
      </c>
      <c r="D304" s="12">
        <v>1590440</v>
      </c>
      <c r="E304" s="12" t="s">
        <v>3943</v>
      </c>
      <c r="F304" s="12">
        <v>1</v>
      </c>
      <c r="G304" s="12" t="s">
        <v>315</v>
      </c>
      <c r="H304" s="12" t="s">
        <v>139</v>
      </c>
      <c r="I304" s="12">
        <v>1571100</v>
      </c>
      <c r="J304" s="41" t="s">
        <v>2221</v>
      </c>
      <c r="K304" s="41" t="s">
        <v>2221</v>
      </c>
      <c r="L304" s="41" t="s">
        <v>8432</v>
      </c>
    </row>
    <row r="305" spans="1:12" x14ac:dyDescent="0.2">
      <c r="A305" s="12" t="s">
        <v>5553</v>
      </c>
      <c r="B305" s="41" t="s">
        <v>139</v>
      </c>
      <c r="C305" s="12">
        <v>1571100</v>
      </c>
      <c r="D305" s="12">
        <v>1580650</v>
      </c>
      <c r="E305" s="12" t="s">
        <v>3940</v>
      </c>
      <c r="F305" s="12">
        <v>229</v>
      </c>
      <c r="G305" s="12" t="s">
        <v>315</v>
      </c>
      <c r="H305" s="12" t="s">
        <v>139</v>
      </c>
      <c r="I305" s="12">
        <v>1571100</v>
      </c>
      <c r="J305" s="41" t="s">
        <v>2221</v>
      </c>
      <c r="K305" s="41" t="s">
        <v>2221</v>
      </c>
      <c r="L305" s="41" t="s">
        <v>8432</v>
      </c>
    </row>
    <row r="306" spans="1:12" x14ac:dyDescent="0.2">
      <c r="A306" s="12" t="s">
        <v>5040</v>
      </c>
      <c r="B306" s="41" t="s">
        <v>139</v>
      </c>
      <c r="C306" s="12">
        <v>1571100</v>
      </c>
      <c r="D306" s="12">
        <v>1590440</v>
      </c>
      <c r="E306" s="12" t="s">
        <v>3943</v>
      </c>
      <c r="F306" s="12">
        <v>1</v>
      </c>
      <c r="G306" s="12" t="s">
        <v>314</v>
      </c>
      <c r="H306" s="12" t="s">
        <v>139</v>
      </c>
      <c r="I306" s="12">
        <v>1571100</v>
      </c>
      <c r="J306" s="41" t="s">
        <v>2220</v>
      </c>
      <c r="K306" s="41" t="s">
        <v>2220</v>
      </c>
      <c r="L306" s="41" t="s">
        <v>8432</v>
      </c>
    </row>
    <row r="307" spans="1:12" x14ac:dyDescent="0.2">
      <c r="A307" s="12" t="s">
        <v>5040</v>
      </c>
      <c r="B307" s="41" t="s">
        <v>139</v>
      </c>
      <c r="C307" s="12">
        <v>1571100</v>
      </c>
      <c r="D307" s="12">
        <v>1580623</v>
      </c>
      <c r="E307" s="12" t="s">
        <v>3940</v>
      </c>
      <c r="F307" s="12">
        <v>229</v>
      </c>
      <c r="G307" s="12" t="s">
        <v>314</v>
      </c>
      <c r="H307" s="12" t="s">
        <v>139</v>
      </c>
      <c r="I307" s="12">
        <v>1571100</v>
      </c>
      <c r="J307" s="41" t="s">
        <v>2220</v>
      </c>
      <c r="K307" s="41" t="s">
        <v>2220</v>
      </c>
      <c r="L307" s="41" t="s">
        <v>8432</v>
      </c>
    </row>
    <row r="308" spans="1:12" x14ac:dyDescent="0.2">
      <c r="A308" s="12" t="s">
        <v>4111</v>
      </c>
      <c r="B308" s="41" t="s">
        <v>43</v>
      </c>
      <c r="C308" s="12">
        <v>51113070</v>
      </c>
      <c r="D308" s="12">
        <v>51133476</v>
      </c>
      <c r="E308" s="12" t="s">
        <v>3940</v>
      </c>
      <c r="F308" s="12">
        <v>37</v>
      </c>
      <c r="G308" s="12" t="s">
        <v>1360</v>
      </c>
      <c r="H308" s="12" t="s">
        <v>43</v>
      </c>
      <c r="I308" s="12">
        <v>51113070</v>
      </c>
      <c r="J308" s="41" t="s">
        <v>3393</v>
      </c>
      <c r="K308" s="41" t="s">
        <v>3393</v>
      </c>
      <c r="L308" s="41" t="s">
        <v>8422</v>
      </c>
    </row>
    <row r="309" spans="1:12" x14ac:dyDescent="0.2">
      <c r="A309" s="12" t="s">
        <v>4111</v>
      </c>
      <c r="B309" s="41" t="s">
        <v>43</v>
      </c>
      <c r="C309" s="12">
        <v>51113070</v>
      </c>
      <c r="D309" s="12">
        <v>51135989</v>
      </c>
      <c r="E309" s="12" t="s">
        <v>3943</v>
      </c>
      <c r="F309" s="12">
        <v>2</v>
      </c>
      <c r="G309" s="12" t="s">
        <v>1360</v>
      </c>
      <c r="H309" s="12" t="s">
        <v>43</v>
      </c>
      <c r="I309" s="12">
        <v>51113070</v>
      </c>
      <c r="J309" s="41" t="s">
        <v>3393</v>
      </c>
      <c r="K309" s="41" t="s">
        <v>3393</v>
      </c>
      <c r="L309" s="41" t="s">
        <v>8422</v>
      </c>
    </row>
    <row r="310" spans="1:12" x14ac:dyDescent="0.2">
      <c r="A310" s="12" t="s">
        <v>4239</v>
      </c>
      <c r="B310" s="41" t="s">
        <v>103</v>
      </c>
      <c r="C310" s="12">
        <v>120220610</v>
      </c>
      <c r="D310" s="12">
        <v>120220778</v>
      </c>
      <c r="E310" s="12" t="s">
        <v>3943</v>
      </c>
      <c r="F310" s="12">
        <v>1</v>
      </c>
      <c r="G310" s="12" t="s">
        <v>102</v>
      </c>
      <c r="H310" s="12" t="s">
        <v>103</v>
      </c>
      <c r="I310" s="12">
        <v>120220610</v>
      </c>
      <c r="J310" s="41" t="s">
        <v>2108</v>
      </c>
      <c r="K310" s="41" t="s">
        <v>2108</v>
      </c>
      <c r="L310" s="41" t="s">
        <v>3763</v>
      </c>
    </row>
    <row r="311" spans="1:12" x14ac:dyDescent="0.2">
      <c r="A311" s="12" t="s">
        <v>4751</v>
      </c>
      <c r="B311" s="41" t="s">
        <v>121</v>
      </c>
      <c r="C311" s="12">
        <v>81134484</v>
      </c>
      <c r="D311" s="12">
        <v>81161483</v>
      </c>
      <c r="E311" s="12" t="s">
        <v>3940</v>
      </c>
      <c r="F311" s="12">
        <v>1</v>
      </c>
      <c r="G311" s="12" t="s">
        <v>120</v>
      </c>
      <c r="H311" s="12" t="s">
        <v>121</v>
      </c>
      <c r="I311" s="12">
        <v>81134484</v>
      </c>
      <c r="J311" s="41" t="s">
        <v>2119</v>
      </c>
      <c r="K311" s="41" t="s">
        <v>2119</v>
      </c>
      <c r="L311" s="41" t="s">
        <v>3763</v>
      </c>
    </row>
    <row r="312" spans="1:12" x14ac:dyDescent="0.2">
      <c r="A312" s="12" t="s">
        <v>5486</v>
      </c>
      <c r="B312" s="41" t="s">
        <v>47</v>
      </c>
      <c r="C312" s="12">
        <v>26721661</v>
      </c>
      <c r="D312" s="12">
        <v>26727721</v>
      </c>
      <c r="E312" s="12" t="s">
        <v>3943</v>
      </c>
      <c r="F312" s="12">
        <v>1</v>
      </c>
      <c r="G312" s="12" t="s">
        <v>1165</v>
      </c>
      <c r="H312" s="12" t="s">
        <v>47</v>
      </c>
      <c r="I312" s="12">
        <v>26721661</v>
      </c>
      <c r="J312" s="41" t="s">
        <v>3387</v>
      </c>
      <c r="K312" s="41" t="s">
        <v>3387</v>
      </c>
      <c r="L312" s="41" t="s">
        <v>3763</v>
      </c>
    </row>
    <row r="313" spans="1:12" x14ac:dyDescent="0.2">
      <c r="A313" s="12" t="s">
        <v>4797</v>
      </c>
      <c r="B313" s="41" t="s">
        <v>47</v>
      </c>
      <c r="C313" s="12">
        <v>26721661</v>
      </c>
      <c r="D313" s="12">
        <v>26727721</v>
      </c>
      <c r="E313" s="12" t="s">
        <v>3943</v>
      </c>
      <c r="F313" s="12">
        <v>1</v>
      </c>
      <c r="G313" s="12" t="s">
        <v>1165</v>
      </c>
      <c r="H313" s="12" t="s">
        <v>47</v>
      </c>
      <c r="I313" s="12">
        <v>26721661</v>
      </c>
      <c r="J313" s="41" t="s">
        <v>3387</v>
      </c>
      <c r="K313" s="41" t="s">
        <v>3387</v>
      </c>
      <c r="L313" s="41" t="s">
        <v>3763</v>
      </c>
    </row>
    <row r="314" spans="1:12" x14ac:dyDescent="0.2">
      <c r="A314" s="12" t="s">
        <v>4797</v>
      </c>
      <c r="B314" s="41" t="s">
        <v>47</v>
      </c>
      <c r="C314" s="12">
        <v>26721661</v>
      </c>
      <c r="D314" s="12">
        <v>26724874</v>
      </c>
      <c r="E314" s="12" t="s">
        <v>3940</v>
      </c>
      <c r="F314" s="12">
        <v>3</v>
      </c>
      <c r="G314" s="12" t="s">
        <v>1165</v>
      </c>
      <c r="H314" s="12" t="s">
        <v>47</v>
      </c>
      <c r="I314" s="12">
        <v>26721661</v>
      </c>
      <c r="J314" s="41" t="s">
        <v>3387</v>
      </c>
      <c r="K314" s="41" t="s">
        <v>3387</v>
      </c>
      <c r="L314" s="41" t="s">
        <v>3763</v>
      </c>
    </row>
    <row r="315" spans="1:12" x14ac:dyDescent="0.2">
      <c r="A315" s="12" t="s">
        <v>5049</v>
      </c>
      <c r="B315" s="41" t="s">
        <v>241</v>
      </c>
      <c r="C315" s="12">
        <v>46825097</v>
      </c>
      <c r="D315" s="12">
        <v>46924439</v>
      </c>
      <c r="E315" s="12" t="s">
        <v>3943</v>
      </c>
      <c r="F315" s="12">
        <v>9</v>
      </c>
      <c r="G315" s="12" t="s">
        <v>1330</v>
      </c>
      <c r="H315" s="12" t="s">
        <v>241</v>
      </c>
      <c r="I315" s="12">
        <v>46825097</v>
      </c>
      <c r="J315" s="41" t="s">
        <v>2292</v>
      </c>
      <c r="K315" s="41" t="s">
        <v>2292</v>
      </c>
      <c r="L315" s="41" t="s">
        <v>8350</v>
      </c>
    </row>
    <row r="316" spans="1:12" x14ac:dyDescent="0.2">
      <c r="A316" s="12" t="s">
        <v>5548</v>
      </c>
      <c r="B316" s="41" t="s">
        <v>121</v>
      </c>
      <c r="C316" s="12">
        <v>21413455</v>
      </c>
      <c r="D316" s="12">
        <v>21415556</v>
      </c>
      <c r="E316" s="12" t="s">
        <v>3943</v>
      </c>
      <c r="F316" s="12">
        <v>1</v>
      </c>
      <c r="G316" s="12" t="s">
        <v>1124</v>
      </c>
      <c r="H316" s="12" t="s">
        <v>121</v>
      </c>
      <c r="I316" s="12">
        <v>21413455</v>
      </c>
      <c r="J316" s="41" t="s">
        <v>3381</v>
      </c>
      <c r="K316" s="41" t="s">
        <v>3381</v>
      </c>
      <c r="L316" s="41" t="s">
        <v>3763</v>
      </c>
    </row>
    <row r="317" spans="1:12" x14ac:dyDescent="0.2">
      <c r="A317" s="12" t="s">
        <v>5548</v>
      </c>
      <c r="B317" s="41" t="s">
        <v>121</v>
      </c>
      <c r="C317" s="12">
        <v>21413455</v>
      </c>
      <c r="D317" s="12">
        <v>21415700</v>
      </c>
      <c r="E317" s="12" t="s">
        <v>3940</v>
      </c>
      <c r="F317" s="12">
        <v>1</v>
      </c>
      <c r="G317" s="12" t="s">
        <v>1124</v>
      </c>
      <c r="H317" s="12" t="s">
        <v>121</v>
      </c>
      <c r="I317" s="12">
        <v>21413455</v>
      </c>
      <c r="J317" s="41" t="s">
        <v>3381</v>
      </c>
      <c r="K317" s="41" t="s">
        <v>3381</v>
      </c>
      <c r="L317" s="41" t="s">
        <v>3763</v>
      </c>
    </row>
    <row r="318" spans="1:12" x14ac:dyDescent="0.2">
      <c r="A318" s="12" t="s">
        <v>5548</v>
      </c>
      <c r="B318" s="41" t="s">
        <v>121</v>
      </c>
      <c r="C318" s="12">
        <v>21413455</v>
      </c>
      <c r="D318" s="12">
        <v>21415827</v>
      </c>
      <c r="E318" s="12" t="s">
        <v>3940</v>
      </c>
      <c r="F318" s="12">
        <v>2</v>
      </c>
      <c r="G318" s="12" t="s">
        <v>1124</v>
      </c>
      <c r="H318" s="12" t="s">
        <v>121</v>
      </c>
      <c r="I318" s="12">
        <v>21413455</v>
      </c>
      <c r="J318" s="41" t="s">
        <v>3381</v>
      </c>
      <c r="K318" s="41" t="s">
        <v>3381</v>
      </c>
      <c r="L318" s="41" t="s">
        <v>3763</v>
      </c>
    </row>
    <row r="319" spans="1:12" x14ac:dyDescent="0.2">
      <c r="A319" s="12" t="s">
        <v>5390</v>
      </c>
      <c r="B319" s="41" t="s">
        <v>47</v>
      </c>
      <c r="C319" s="12">
        <v>43189008</v>
      </c>
      <c r="D319" s="12">
        <v>43192549</v>
      </c>
      <c r="E319" s="12" t="s">
        <v>3940</v>
      </c>
      <c r="F319" s="12">
        <v>1</v>
      </c>
      <c r="G319" s="12" t="s">
        <v>123</v>
      </c>
      <c r="H319" s="12" t="s">
        <v>47</v>
      </c>
      <c r="I319" s="12">
        <v>43189008</v>
      </c>
      <c r="J319" s="41" t="s">
        <v>2120</v>
      </c>
      <c r="K319" s="41" t="s">
        <v>2120</v>
      </c>
      <c r="L319" s="41" t="s">
        <v>3763</v>
      </c>
    </row>
    <row r="320" spans="1:12" x14ac:dyDescent="0.2">
      <c r="A320" s="12" t="s">
        <v>4303</v>
      </c>
      <c r="B320" s="41" t="s">
        <v>47</v>
      </c>
      <c r="C320" s="12">
        <v>43189008</v>
      </c>
      <c r="D320" s="12">
        <v>43192549</v>
      </c>
      <c r="E320" s="12" t="s">
        <v>3940</v>
      </c>
      <c r="F320" s="12">
        <v>1</v>
      </c>
      <c r="G320" s="12" t="s">
        <v>123</v>
      </c>
      <c r="H320" s="12" t="s">
        <v>47</v>
      </c>
      <c r="I320" s="12">
        <v>43189008</v>
      </c>
      <c r="J320" s="41" t="s">
        <v>2120</v>
      </c>
      <c r="K320" s="41" t="s">
        <v>2120</v>
      </c>
      <c r="L320" s="41" t="s">
        <v>3763</v>
      </c>
    </row>
    <row r="321" spans="1:12" x14ac:dyDescent="0.2">
      <c r="A321" s="12" t="s">
        <v>4161</v>
      </c>
      <c r="B321" s="41" t="s">
        <v>40</v>
      </c>
      <c r="C321" s="12">
        <v>101006101</v>
      </c>
      <c r="D321" s="12">
        <v>101200671</v>
      </c>
      <c r="E321" s="12" t="s">
        <v>3940</v>
      </c>
      <c r="F321" s="12">
        <v>1</v>
      </c>
      <c r="G321" s="12" t="s">
        <v>233</v>
      </c>
      <c r="H321" s="12" t="s">
        <v>40</v>
      </c>
      <c r="I321" s="43">
        <v>101006122</v>
      </c>
      <c r="J321" s="48" t="s">
        <v>6775</v>
      </c>
      <c r="K321" s="48" t="s">
        <v>8719</v>
      </c>
      <c r="L321" s="41" t="s">
        <v>3899</v>
      </c>
    </row>
    <row r="322" spans="1:12" x14ac:dyDescent="0.2">
      <c r="A322" s="12" t="s">
        <v>4164</v>
      </c>
      <c r="B322" s="41" t="s">
        <v>40</v>
      </c>
      <c r="C322" s="12">
        <v>101006101</v>
      </c>
      <c r="D322" s="12">
        <v>101200671</v>
      </c>
      <c r="E322" s="12" t="s">
        <v>3940</v>
      </c>
      <c r="F322" s="12">
        <v>1</v>
      </c>
      <c r="G322" s="12" t="s">
        <v>233</v>
      </c>
      <c r="H322" s="12" t="s">
        <v>40</v>
      </c>
      <c r="I322" s="43">
        <v>101006122</v>
      </c>
      <c r="J322" s="48" t="s">
        <v>6775</v>
      </c>
      <c r="K322" s="48" t="s">
        <v>2165</v>
      </c>
      <c r="L322" s="41" t="s">
        <v>3899</v>
      </c>
    </row>
    <row r="323" spans="1:12" x14ac:dyDescent="0.2">
      <c r="A323" s="12" t="s">
        <v>5052</v>
      </c>
      <c r="B323" s="41" t="s">
        <v>50</v>
      </c>
      <c r="C323" s="12">
        <v>58694356</v>
      </c>
      <c r="D323" s="12">
        <v>58718361</v>
      </c>
      <c r="E323" s="12" t="s">
        <v>3940</v>
      </c>
      <c r="F323" s="12">
        <v>1</v>
      </c>
      <c r="G323" s="12" t="s">
        <v>234</v>
      </c>
      <c r="H323" s="12" t="s">
        <v>50</v>
      </c>
      <c r="I323" s="43">
        <v>58694396</v>
      </c>
      <c r="J323" s="48" t="s">
        <v>7606</v>
      </c>
      <c r="K323" s="48" t="s">
        <v>8720</v>
      </c>
      <c r="L323" s="41" t="s">
        <v>3899</v>
      </c>
    </row>
    <row r="324" spans="1:12" x14ac:dyDescent="0.2">
      <c r="A324" s="12" t="s">
        <v>5358</v>
      </c>
      <c r="B324" s="41" t="s">
        <v>113</v>
      </c>
      <c r="C324" s="12">
        <v>101844133</v>
      </c>
      <c r="D324" s="12">
        <v>102029685</v>
      </c>
      <c r="E324" s="12" t="s">
        <v>3940</v>
      </c>
      <c r="F324" s="12">
        <v>2</v>
      </c>
      <c r="G324" s="12" t="s">
        <v>114</v>
      </c>
      <c r="H324" s="12" t="s">
        <v>113</v>
      </c>
      <c r="I324" s="12">
        <v>101844133</v>
      </c>
      <c r="J324" s="41" t="s">
        <v>2114</v>
      </c>
      <c r="K324" s="41" t="s">
        <v>2114</v>
      </c>
      <c r="L324" s="41" t="s">
        <v>3763</v>
      </c>
    </row>
    <row r="325" spans="1:12" x14ac:dyDescent="0.2">
      <c r="A325" s="12" t="s">
        <v>4704</v>
      </c>
      <c r="B325" s="41" t="s">
        <v>113</v>
      </c>
      <c r="C325" s="12">
        <v>101844133</v>
      </c>
      <c r="D325" s="12">
        <v>102029685</v>
      </c>
      <c r="E325" s="12" t="s">
        <v>3940</v>
      </c>
      <c r="F325" s="12">
        <v>2</v>
      </c>
      <c r="G325" s="12" t="s">
        <v>114</v>
      </c>
      <c r="H325" s="12" t="s">
        <v>113</v>
      </c>
      <c r="I325" s="12">
        <v>101844133</v>
      </c>
      <c r="J325" s="41" t="s">
        <v>2114</v>
      </c>
      <c r="K325" s="41" t="s">
        <v>2114</v>
      </c>
      <c r="L325" s="41" t="s">
        <v>3763</v>
      </c>
    </row>
    <row r="326" spans="1:12" x14ac:dyDescent="0.2">
      <c r="A326" s="12" t="s">
        <v>4542</v>
      </c>
      <c r="B326" s="41" t="s">
        <v>113</v>
      </c>
      <c r="C326" s="12">
        <v>101853222</v>
      </c>
      <c r="D326" s="12">
        <v>102029685</v>
      </c>
      <c r="E326" s="12" t="s">
        <v>3940</v>
      </c>
      <c r="F326" s="12">
        <v>2</v>
      </c>
      <c r="G326" s="12" t="s">
        <v>1108</v>
      </c>
      <c r="H326" s="12" t="s">
        <v>113</v>
      </c>
      <c r="I326" s="12">
        <v>101853222</v>
      </c>
      <c r="J326" s="41" t="s">
        <v>3379</v>
      </c>
      <c r="K326" s="41" t="s">
        <v>3379</v>
      </c>
      <c r="L326" s="41" t="s">
        <v>3763</v>
      </c>
    </row>
    <row r="327" spans="1:12" x14ac:dyDescent="0.2">
      <c r="A327" s="12" t="s">
        <v>5062</v>
      </c>
      <c r="B327" s="41" t="s">
        <v>113</v>
      </c>
      <c r="C327" s="12">
        <v>101853222</v>
      </c>
      <c r="D327" s="12">
        <v>102029685</v>
      </c>
      <c r="E327" s="12" t="s">
        <v>3940</v>
      </c>
      <c r="F327" s="12">
        <v>2</v>
      </c>
      <c r="G327" s="12" t="s">
        <v>1107</v>
      </c>
      <c r="H327" s="12" t="s">
        <v>113</v>
      </c>
      <c r="I327" s="12">
        <v>101853222</v>
      </c>
      <c r="J327" s="41" t="s">
        <v>3378</v>
      </c>
      <c r="K327" s="41" t="s">
        <v>3378</v>
      </c>
      <c r="L327" s="41" t="s">
        <v>3763</v>
      </c>
    </row>
    <row r="328" spans="1:12" x14ac:dyDescent="0.2">
      <c r="A328" s="12" t="s">
        <v>4711</v>
      </c>
      <c r="B328" s="41" t="s">
        <v>113</v>
      </c>
      <c r="C328" s="12">
        <v>101923953</v>
      </c>
      <c r="D328" s="12">
        <v>102029685</v>
      </c>
      <c r="E328" s="12" t="s">
        <v>3940</v>
      </c>
      <c r="F328" s="12">
        <v>2</v>
      </c>
      <c r="G328" s="12" t="s">
        <v>115</v>
      </c>
      <c r="H328" s="12" t="s">
        <v>113</v>
      </c>
      <c r="I328" s="12">
        <v>101923953</v>
      </c>
      <c r="J328" s="41" t="s">
        <v>2115</v>
      </c>
      <c r="K328" s="41" t="s">
        <v>2115</v>
      </c>
      <c r="L328" s="41" t="s">
        <v>3763</v>
      </c>
    </row>
    <row r="329" spans="1:12" x14ac:dyDescent="0.2">
      <c r="A329" s="12" t="s">
        <v>4248</v>
      </c>
      <c r="B329" s="41" t="s">
        <v>113</v>
      </c>
      <c r="C329" s="12">
        <v>101923953</v>
      </c>
      <c r="D329" s="12">
        <v>102029685</v>
      </c>
      <c r="E329" s="12" t="s">
        <v>3940</v>
      </c>
      <c r="F329" s="12">
        <v>2</v>
      </c>
      <c r="G329" s="12" t="s">
        <v>115</v>
      </c>
      <c r="H329" s="12" t="s">
        <v>113</v>
      </c>
      <c r="I329" s="12">
        <v>101923953</v>
      </c>
      <c r="J329" s="41" t="s">
        <v>2115</v>
      </c>
      <c r="K329" s="41" t="s">
        <v>2115</v>
      </c>
      <c r="L329" s="41" t="s">
        <v>3763</v>
      </c>
    </row>
    <row r="330" spans="1:12" x14ac:dyDescent="0.2">
      <c r="A330" s="12" t="s">
        <v>4261</v>
      </c>
      <c r="B330" s="41" t="s">
        <v>113</v>
      </c>
      <c r="C330" s="12">
        <v>101886947</v>
      </c>
      <c r="D330" s="12">
        <v>102029685</v>
      </c>
      <c r="E330" s="12" t="s">
        <v>3940</v>
      </c>
      <c r="F330" s="12">
        <v>2</v>
      </c>
      <c r="G330" s="12" t="s">
        <v>116</v>
      </c>
      <c r="H330" s="12" t="s">
        <v>113</v>
      </c>
      <c r="I330" s="12">
        <v>101886947</v>
      </c>
      <c r="J330" s="41" t="s">
        <v>2116</v>
      </c>
      <c r="K330" s="41" t="s">
        <v>2116</v>
      </c>
      <c r="L330" s="41" t="s">
        <v>3763</v>
      </c>
    </row>
    <row r="331" spans="1:12" x14ac:dyDescent="0.2">
      <c r="A331" s="12" t="s">
        <v>4831</v>
      </c>
      <c r="B331" s="41" t="s">
        <v>113</v>
      </c>
      <c r="C331" s="12">
        <v>101886947</v>
      </c>
      <c r="D331" s="12">
        <v>102029685</v>
      </c>
      <c r="E331" s="12" t="s">
        <v>3940</v>
      </c>
      <c r="F331" s="12">
        <v>2</v>
      </c>
      <c r="G331" s="12" t="s">
        <v>116</v>
      </c>
      <c r="H331" s="12" t="s">
        <v>113</v>
      </c>
      <c r="I331" s="12">
        <v>101886947</v>
      </c>
      <c r="J331" s="41" t="s">
        <v>2116</v>
      </c>
      <c r="K331" s="41" t="s">
        <v>2116</v>
      </c>
      <c r="L331" s="41" t="s">
        <v>3763</v>
      </c>
    </row>
    <row r="332" spans="1:12" x14ac:dyDescent="0.2">
      <c r="A332" s="12" t="s">
        <v>4961</v>
      </c>
      <c r="B332" s="41" t="s">
        <v>113</v>
      </c>
      <c r="C332" s="12">
        <v>101886947</v>
      </c>
      <c r="D332" s="12">
        <v>102029685</v>
      </c>
      <c r="E332" s="12" t="s">
        <v>3940</v>
      </c>
      <c r="F332" s="12">
        <v>2</v>
      </c>
      <c r="G332" s="12" t="s">
        <v>117</v>
      </c>
      <c r="H332" s="12" t="s">
        <v>113</v>
      </c>
      <c r="I332" s="12">
        <v>101886947</v>
      </c>
      <c r="J332" s="41" t="s">
        <v>2117</v>
      </c>
      <c r="K332" s="41" t="s">
        <v>2117</v>
      </c>
      <c r="L332" s="41" t="s">
        <v>3763</v>
      </c>
    </row>
    <row r="333" spans="1:12" x14ac:dyDescent="0.2">
      <c r="A333" s="12" t="s">
        <v>4150</v>
      </c>
      <c r="B333" s="41" t="s">
        <v>113</v>
      </c>
      <c r="C333" s="12">
        <v>101886947</v>
      </c>
      <c r="D333" s="12">
        <v>102029685</v>
      </c>
      <c r="E333" s="12" t="s">
        <v>3940</v>
      </c>
      <c r="F333" s="12">
        <v>2</v>
      </c>
      <c r="G333" s="12" t="s">
        <v>117</v>
      </c>
      <c r="H333" s="12" t="s">
        <v>113</v>
      </c>
      <c r="I333" s="12">
        <v>101886947</v>
      </c>
      <c r="J333" s="41" t="s">
        <v>2117</v>
      </c>
      <c r="K333" s="41" t="s">
        <v>2117</v>
      </c>
      <c r="L333" s="41" t="s">
        <v>3763</v>
      </c>
    </row>
    <row r="334" spans="1:12" x14ac:dyDescent="0.2">
      <c r="A334" s="12" t="s">
        <v>4676</v>
      </c>
      <c r="B334" s="41" t="s">
        <v>113</v>
      </c>
      <c r="C334" s="12">
        <v>101905079</v>
      </c>
      <c r="D334" s="12">
        <v>102029685</v>
      </c>
      <c r="E334" s="12" t="s">
        <v>3940</v>
      </c>
      <c r="F334" s="12">
        <v>2</v>
      </c>
      <c r="G334" s="12" t="s">
        <v>118</v>
      </c>
      <c r="H334" s="12" t="s">
        <v>113</v>
      </c>
      <c r="I334" s="12">
        <v>101905079</v>
      </c>
      <c r="J334" s="41" t="s">
        <v>2118</v>
      </c>
      <c r="K334" s="41" t="s">
        <v>2118</v>
      </c>
      <c r="L334" s="41" t="s">
        <v>3763</v>
      </c>
    </row>
    <row r="335" spans="1:12" x14ac:dyDescent="0.2">
      <c r="A335" s="12" t="s">
        <v>4931</v>
      </c>
      <c r="B335" s="41" t="s">
        <v>113</v>
      </c>
      <c r="C335" s="12">
        <v>101905079</v>
      </c>
      <c r="D335" s="12">
        <v>102029685</v>
      </c>
      <c r="E335" s="12" t="s">
        <v>3940</v>
      </c>
      <c r="F335" s="12">
        <v>2</v>
      </c>
      <c r="G335" s="12" t="s">
        <v>118</v>
      </c>
      <c r="H335" s="12" t="s">
        <v>113</v>
      </c>
      <c r="I335" s="12">
        <v>101905079</v>
      </c>
      <c r="J335" s="41" t="s">
        <v>2118</v>
      </c>
      <c r="K335" s="41" t="s">
        <v>2118</v>
      </c>
      <c r="L335" s="41" t="s">
        <v>3763</v>
      </c>
    </row>
    <row r="336" spans="1:12" x14ac:dyDescent="0.2">
      <c r="A336" s="12" t="s">
        <v>5536</v>
      </c>
      <c r="B336" s="41" t="s">
        <v>50</v>
      </c>
      <c r="C336" s="12">
        <v>14199229</v>
      </c>
      <c r="D336" s="12">
        <v>14200896</v>
      </c>
      <c r="E336" s="12" t="s">
        <v>3940</v>
      </c>
      <c r="F336" s="12">
        <v>318</v>
      </c>
      <c r="G336" s="12" t="s">
        <v>1236</v>
      </c>
      <c r="H336" s="12" t="s">
        <v>50</v>
      </c>
      <c r="I336" s="12">
        <v>14199229</v>
      </c>
      <c r="J336" s="41" t="s">
        <v>2285</v>
      </c>
      <c r="K336" s="41" t="s">
        <v>2285</v>
      </c>
      <c r="L336" s="41" t="s">
        <v>8367</v>
      </c>
    </row>
    <row r="337" spans="1:12" x14ac:dyDescent="0.2">
      <c r="A337" s="12" t="s">
        <v>5404</v>
      </c>
      <c r="B337" s="41" t="s">
        <v>36</v>
      </c>
      <c r="C337" s="12">
        <v>76745385</v>
      </c>
      <c r="D337" s="12">
        <v>76751541</v>
      </c>
      <c r="E337" s="12" t="s">
        <v>3943</v>
      </c>
      <c r="F337" s="12">
        <v>1</v>
      </c>
      <c r="G337" s="12" t="s">
        <v>8728</v>
      </c>
      <c r="H337" s="12" t="s">
        <v>36</v>
      </c>
      <c r="I337" s="43">
        <v>76745435</v>
      </c>
      <c r="J337" s="48" t="s">
        <v>8727</v>
      </c>
      <c r="K337" s="48" t="s">
        <v>8726</v>
      </c>
      <c r="L337" s="41" t="s">
        <v>8435</v>
      </c>
    </row>
    <row r="338" spans="1:12" x14ac:dyDescent="0.2">
      <c r="A338" s="12" t="s">
        <v>5404</v>
      </c>
      <c r="B338" s="41" t="s">
        <v>36</v>
      </c>
      <c r="C338" s="12">
        <v>76745385</v>
      </c>
      <c r="D338" s="12">
        <v>76751584</v>
      </c>
      <c r="E338" s="12" t="s">
        <v>3943</v>
      </c>
      <c r="F338" s="12">
        <v>1</v>
      </c>
      <c r="G338" s="12" t="s">
        <v>966</v>
      </c>
      <c r="H338" s="12" t="s">
        <v>36</v>
      </c>
      <c r="I338" s="43">
        <v>76745435</v>
      </c>
      <c r="J338" s="48" t="s">
        <v>7971</v>
      </c>
      <c r="K338" s="48" t="s">
        <v>2269</v>
      </c>
      <c r="L338" s="41" t="s">
        <v>8435</v>
      </c>
    </row>
    <row r="339" spans="1:12" x14ac:dyDescent="0.2">
      <c r="A339" s="12" t="s">
        <v>5404</v>
      </c>
      <c r="B339" s="41" t="s">
        <v>36</v>
      </c>
      <c r="C339" s="12">
        <v>76745385</v>
      </c>
      <c r="D339" s="12">
        <v>76751603</v>
      </c>
      <c r="E339" s="12" t="s">
        <v>3943</v>
      </c>
      <c r="F339" s="12">
        <v>1</v>
      </c>
      <c r="G339" s="12" t="s">
        <v>966</v>
      </c>
      <c r="H339" s="12" t="s">
        <v>36</v>
      </c>
      <c r="I339" s="43">
        <v>76745435</v>
      </c>
      <c r="J339" s="48" t="s">
        <v>7971</v>
      </c>
      <c r="K339" s="48" t="s">
        <v>2269</v>
      </c>
      <c r="L339" s="41" t="s">
        <v>8435</v>
      </c>
    </row>
    <row r="340" spans="1:12" x14ac:dyDescent="0.2">
      <c r="A340" s="12" t="s">
        <v>4900</v>
      </c>
      <c r="B340" s="41" t="s">
        <v>179</v>
      </c>
      <c r="C340" s="12">
        <v>43753988</v>
      </c>
      <c r="D340" s="12">
        <v>43833704</v>
      </c>
      <c r="E340" s="12" t="s">
        <v>3940</v>
      </c>
      <c r="F340" s="12">
        <v>3</v>
      </c>
      <c r="G340" s="12" t="s">
        <v>1212</v>
      </c>
      <c r="H340" s="12" t="s">
        <v>179</v>
      </c>
      <c r="I340" s="12">
        <v>43753988</v>
      </c>
      <c r="J340" s="41" t="s">
        <v>2281</v>
      </c>
      <c r="K340" s="41" t="s">
        <v>2281</v>
      </c>
      <c r="L340" s="41" t="s">
        <v>8349</v>
      </c>
    </row>
    <row r="341" spans="1:12" x14ac:dyDescent="0.2">
      <c r="A341" s="12" t="s">
        <v>4966</v>
      </c>
      <c r="B341" s="41" t="s">
        <v>81</v>
      </c>
      <c r="C341" s="12">
        <v>63779549</v>
      </c>
      <c r="D341" s="12">
        <v>63784407</v>
      </c>
      <c r="E341" s="12" t="s">
        <v>3940</v>
      </c>
      <c r="F341" s="12">
        <v>1</v>
      </c>
      <c r="G341" s="12" t="s">
        <v>80</v>
      </c>
      <c r="H341" s="12" t="s">
        <v>81</v>
      </c>
      <c r="I341" s="12">
        <v>63779549</v>
      </c>
      <c r="J341" s="41" t="s">
        <v>2097</v>
      </c>
      <c r="K341" s="41" t="s">
        <v>2097</v>
      </c>
      <c r="L341" s="41" t="s">
        <v>3763</v>
      </c>
    </row>
    <row r="342" spans="1:12" x14ac:dyDescent="0.2">
      <c r="A342" s="12" t="s">
        <v>4506</v>
      </c>
      <c r="B342" s="41" t="s">
        <v>43</v>
      </c>
      <c r="C342" s="12">
        <v>36585176</v>
      </c>
      <c r="D342" s="12">
        <v>36587845</v>
      </c>
      <c r="E342" s="12" t="s">
        <v>3940</v>
      </c>
      <c r="F342" s="12">
        <v>2</v>
      </c>
      <c r="G342" s="12" t="s">
        <v>44</v>
      </c>
      <c r="H342" s="12" t="s">
        <v>43</v>
      </c>
      <c r="I342" s="12">
        <v>36585176</v>
      </c>
      <c r="J342" s="41" t="s">
        <v>2078</v>
      </c>
      <c r="K342" s="41" t="s">
        <v>2078</v>
      </c>
      <c r="L342" s="41" t="s">
        <v>3763</v>
      </c>
    </row>
    <row r="343" spans="1:12" x14ac:dyDescent="0.2">
      <c r="A343" s="12" t="s">
        <v>4562</v>
      </c>
      <c r="B343" s="41" t="s">
        <v>43</v>
      </c>
      <c r="C343" s="12">
        <v>36585176</v>
      </c>
      <c r="D343" s="12">
        <v>36587845</v>
      </c>
      <c r="E343" s="12" t="s">
        <v>3940</v>
      </c>
      <c r="F343" s="12">
        <v>2</v>
      </c>
      <c r="G343" s="12" t="s">
        <v>44</v>
      </c>
      <c r="H343" s="12" t="s">
        <v>43</v>
      </c>
      <c r="I343" s="12">
        <v>36585176</v>
      </c>
      <c r="J343" s="41" t="s">
        <v>2078</v>
      </c>
      <c r="K343" s="41" t="s">
        <v>2078</v>
      </c>
      <c r="L343" s="41" t="s">
        <v>3763</v>
      </c>
    </row>
    <row r="344" spans="1:12" x14ac:dyDescent="0.2">
      <c r="A344" s="12" t="s">
        <v>4918</v>
      </c>
      <c r="B344" s="41" t="s">
        <v>113</v>
      </c>
      <c r="C344" s="12">
        <v>99645286</v>
      </c>
      <c r="D344" s="12">
        <v>99646107</v>
      </c>
      <c r="E344" s="12" t="s">
        <v>3940</v>
      </c>
      <c r="F344" s="12">
        <v>1</v>
      </c>
      <c r="G344" s="12" t="s">
        <v>164</v>
      </c>
      <c r="H344" s="12" t="s">
        <v>113</v>
      </c>
      <c r="I344" s="12">
        <v>99645286</v>
      </c>
      <c r="J344" s="41" t="s">
        <v>2147</v>
      </c>
      <c r="K344" s="41" t="s">
        <v>2147</v>
      </c>
      <c r="L344" s="41" t="s">
        <v>3763</v>
      </c>
    </row>
    <row r="345" spans="1:12" x14ac:dyDescent="0.2">
      <c r="A345" s="12" t="s">
        <v>5163</v>
      </c>
      <c r="B345" s="41" t="s">
        <v>43</v>
      </c>
      <c r="C345" s="12">
        <v>29702985</v>
      </c>
      <c r="D345" s="12">
        <v>29707641</v>
      </c>
      <c r="E345" s="12" t="s">
        <v>3940</v>
      </c>
      <c r="F345" s="12">
        <v>1</v>
      </c>
      <c r="G345" s="12" t="s">
        <v>235</v>
      </c>
      <c r="H345" s="12" t="s">
        <v>43</v>
      </c>
      <c r="I345" s="43">
        <v>29702997</v>
      </c>
      <c r="J345" s="48" t="s">
        <v>7714</v>
      </c>
      <c r="K345" s="48" t="s">
        <v>8721</v>
      </c>
      <c r="L345" s="41" t="s">
        <v>3899</v>
      </c>
    </row>
    <row r="346" spans="1:12" x14ac:dyDescent="0.2">
      <c r="A346" s="12" t="s">
        <v>4223</v>
      </c>
      <c r="B346" s="41" t="s">
        <v>73</v>
      </c>
      <c r="C346" s="12">
        <v>152853383</v>
      </c>
      <c r="D346" s="12">
        <v>152864477</v>
      </c>
      <c r="E346" s="12" t="s">
        <v>3940</v>
      </c>
      <c r="F346" s="12">
        <v>1</v>
      </c>
      <c r="G346" s="12" t="s">
        <v>74</v>
      </c>
      <c r="H346" s="12" t="s">
        <v>73</v>
      </c>
      <c r="I346" s="12">
        <v>152853383</v>
      </c>
      <c r="J346" s="41" t="s">
        <v>2094</v>
      </c>
      <c r="K346" s="41" t="s">
        <v>2094</v>
      </c>
      <c r="L346" s="41" t="s">
        <v>3763</v>
      </c>
    </row>
    <row r="347" spans="1:12" x14ac:dyDescent="0.2">
      <c r="A347" s="12" t="s">
        <v>4223</v>
      </c>
      <c r="B347" s="41" t="s">
        <v>73</v>
      </c>
      <c r="C347" s="12">
        <v>152853383</v>
      </c>
      <c r="D347" s="12">
        <v>152864513</v>
      </c>
      <c r="E347" s="12" t="s">
        <v>3940</v>
      </c>
      <c r="F347" s="12">
        <v>1</v>
      </c>
      <c r="G347" s="12" t="s">
        <v>74</v>
      </c>
      <c r="H347" s="12" t="s">
        <v>73</v>
      </c>
      <c r="I347" s="12">
        <v>152853383</v>
      </c>
      <c r="J347" s="41" t="s">
        <v>2094</v>
      </c>
      <c r="K347" s="41" t="s">
        <v>2094</v>
      </c>
      <c r="L347" s="41" t="s">
        <v>3763</v>
      </c>
    </row>
    <row r="348" spans="1:12" x14ac:dyDescent="0.2">
      <c r="A348" s="12" t="s">
        <v>4223</v>
      </c>
      <c r="B348" s="41" t="s">
        <v>73</v>
      </c>
      <c r="C348" s="12">
        <v>152853383</v>
      </c>
      <c r="D348" s="12">
        <v>152864609</v>
      </c>
      <c r="E348" s="12" t="s">
        <v>3940</v>
      </c>
      <c r="F348" s="12">
        <v>1</v>
      </c>
      <c r="G348" s="12" t="s">
        <v>74</v>
      </c>
      <c r="H348" s="12" t="s">
        <v>73</v>
      </c>
      <c r="I348" s="12">
        <v>152853383</v>
      </c>
      <c r="J348" s="41" t="s">
        <v>2094</v>
      </c>
      <c r="K348" s="41" t="s">
        <v>2094</v>
      </c>
      <c r="L348" s="41" t="s">
        <v>3763</v>
      </c>
    </row>
    <row r="349" spans="1:12" x14ac:dyDescent="0.2">
      <c r="A349" s="12" t="s">
        <v>5327</v>
      </c>
      <c r="B349" s="41" t="s">
        <v>53</v>
      </c>
      <c r="C349" s="12">
        <v>35729629</v>
      </c>
      <c r="D349" s="12">
        <v>35807790</v>
      </c>
      <c r="E349" s="12" t="s">
        <v>3940</v>
      </c>
      <c r="F349" s="12">
        <v>29</v>
      </c>
      <c r="G349" s="12" t="s">
        <v>52</v>
      </c>
      <c r="H349" s="12" t="s">
        <v>53</v>
      </c>
      <c r="I349" s="12">
        <v>35729629</v>
      </c>
      <c r="J349" s="41" t="s">
        <v>2081</v>
      </c>
      <c r="K349" s="41" t="s">
        <v>2081</v>
      </c>
      <c r="L349" s="41" t="s">
        <v>3763</v>
      </c>
    </row>
    <row r="350" spans="1:12" x14ac:dyDescent="0.2">
      <c r="A350" s="12" t="s">
        <v>4798</v>
      </c>
      <c r="B350" s="41" t="s">
        <v>53</v>
      </c>
      <c r="C350" s="12">
        <v>35729629</v>
      </c>
      <c r="D350" s="12">
        <v>35807790</v>
      </c>
      <c r="E350" s="12" t="s">
        <v>3940</v>
      </c>
      <c r="F350" s="12">
        <v>29</v>
      </c>
      <c r="G350" s="12" t="s">
        <v>52</v>
      </c>
      <c r="H350" s="12" t="s">
        <v>53</v>
      </c>
      <c r="I350" s="12">
        <v>35729629</v>
      </c>
      <c r="J350" s="41" t="s">
        <v>2081</v>
      </c>
      <c r="K350" s="41" t="s">
        <v>2081</v>
      </c>
      <c r="L350" s="41" t="s">
        <v>3763</v>
      </c>
    </row>
    <row r="351" spans="1:12" x14ac:dyDescent="0.2">
      <c r="A351" s="12" t="s">
        <v>4973</v>
      </c>
      <c r="B351" s="41" t="s">
        <v>103</v>
      </c>
      <c r="C351" s="12">
        <v>64081112</v>
      </c>
      <c r="D351" s="12">
        <v>64098729</v>
      </c>
      <c r="E351" s="12" t="s">
        <v>3940</v>
      </c>
      <c r="F351" s="12">
        <v>1</v>
      </c>
      <c r="G351" s="12" t="s">
        <v>236</v>
      </c>
      <c r="H351" s="12" t="s">
        <v>103</v>
      </c>
      <c r="I351" s="43">
        <v>64081121</v>
      </c>
      <c r="J351" s="48" t="s">
        <v>7529</v>
      </c>
      <c r="K351" s="48" t="s">
        <v>8722</v>
      </c>
      <c r="L351" s="41" t="s">
        <v>3899</v>
      </c>
    </row>
    <row r="352" spans="1:12" x14ac:dyDescent="0.2">
      <c r="A352" s="12" t="s">
        <v>4871</v>
      </c>
      <c r="B352" s="41" t="s">
        <v>47</v>
      </c>
      <c r="C352" s="12">
        <v>21142183</v>
      </c>
      <c r="D352" s="12">
        <v>21156530</v>
      </c>
      <c r="E352" s="12" t="s">
        <v>3940</v>
      </c>
      <c r="F352" s="12">
        <v>1</v>
      </c>
      <c r="G352" s="12" t="s">
        <v>237</v>
      </c>
      <c r="H352" s="12" t="s">
        <v>47</v>
      </c>
      <c r="I352" s="12">
        <v>21142183</v>
      </c>
      <c r="J352" s="41" t="s">
        <v>2160</v>
      </c>
      <c r="K352" s="41" t="s">
        <v>2160</v>
      </c>
      <c r="L352" s="41" t="s">
        <v>3763</v>
      </c>
    </row>
    <row r="353" spans="1:12" x14ac:dyDescent="0.2">
      <c r="A353" s="12" t="s">
        <v>4583</v>
      </c>
      <c r="B353" s="41" t="s">
        <v>50</v>
      </c>
      <c r="C353" s="12">
        <v>2328629</v>
      </c>
      <c r="D353" s="12">
        <v>2340156</v>
      </c>
      <c r="E353" s="12" t="s">
        <v>3940</v>
      </c>
      <c r="F353" s="12">
        <v>1</v>
      </c>
      <c r="G353" s="12" t="s">
        <v>159</v>
      </c>
      <c r="H353" s="12" t="s">
        <v>50</v>
      </c>
      <c r="I353" s="12">
        <v>2328629</v>
      </c>
      <c r="J353" s="41" t="s">
        <v>2143</v>
      </c>
      <c r="K353" s="41" t="s">
        <v>2143</v>
      </c>
      <c r="L353" s="41" t="s">
        <v>3763</v>
      </c>
    </row>
    <row r="354" spans="1:12" x14ac:dyDescent="0.2">
      <c r="A354" s="12" t="s">
        <v>5446</v>
      </c>
      <c r="B354" s="41" t="s">
        <v>40</v>
      </c>
      <c r="C354" s="12">
        <v>100331249</v>
      </c>
      <c r="D354" s="12">
        <v>100371476</v>
      </c>
      <c r="E354" s="12" t="s">
        <v>3940</v>
      </c>
      <c r="F354" s="12">
        <v>1</v>
      </c>
      <c r="G354" s="12" t="s">
        <v>747</v>
      </c>
      <c r="H354" s="12" t="s">
        <v>40</v>
      </c>
      <c r="I354" s="12">
        <v>100331249</v>
      </c>
      <c r="J354" s="41" t="s">
        <v>3350</v>
      </c>
      <c r="K354" s="41" t="s">
        <v>3350</v>
      </c>
      <c r="L354" s="41" t="s">
        <v>3763</v>
      </c>
    </row>
    <row r="355" spans="1:12" x14ac:dyDescent="0.2">
      <c r="A355" s="12" t="s">
        <v>4845</v>
      </c>
      <c r="B355" s="41" t="s">
        <v>40</v>
      </c>
      <c r="C355" s="12">
        <v>100331249</v>
      </c>
      <c r="D355" s="12">
        <v>100371476</v>
      </c>
      <c r="E355" s="12" t="s">
        <v>3940</v>
      </c>
      <c r="F355" s="12">
        <v>1</v>
      </c>
      <c r="G355" s="12" t="s">
        <v>747</v>
      </c>
      <c r="H355" s="12" t="s">
        <v>40</v>
      </c>
      <c r="I355" s="12">
        <v>100331249</v>
      </c>
      <c r="J355" s="41" t="s">
        <v>3350</v>
      </c>
      <c r="K355" s="41" t="s">
        <v>3350</v>
      </c>
      <c r="L355" s="41" t="s">
        <v>3763</v>
      </c>
    </row>
    <row r="356" spans="1:12" x14ac:dyDescent="0.2">
      <c r="A356" s="12" t="s">
        <v>3947</v>
      </c>
      <c r="B356" s="41" t="s">
        <v>40</v>
      </c>
      <c r="C356" s="12">
        <v>150709297</v>
      </c>
      <c r="D356" s="12">
        <v>150713902</v>
      </c>
      <c r="E356" s="12" t="s">
        <v>3940</v>
      </c>
      <c r="F356" s="12">
        <v>1</v>
      </c>
      <c r="G356" s="12" t="s">
        <v>770</v>
      </c>
      <c r="H356" s="12" t="s">
        <v>40</v>
      </c>
      <c r="I356" s="12">
        <v>150709297</v>
      </c>
      <c r="J356" s="41" t="s">
        <v>3352</v>
      </c>
      <c r="K356" s="41" t="s">
        <v>3352</v>
      </c>
      <c r="L356" s="41" t="s">
        <v>3763</v>
      </c>
    </row>
    <row r="357" spans="1:12" x14ac:dyDescent="0.2">
      <c r="A357" s="12" t="s">
        <v>5302</v>
      </c>
      <c r="B357" s="41" t="s">
        <v>121</v>
      </c>
      <c r="C357" s="12">
        <v>2047653</v>
      </c>
      <c r="D357" s="12">
        <v>2059624</v>
      </c>
      <c r="E357" s="12" t="s">
        <v>3943</v>
      </c>
      <c r="F357" s="12">
        <v>1</v>
      </c>
      <c r="G357" s="12" t="s">
        <v>238</v>
      </c>
      <c r="H357" s="12" t="s">
        <v>121</v>
      </c>
      <c r="I357" s="12">
        <v>2047768</v>
      </c>
      <c r="J357" s="48" t="s">
        <v>7865</v>
      </c>
      <c r="K357" s="48" t="s">
        <v>8723</v>
      </c>
      <c r="L357" s="41" t="s">
        <v>3899</v>
      </c>
    </row>
    <row r="358" spans="1:12" x14ac:dyDescent="0.2">
      <c r="A358" s="12" t="s">
        <v>5302</v>
      </c>
      <c r="B358" s="41" t="s">
        <v>121</v>
      </c>
      <c r="C358" s="12">
        <v>2047653</v>
      </c>
      <c r="D358" s="12">
        <v>2059737</v>
      </c>
      <c r="E358" s="12" t="s">
        <v>3943</v>
      </c>
      <c r="F358" s="12">
        <v>1</v>
      </c>
      <c r="G358" s="12" t="s">
        <v>238</v>
      </c>
      <c r="H358" s="12" t="s">
        <v>121</v>
      </c>
      <c r="I358" s="12">
        <v>2047768</v>
      </c>
      <c r="J358" s="48" t="s">
        <v>7865</v>
      </c>
      <c r="K358" s="48" t="s">
        <v>2211</v>
      </c>
      <c r="L358" s="41" t="s">
        <v>3899</v>
      </c>
    </row>
    <row r="359" spans="1:12" x14ac:dyDescent="0.2">
      <c r="A359" s="12" t="s">
        <v>4379</v>
      </c>
      <c r="B359" s="41" t="s">
        <v>121</v>
      </c>
      <c r="C359" s="12">
        <v>3589033</v>
      </c>
      <c r="D359" s="12">
        <v>3602227</v>
      </c>
      <c r="E359" s="12" t="s">
        <v>3943</v>
      </c>
      <c r="F359" s="12">
        <v>1</v>
      </c>
      <c r="G359" s="12" t="s">
        <v>239</v>
      </c>
      <c r="H359" s="12" t="s">
        <v>121</v>
      </c>
      <c r="I359" s="12">
        <v>3589033</v>
      </c>
      <c r="J359" s="41" t="s">
        <v>2178</v>
      </c>
      <c r="K359" s="41" t="s">
        <v>2178</v>
      </c>
      <c r="L359" s="41" t="s">
        <v>3763</v>
      </c>
    </row>
    <row r="360" spans="1:12" x14ac:dyDescent="0.2">
      <c r="A360" s="12" t="s">
        <v>5165</v>
      </c>
      <c r="B360" s="41" t="s">
        <v>121</v>
      </c>
      <c r="C360" s="12">
        <v>3589033</v>
      </c>
      <c r="D360" s="12">
        <v>3602227</v>
      </c>
      <c r="E360" s="12" t="s">
        <v>3943</v>
      </c>
      <c r="F360" s="12">
        <v>1</v>
      </c>
      <c r="G360" s="12" t="s">
        <v>239</v>
      </c>
      <c r="H360" s="12" t="s">
        <v>121</v>
      </c>
      <c r="I360" s="12">
        <v>3589033</v>
      </c>
      <c r="J360" s="41" t="s">
        <v>2178</v>
      </c>
      <c r="K360" s="41" t="s">
        <v>2178</v>
      </c>
      <c r="L360" s="41" t="s">
        <v>3763</v>
      </c>
    </row>
    <row r="361" spans="1:12" x14ac:dyDescent="0.2">
      <c r="A361" s="12" t="s">
        <v>4247</v>
      </c>
      <c r="B361" s="41" t="s">
        <v>36</v>
      </c>
      <c r="C361" s="12">
        <v>112831969</v>
      </c>
      <c r="D361" s="12">
        <v>112832308</v>
      </c>
      <c r="E361" s="12" t="s">
        <v>3940</v>
      </c>
      <c r="F361" s="12">
        <v>1</v>
      </c>
      <c r="G361" s="12" t="s">
        <v>982</v>
      </c>
      <c r="H361" s="12" t="s">
        <v>36</v>
      </c>
      <c r="I361" s="12">
        <v>112831969</v>
      </c>
      <c r="J361" s="41" t="s">
        <v>3362</v>
      </c>
      <c r="K361" s="41" t="s">
        <v>3362</v>
      </c>
      <c r="L361" s="41" t="s">
        <v>3763</v>
      </c>
    </row>
    <row r="362" spans="1:12" x14ac:dyDescent="0.2">
      <c r="A362" s="12" t="s">
        <v>4247</v>
      </c>
      <c r="B362" s="41" t="s">
        <v>36</v>
      </c>
      <c r="C362" s="12">
        <v>112831969</v>
      </c>
      <c r="D362" s="12">
        <v>112832339</v>
      </c>
      <c r="E362" s="12" t="s">
        <v>3943</v>
      </c>
      <c r="F362" s="12">
        <v>1</v>
      </c>
      <c r="G362" s="12" t="s">
        <v>982</v>
      </c>
      <c r="H362" s="12" t="s">
        <v>36</v>
      </c>
      <c r="I362" s="12">
        <v>112831969</v>
      </c>
      <c r="J362" s="41" t="s">
        <v>3362</v>
      </c>
      <c r="K362" s="41" t="s">
        <v>3362</v>
      </c>
      <c r="L362" s="41" t="s">
        <v>3763</v>
      </c>
    </row>
    <row r="363" spans="1:12" x14ac:dyDescent="0.2">
      <c r="A363" s="12" t="s">
        <v>5101</v>
      </c>
      <c r="B363" s="41" t="s">
        <v>121</v>
      </c>
      <c r="C363" s="12">
        <v>71963441</v>
      </c>
      <c r="D363" s="12">
        <v>71981414</v>
      </c>
      <c r="E363" s="12" t="s">
        <v>3940</v>
      </c>
      <c r="F363" s="12">
        <v>4</v>
      </c>
      <c r="G363" s="12" t="s">
        <v>1149</v>
      </c>
      <c r="H363" s="12" t="s">
        <v>121</v>
      </c>
      <c r="I363" s="12">
        <v>71963441</v>
      </c>
      <c r="J363" s="41" t="s">
        <v>3383</v>
      </c>
      <c r="K363" s="41" t="s">
        <v>3383</v>
      </c>
      <c r="L363" s="41" t="s">
        <v>3763</v>
      </c>
    </row>
    <row r="364" spans="1:12" x14ac:dyDescent="0.2">
      <c r="A364" s="12" t="s">
        <v>4718</v>
      </c>
      <c r="B364" s="41" t="s">
        <v>241</v>
      </c>
      <c r="C364" s="12">
        <v>32201357</v>
      </c>
      <c r="D364" s="12">
        <v>32201970</v>
      </c>
      <c r="E364" s="12" t="s">
        <v>3943</v>
      </c>
      <c r="F364" s="12">
        <v>1</v>
      </c>
      <c r="G364" s="12" t="s">
        <v>240</v>
      </c>
      <c r="H364" s="12" t="s">
        <v>241</v>
      </c>
      <c r="I364" s="12">
        <v>32201357</v>
      </c>
      <c r="J364" s="41" t="s">
        <v>2172</v>
      </c>
      <c r="K364" s="41" t="s">
        <v>2172</v>
      </c>
      <c r="L364" s="41" t="s">
        <v>3763</v>
      </c>
    </row>
    <row r="365" spans="1:12" x14ac:dyDescent="0.2">
      <c r="A365" s="12" t="s">
        <v>4639</v>
      </c>
      <c r="B365" s="41" t="s">
        <v>47</v>
      </c>
      <c r="C365" s="12">
        <v>6926369</v>
      </c>
      <c r="D365" s="12">
        <v>6928049</v>
      </c>
      <c r="E365" s="12" t="s">
        <v>3940</v>
      </c>
      <c r="F365" s="12">
        <v>3</v>
      </c>
      <c r="G365" s="12" t="s">
        <v>1155</v>
      </c>
      <c r="H365" s="12" t="s">
        <v>47</v>
      </c>
      <c r="I365" s="12">
        <v>6926369</v>
      </c>
      <c r="J365" s="41" t="s">
        <v>2277</v>
      </c>
      <c r="K365" s="41" t="s">
        <v>2277</v>
      </c>
      <c r="L365" s="41" t="s">
        <v>8345</v>
      </c>
    </row>
    <row r="366" spans="1:12" x14ac:dyDescent="0.2">
      <c r="A366" s="12" t="s">
        <v>5105</v>
      </c>
      <c r="B366" s="41" t="s">
        <v>50</v>
      </c>
      <c r="C366" s="12">
        <v>21264953</v>
      </c>
      <c r="D366" s="12">
        <v>21299776</v>
      </c>
      <c r="E366" s="12" t="s">
        <v>3940</v>
      </c>
      <c r="F366" s="12">
        <v>3</v>
      </c>
      <c r="G366" s="12" t="s">
        <v>1242</v>
      </c>
      <c r="H366" s="12" t="s">
        <v>50</v>
      </c>
      <c r="I366" s="12">
        <v>21264953</v>
      </c>
      <c r="J366" s="41" t="s">
        <v>2286</v>
      </c>
      <c r="K366" s="41" t="s">
        <v>2286</v>
      </c>
      <c r="L366" s="41" t="s">
        <v>8356</v>
      </c>
    </row>
    <row r="367" spans="1:12" x14ac:dyDescent="0.2">
      <c r="A367" s="12" t="s">
        <v>4702</v>
      </c>
      <c r="B367" s="41" t="s">
        <v>569</v>
      </c>
      <c r="C367" s="12">
        <v>53227</v>
      </c>
      <c r="D367" s="12">
        <v>85997</v>
      </c>
      <c r="E367" s="12" t="s">
        <v>3940</v>
      </c>
      <c r="F367" s="12">
        <v>1</v>
      </c>
      <c r="G367" s="12" t="s">
        <v>568</v>
      </c>
      <c r="H367" s="12" t="s">
        <v>569</v>
      </c>
      <c r="I367" s="12">
        <v>53227</v>
      </c>
      <c r="J367" s="41" t="s">
        <v>3322</v>
      </c>
      <c r="K367" s="41" t="s">
        <v>3322</v>
      </c>
      <c r="L367" s="41" t="s">
        <v>3763</v>
      </c>
    </row>
    <row r="368" spans="1:12" x14ac:dyDescent="0.2">
      <c r="A368" s="12" t="s">
        <v>4702</v>
      </c>
      <c r="B368" s="41" t="s">
        <v>569</v>
      </c>
      <c r="C368" s="12">
        <v>53227</v>
      </c>
      <c r="D368" s="12">
        <v>86017</v>
      </c>
      <c r="E368" s="12" t="s">
        <v>3940</v>
      </c>
      <c r="F368" s="12">
        <v>1</v>
      </c>
      <c r="G368" s="12" t="s">
        <v>568</v>
      </c>
      <c r="H368" s="12" t="s">
        <v>569</v>
      </c>
      <c r="I368" s="12">
        <v>53227</v>
      </c>
      <c r="J368" s="41" t="s">
        <v>3322</v>
      </c>
      <c r="K368" s="41" t="s">
        <v>3322</v>
      </c>
      <c r="L368" s="41" t="s">
        <v>3763</v>
      </c>
    </row>
    <row r="369" spans="1:12" x14ac:dyDescent="0.2">
      <c r="A369" s="12" t="s">
        <v>4702</v>
      </c>
      <c r="B369" s="41" t="s">
        <v>569</v>
      </c>
      <c r="C369" s="12">
        <v>53227</v>
      </c>
      <c r="D369" s="12">
        <v>86033</v>
      </c>
      <c r="E369" s="12" t="s">
        <v>3943</v>
      </c>
      <c r="F369" s="12">
        <v>2</v>
      </c>
      <c r="G369" s="12" t="s">
        <v>568</v>
      </c>
      <c r="H369" s="12" t="s">
        <v>569</v>
      </c>
      <c r="I369" s="12">
        <v>53227</v>
      </c>
      <c r="J369" s="41" t="s">
        <v>3322</v>
      </c>
      <c r="K369" s="41" t="s">
        <v>3322</v>
      </c>
      <c r="L369" s="41" t="s">
        <v>3763</v>
      </c>
    </row>
    <row r="370" spans="1:12" x14ac:dyDescent="0.2">
      <c r="A370" s="12" t="s">
        <v>4702</v>
      </c>
      <c r="B370" s="41" t="s">
        <v>569</v>
      </c>
      <c r="C370" s="12">
        <v>53227</v>
      </c>
      <c r="D370" s="12">
        <v>86102</v>
      </c>
      <c r="E370" s="12" t="s">
        <v>3940</v>
      </c>
      <c r="F370" s="12">
        <v>1</v>
      </c>
      <c r="G370" s="12" t="s">
        <v>568</v>
      </c>
      <c r="H370" s="12" t="s">
        <v>569</v>
      </c>
      <c r="I370" s="12">
        <v>53227</v>
      </c>
      <c r="J370" s="41" t="s">
        <v>3322</v>
      </c>
      <c r="K370" s="41" t="s">
        <v>3322</v>
      </c>
      <c r="L370" s="41" t="s">
        <v>3763</v>
      </c>
    </row>
    <row r="371" spans="1:12" x14ac:dyDescent="0.2">
      <c r="A371" s="12" t="s">
        <v>4702</v>
      </c>
      <c r="B371" s="41" t="s">
        <v>569</v>
      </c>
      <c r="C371" s="12">
        <v>53227</v>
      </c>
      <c r="D371" s="12">
        <v>87314</v>
      </c>
      <c r="E371" s="12" t="s">
        <v>3940</v>
      </c>
      <c r="F371" s="12">
        <v>1</v>
      </c>
      <c r="G371" s="12" t="s">
        <v>568</v>
      </c>
      <c r="H371" s="12" t="s">
        <v>569</v>
      </c>
      <c r="I371" s="12">
        <v>53227</v>
      </c>
      <c r="J371" s="41" t="s">
        <v>3322</v>
      </c>
      <c r="K371" s="41" t="s">
        <v>3322</v>
      </c>
      <c r="L371" s="41" t="s">
        <v>3763</v>
      </c>
    </row>
    <row r="372" spans="1:12" x14ac:dyDescent="0.2">
      <c r="A372" s="12" t="s">
        <v>4702</v>
      </c>
      <c r="B372" s="41" t="s">
        <v>569</v>
      </c>
      <c r="C372" s="12">
        <v>53227</v>
      </c>
      <c r="D372" s="12">
        <v>87626</v>
      </c>
      <c r="E372" s="12" t="s">
        <v>3940</v>
      </c>
      <c r="F372" s="12">
        <v>2</v>
      </c>
      <c r="G372" s="12" t="s">
        <v>568</v>
      </c>
      <c r="H372" s="12" t="s">
        <v>569</v>
      </c>
      <c r="I372" s="12">
        <v>53227</v>
      </c>
      <c r="J372" s="41" t="s">
        <v>3322</v>
      </c>
      <c r="K372" s="41" t="s">
        <v>3322</v>
      </c>
      <c r="L372" s="41" t="s">
        <v>3763</v>
      </c>
    </row>
    <row r="373" spans="1:12" x14ac:dyDescent="0.2">
      <c r="A373" s="12" t="s">
        <v>5089</v>
      </c>
      <c r="B373" s="41" t="s">
        <v>40</v>
      </c>
      <c r="C373" s="12">
        <v>149473131</v>
      </c>
      <c r="D373" s="12">
        <v>149476664</v>
      </c>
      <c r="E373" s="12" t="s">
        <v>3943</v>
      </c>
      <c r="F373" s="12">
        <v>2</v>
      </c>
      <c r="G373" s="12" t="s">
        <v>161</v>
      </c>
      <c r="H373" s="12" t="s">
        <v>40</v>
      </c>
      <c r="I373" s="12">
        <v>149473131</v>
      </c>
      <c r="J373" s="41" t="s">
        <v>2145</v>
      </c>
      <c r="K373" s="41" t="s">
        <v>2145</v>
      </c>
      <c r="L373" s="41" t="s">
        <v>3763</v>
      </c>
    </row>
    <row r="374" spans="1:12" x14ac:dyDescent="0.2">
      <c r="A374" s="12" t="s">
        <v>5089</v>
      </c>
      <c r="B374" s="41" t="s">
        <v>40</v>
      </c>
      <c r="C374" s="12">
        <v>149473131</v>
      </c>
      <c r="D374" s="12">
        <v>149481971</v>
      </c>
      <c r="E374" s="12" t="s">
        <v>3943</v>
      </c>
      <c r="F374" s="12">
        <v>2</v>
      </c>
      <c r="G374" s="12" t="s">
        <v>161</v>
      </c>
      <c r="H374" s="12" t="s">
        <v>40</v>
      </c>
      <c r="I374" s="12">
        <v>149473131</v>
      </c>
      <c r="J374" s="41" t="s">
        <v>2145</v>
      </c>
      <c r="K374" s="41" t="s">
        <v>2145</v>
      </c>
      <c r="L374" s="41" t="s">
        <v>3763</v>
      </c>
    </row>
    <row r="375" spans="1:12" x14ac:dyDescent="0.2">
      <c r="A375" s="12" t="s">
        <v>5089</v>
      </c>
      <c r="B375" s="41" t="s">
        <v>40</v>
      </c>
      <c r="C375" s="12">
        <v>149473131</v>
      </c>
      <c r="D375" s="12">
        <v>149503922</v>
      </c>
      <c r="E375" s="12" t="s">
        <v>3943</v>
      </c>
      <c r="F375" s="12">
        <v>4</v>
      </c>
      <c r="G375" s="12" t="s">
        <v>161</v>
      </c>
      <c r="H375" s="12" t="s">
        <v>40</v>
      </c>
      <c r="I375" s="12">
        <v>149473131</v>
      </c>
      <c r="J375" s="41" t="s">
        <v>2145</v>
      </c>
      <c r="K375" s="41" t="s">
        <v>2145</v>
      </c>
      <c r="L375" s="41" t="s">
        <v>3763</v>
      </c>
    </row>
    <row r="376" spans="1:12" x14ac:dyDescent="0.2">
      <c r="A376" s="12" t="s">
        <v>5089</v>
      </c>
      <c r="B376" s="41" t="s">
        <v>40</v>
      </c>
      <c r="C376" s="12">
        <v>149473131</v>
      </c>
      <c r="D376" s="12">
        <v>149506212</v>
      </c>
      <c r="E376" s="12" t="s">
        <v>3943</v>
      </c>
      <c r="F376" s="12">
        <v>2</v>
      </c>
      <c r="G376" s="12" t="s">
        <v>161</v>
      </c>
      <c r="H376" s="12" t="s">
        <v>40</v>
      </c>
      <c r="I376" s="12">
        <v>149473131</v>
      </c>
      <c r="J376" s="41" t="s">
        <v>2145</v>
      </c>
      <c r="K376" s="41" t="s">
        <v>2145</v>
      </c>
      <c r="L376" s="41" t="s">
        <v>3763</v>
      </c>
    </row>
    <row r="377" spans="1:12" x14ac:dyDescent="0.2">
      <c r="A377" s="12" t="s">
        <v>5089</v>
      </c>
      <c r="B377" s="41" t="s">
        <v>40</v>
      </c>
      <c r="C377" s="12">
        <v>149473131</v>
      </c>
      <c r="D377" s="12">
        <v>149515188</v>
      </c>
      <c r="E377" s="12" t="s">
        <v>3943</v>
      </c>
      <c r="F377" s="12">
        <v>4</v>
      </c>
      <c r="G377" s="12" t="s">
        <v>161</v>
      </c>
      <c r="H377" s="12" t="s">
        <v>40</v>
      </c>
      <c r="I377" s="12">
        <v>149473131</v>
      </c>
      <c r="J377" s="41" t="s">
        <v>2145</v>
      </c>
      <c r="K377" s="41" t="s">
        <v>2145</v>
      </c>
      <c r="L377" s="41" t="s">
        <v>3763</v>
      </c>
    </row>
    <row r="378" spans="1:12" x14ac:dyDescent="0.2">
      <c r="A378" s="12" t="s">
        <v>5089</v>
      </c>
      <c r="B378" s="41" t="s">
        <v>40</v>
      </c>
      <c r="C378" s="12">
        <v>149473131</v>
      </c>
      <c r="D378" s="12">
        <v>149522183</v>
      </c>
      <c r="E378" s="12" t="s">
        <v>3943</v>
      </c>
      <c r="F378" s="12">
        <v>4</v>
      </c>
      <c r="G378" s="12" t="s">
        <v>161</v>
      </c>
      <c r="H378" s="12" t="s">
        <v>40</v>
      </c>
      <c r="I378" s="12">
        <v>149473131</v>
      </c>
      <c r="J378" s="41" t="s">
        <v>2145</v>
      </c>
      <c r="K378" s="41" t="s">
        <v>2145</v>
      </c>
      <c r="L378" s="41" t="s">
        <v>3763</v>
      </c>
    </row>
    <row r="379" spans="1:12" x14ac:dyDescent="0.2">
      <c r="A379" s="12" t="s">
        <v>5089</v>
      </c>
      <c r="B379" s="41" t="s">
        <v>40</v>
      </c>
      <c r="C379" s="12">
        <v>149473131</v>
      </c>
      <c r="D379" s="12">
        <v>149522370</v>
      </c>
      <c r="E379" s="12" t="s">
        <v>3943</v>
      </c>
      <c r="F379" s="12">
        <v>1</v>
      </c>
      <c r="G379" s="12" t="s">
        <v>161</v>
      </c>
      <c r="H379" s="12" t="s">
        <v>40</v>
      </c>
      <c r="I379" s="12">
        <v>149473131</v>
      </c>
      <c r="J379" s="41" t="s">
        <v>2145</v>
      </c>
      <c r="K379" s="41" t="s">
        <v>2145</v>
      </c>
      <c r="L379" s="41" t="s">
        <v>3763</v>
      </c>
    </row>
    <row r="380" spans="1:12" x14ac:dyDescent="0.2">
      <c r="A380" s="12" t="s">
        <v>5104</v>
      </c>
      <c r="B380" s="41" t="s">
        <v>241</v>
      </c>
      <c r="C380" s="12">
        <v>46020497</v>
      </c>
      <c r="D380" s="12">
        <v>46020655</v>
      </c>
      <c r="E380" s="12" t="s">
        <v>3943</v>
      </c>
      <c r="F380" s="12">
        <v>15</v>
      </c>
      <c r="G380" s="12" t="s">
        <v>1329</v>
      </c>
      <c r="H380" s="12" t="s">
        <v>241</v>
      </c>
      <c r="I380" s="12">
        <v>46020497</v>
      </c>
      <c r="J380" s="41" t="s">
        <v>2291</v>
      </c>
      <c r="K380" s="41" t="s">
        <v>2291</v>
      </c>
      <c r="L380" s="41" t="s">
        <v>8355</v>
      </c>
    </row>
    <row r="381" spans="1:12" x14ac:dyDescent="0.2">
      <c r="A381" s="12" t="s">
        <v>5104</v>
      </c>
      <c r="B381" s="41" t="s">
        <v>241</v>
      </c>
      <c r="C381" s="12">
        <v>46020497</v>
      </c>
      <c r="D381" s="12">
        <v>46021956</v>
      </c>
      <c r="E381" s="12" t="s">
        <v>3943</v>
      </c>
      <c r="F381" s="12">
        <v>2</v>
      </c>
      <c r="G381" s="12" t="s">
        <v>1329</v>
      </c>
      <c r="H381" s="12" t="s">
        <v>241</v>
      </c>
      <c r="I381" s="12">
        <v>46020497</v>
      </c>
      <c r="J381" s="41" t="s">
        <v>2291</v>
      </c>
      <c r="K381" s="41" t="s">
        <v>2291</v>
      </c>
      <c r="L381" s="41" t="s">
        <v>8355</v>
      </c>
    </row>
    <row r="382" spans="1:12" x14ac:dyDescent="0.2">
      <c r="A382" s="12" t="s">
        <v>4488</v>
      </c>
      <c r="B382" s="41" t="s">
        <v>40</v>
      </c>
      <c r="C382" s="12">
        <v>128530001</v>
      </c>
      <c r="D382" s="12">
        <v>128550680</v>
      </c>
      <c r="E382" s="12" t="s">
        <v>3943</v>
      </c>
      <c r="F382" s="12">
        <v>1</v>
      </c>
      <c r="G382" s="12" t="s">
        <v>757</v>
      </c>
      <c r="H382" s="12" t="s">
        <v>40</v>
      </c>
      <c r="I382" s="12">
        <v>128530001</v>
      </c>
      <c r="J382" s="41" t="s">
        <v>2248</v>
      </c>
      <c r="K382" s="41" t="s">
        <v>2248</v>
      </c>
      <c r="L382" s="41" t="s">
        <v>3763</v>
      </c>
    </row>
    <row r="383" spans="1:12" x14ac:dyDescent="0.2">
      <c r="A383" s="12" t="s">
        <v>4488</v>
      </c>
      <c r="B383" s="41" t="s">
        <v>40</v>
      </c>
      <c r="C383" s="12">
        <v>128530001</v>
      </c>
      <c r="D383" s="12">
        <v>128533514</v>
      </c>
      <c r="E383" s="12" t="s">
        <v>3940</v>
      </c>
      <c r="F383" s="12">
        <v>1</v>
      </c>
      <c r="G383" s="12" t="s">
        <v>757</v>
      </c>
      <c r="H383" s="12" t="s">
        <v>40</v>
      </c>
      <c r="I383" s="12">
        <v>128530001</v>
      </c>
      <c r="J383" s="41" t="s">
        <v>2248</v>
      </c>
      <c r="K383" s="41" t="s">
        <v>2248</v>
      </c>
      <c r="L383" s="41" t="s">
        <v>3763</v>
      </c>
    </row>
    <row r="384" spans="1:12" x14ac:dyDescent="0.2">
      <c r="A384" s="12" t="s">
        <v>5117</v>
      </c>
      <c r="B384" s="41" t="s">
        <v>103</v>
      </c>
      <c r="C384" s="12">
        <v>6666038</v>
      </c>
      <c r="D384" s="12">
        <v>6673377</v>
      </c>
      <c r="E384" s="12" t="s">
        <v>3943</v>
      </c>
      <c r="F384" s="12">
        <v>1</v>
      </c>
      <c r="G384" s="12" t="s">
        <v>242</v>
      </c>
      <c r="H384" s="12" t="s">
        <v>103</v>
      </c>
      <c r="I384" s="12">
        <v>6666038</v>
      </c>
      <c r="J384" s="41" t="s">
        <v>2206</v>
      </c>
      <c r="K384" s="41" t="s">
        <v>2206</v>
      </c>
      <c r="L384" s="41" t="s">
        <v>3763</v>
      </c>
    </row>
    <row r="385" spans="1:12" x14ac:dyDescent="0.2">
      <c r="A385" s="12" t="s">
        <v>5394</v>
      </c>
      <c r="B385" s="41" t="s">
        <v>139</v>
      </c>
      <c r="C385" s="12">
        <v>17698741</v>
      </c>
      <c r="D385" s="12">
        <v>17718673</v>
      </c>
      <c r="E385" s="12" t="s">
        <v>3943</v>
      </c>
      <c r="F385" s="12">
        <v>1</v>
      </c>
      <c r="G385" s="12" t="s">
        <v>243</v>
      </c>
      <c r="H385" s="12" t="s">
        <v>139</v>
      </c>
      <c r="I385" s="12">
        <v>17698741</v>
      </c>
      <c r="J385" s="41" t="s">
        <v>2186</v>
      </c>
      <c r="K385" s="41" t="s">
        <v>2186</v>
      </c>
      <c r="L385" s="41" t="s">
        <v>3763</v>
      </c>
    </row>
    <row r="386" spans="1:12" x14ac:dyDescent="0.2">
      <c r="A386" s="12" t="s">
        <v>5067</v>
      </c>
      <c r="B386" s="41" t="s">
        <v>53</v>
      </c>
      <c r="C386" s="12">
        <v>35757224</v>
      </c>
      <c r="D386" s="12">
        <v>35807790</v>
      </c>
      <c r="E386" s="12" t="s">
        <v>3940</v>
      </c>
      <c r="F386" s="12">
        <v>29</v>
      </c>
      <c r="G386" s="12" t="s">
        <v>54</v>
      </c>
      <c r="H386" s="12" t="s">
        <v>53</v>
      </c>
      <c r="I386" s="12">
        <v>35757224</v>
      </c>
      <c r="J386" s="41" t="s">
        <v>2082</v>
      </c>
      <c r="K386" s="41" t="s">
        <v>2082</v>
      </c>
      <c r="L386" s="41" t="s">
        <v>3763</v>
      </c>
    </row>
    <row r="387" spans="1:12" x14ac:dyDescent="0.2">
      <c r="A387" s="12" t="s">
        <v>4084</v>
      </c>
      <c r="B387" s="41" t="s">
        <v>53</v>
      </c>
      <c r="C387" s="12">
        <v>35757224</v>
      </c>
      <c r="D387" s="12">
        <v>35807790</v>
      </c>
      <c r="E387" s="12" t="s">
        <v>3940</v>
      </c>
      <c r="F387" s="12">
        <v>29</v>
      </c>
      <c r="G387" s="12" t="s">
        <v>54</v>
      </c>
      <c r="H387" s="12" t="s">
        <v>53</v>
      </c>
      <c r="I387" s="12">
        <v>35757224</v>
      </c>
      <c r="J387" s="41" t="s">
        <v>2082</v>
      </c>
      <c r="K387" s="41" t="s">
        <v>2082</v>
      </c>
      <c r="L387" s="41" t="s">
        <v>3763</v>
      </c>
    </row>
    <row r="388" spans="1:12" x14ac:dyDescent="0.2">
      <c r="A388" s="12" t="s">
        <v>5641</v>
      </c>
      <c r="B388" s="41" t="s">
        <v>53</v>
      </c>
      <c r="C388" s="12">
        <v>35757224</v>
      </c>
      <c r="D388" s="12">
        <v>35807790</v>
      </c>
      <c r="E388" s="12" t="s">
        <v>3940</v>
      </c>
      <c r="F388" s="12">
        <v>29</v>
      </c>
      <c r="G388" s="12" t="s">
        <v>55</v>
      </c>
      <c r="H388" s="12" t="s">
        <v>53</v>
      </c>
      <c r="I388" s="12">
        <v>35757224</v>
      </c>
      <c r="J388" s="41" t="s">
        <v>2083</v>
      </c>
      <c r="K388" s="41" t="s">
        <v>2083</v>
      </c>
      <c r="L388" s="41" t="s">
        <v>3763</v>
      </c>
    </row>
    <row r="389" spans="1:12" x14ac:dyDescent="0.2">
      <c r="A389" s="12" t="s">
        <v>3961</v>
      </c>
      <c r="B389" s="41" t="s">
        <v>53</v>
      </c>
      <c r="C389" s="12">
        <v>35757224</v>
      </c>
      <c r="D389" s="12">
        <v>35807790</v>
      </c>
      <c r="E389" s="12" t="s">
        <v>3940</v>
      </c>
      <c r="F389" s="12">
        <v>29</v>
      </c>
      <c r="G389" s="12" t="s">
        <v>55</v>
      </c>
      <c r="H389" s="12" t="s">
        <v>53</v>
      </c>
      <c r="I389" s="12">
        <v>35757224</v>
      </c>
      <c r="J389" s="41" t="s">
        <v>2083</v>
      </c>
      <c r="K389" s="41" t="s">
        <v>2083</v>
      </c>
      <c r="L389" s="41" t="s">
        <v>3763</v>
      </c>
    </row>
    <row r="390" spans="1:12" x14ac:dyDescent="0.2">
      <c r="A390" s="12" t="s">
        <v>5722</v>
      </c>
      <c r="B390" s="41" t="s">
        <v>93</v>
      </c>
      <c r="C390" s="12">
        <v>47191765</v>
      </c>
      <c r="D390" s="12">
        <v>47192189</v>
      </c>
      <c r="E390" s="12" t="s">
        <v>3940</v>
      </c>
      <c r="F390" s="12">
        <v>1</v>
      </c>
      <c r="G390" s="12" t="s">
        <v>858</v>
      </c>
      <c r="H390" s="12" t="s">
        <v>93</v>
      </c>
      <c r="I390" s="12">
        <v>47191765</v>
      </c>
      <c r="J390" s="41" t="s">
        <v>3356</v>
      </c>
      <c r="K390" s="41" t="s">
        <v>3356</v>
      </c>
      <c r="L390" s="41" t="s">
        <v>8428</v>
      </c>
    </row>
    <row r="391" spans="1:12" x14ac:dyDescent="0.2">
      <c r="A391" s="12" t="s">
        <v>5718</v>
      </c>
      <c r="B391" s="41" t="s">
        <v>86</v>
      </c>
      <c r="C391" s="12">
        <v>44539924</v>
      </c>
      <c r="D391" s="12">
        <v>44540793</v>
      </c>
      <c r="E391" s="12" t="s">
        <v>3943</v>
      </c>
      <c r="F391" s="12">
        <v>2</v>
      </c>
      <c r="G391" s="12" t="s">
        <v>508</v>
      </c>
      <c r="H391" s="12" t="s">
        <v>86</v>
      </c>
      <c r="I391" s="12">
        <v>44540462</v>
      </c>
      <c r="J391" s="48" t="s">
        <v>8293</v>
      </c>
      <c r="K391" s="48" t="s">
        <v>8724</v>
      </c>
      <c r="L391" s="41" t="s">
        <v>8428</v>
      </c>
    </row>
    <row r="392" spans="1:12" x14ac:dyDescent="0.2">
      <c r="A392" s="12" t="s">
        <v>5751</v>
      </c>
      <c r="B392" s="41" t="s">
        <v>121</v>
      </c>
      <c r="C392" s="12">
        <v>21845889</v>
      </c>
      <c r="D392" s="12">
        <v>21847216</v>
      </c>
      <c r="E392" s="12" t="s">
        <v>3943</v>
      </c>
      <c r="F392" s="12">
        <v>1</v>
      </c>
      <c r="G392" s="12" t="s">
        <v>1125</v>
      </c>
      <c r="H392" s="12" t="s">
        <v>121</v>
      </c>
      <c r="I392" s="12">
        <v>21845889</v>
      </c>
      <c r="J392" s="41" t="s">
        <v>8321</v>
      </c>
      <c r="K392" s="41" t="s">
        <v>3382</v>
      </c>
      <c r="L392" s="41" t="s">
        <v>8437</v>
      </c>
    </row>
    <row r="393" spans="1:12" x14ac:dyDescent="0.2">
      <c r="A393" s="12" t="s">
        <v>5733</v>
      </c>
      <c r="B393" s="41" t="s">
        <v>212</v>
      </c>
      <c r="C393" s="12">
        <v>40791677</v>
      </c>
      <c r="D393" s="12">
        <v>40879207</v>
      </c>
      <c r="E393" s="12" t="s">
        <v>3940</v>
      </c>
      <c r="F393" s="12">
        <v>2</v>
      </c>
      <c r="G393" s="12" t="s">
        <v>1027</v>
      </c>
      <c r="H393" s="12" t="s">
        <v>212</v>
      </c>
      <c r="I393" s="12">
        <v>40791677</v>
      </c>
      <c r="J393" s="41" t="s">
        <v>3370</v>
      </c>
      <c r="K393" s="41" t="s">
        <v>3370</v>
      </c>
      <c r="L393" s="41" t="s">
        <v>8436</v>
      </c>
    </row>
    <row r="394" spans="1:12" x14ac:dyDescent="0.2">
      <c r="A394" s="12" t="s">
        <v>5671</v>
      </c>
      <c r="B394" s="41" t="s">
        <v>50</v>
      </c>
      <c r="C394" s="12">
        <v>21800852</v>
      </c>
      <c r="D394" s="12">
        <v>21821746</v>
      </c>
      <c r="E394" s="12" t="s">
        <v>3940</v>
      </c>
      <c r="F394" s="12">
        <v>1</v>
      </c>
      <c r="G394" s="12" t="s">
        <v>1243</v>
      </c>
      <c r="H394" s="12" t="s">
        <v>50</v>
      </c>
      <c r="I394" s="12">
        <v>21800852</v>
      </c>
      <c r="J394" s="41" t="s">
        <v>3390</v>
      </c>
      <c r="K394" s="41" t="s">
        <v>3390</v>
      </c>
      <c r="L394" s="41" t="s">
        <v>3899</v>
      </c>
    </row>
    <row r="395" spans="1:12" s="52" customFormat="1" x14ac:dyDescent="0.2">
      <c r="A395" s="51" t="s">
        <v>5549</v>
      </c>
      <c r="B395" s="52" t="s">
        <v>569</v>
      </c>
      <c r="C395" s="51">
        <v>124420</v>
      </c>
      <c r="D395" s="51">
        <v>124555</v>
      </c>
      <c r="E395" s="51" t="s">
        <v>3940</v>
      </c>
      <c r="F395" s="51">
        <v>97</v>
      </c>
      <c r="G395" s="51" t="s">
        <v>8737</v>
      </c>
      <c r="H395" s="52" t="s">
        <v>569</v>
      </c>
      <c r="I395" s="52">
        <v>124420</v>
      </c>
      <c r="J395" s="52" t="s">
        <v>8736</v>
      </c>
      <c r="K395" s="52" t="s">
        <v>2239</v>
      </c>
      <c r="L395" s="52" t="str">
        <f>VLOOKUP(K395,错误mRNA总表!D:J,7,FALSE)</f>
        <v>纠后区间有变化（版本不一致）与Browers相匹配，chr4:133711-136743之前有5个氨基酸不对，其他正确</v>
      </c>
    </row>
    <row r="396" spans="1:12" s="52" customFormat="1" x14ac:dyDescent="0.2">
      <c r="A396" s="51" t="s">
        <v>5549</v>
      </c>
      <c r="B396" s="52" t="s">
        <v>569</v>
      </c>
      <c r="C396" s="51">
        <v>124420</v>
      </c>
      <c r="D396" s="51">
        <v>133624</v>
      </c>
      <c r="E396" s="51" t="s">
        <v>3943</v>
      </c>
      <c r="F396" s="51">
        <v>2</v>
      </c>
      <c r="G396" s="51" t="s">
        <v>570</v>
      </c>
      <c r="H396" s="52" t="s">
        <v>569</v>
      </c>
      <c r="I396" s="52">
        <v>124420</v>
      </c>
      <c r="J396" s="52" t="s">
        <v>2239</v>
      </c>
      <c r="K396" s="52" t="s">
        <v>2239</v>
      </c>
      <c r="L396" s="52" t="str">
        <f>VLOOKUP(K396,错误mRNA总表!D:J,7,FALSE)</f>
        <v>纠后区间有变化（版本不一致）与Browers相匹配，chr4:133711-136743之前有5个氨基酸不对，其他正确</v>
      </c>
    </row>
    <row r="397" spans="1:12" s="52" customFormat="1" x14ac:dyDescent="0.2">
      <c r="A397" s="51" t="s">
        <v>5549</v>
      </c>
      <c r="B397" s="52" t="s">
        <v>569</v>
      </c>
      <c r="C397" s="51">
        <v>124420</v>
      </c>
      <c r="D397" s="51">
        <v>136743</v>
      </c>
      <c r="E397" s="51" t="s">
        <v>3940</v>
      </c>
      <c r="F397" s="51">
        <v>91</v>
      </c>
      <c r="G397" s="51" t="s">
        <v>570</v>
      </c>
      <c r="H397" s="52" t="s">
        <v>569</v>
      </c>
      <c r="I397" s="52">
        <v>124420</v>
      </c>
      <c r="J397" s="52" t="s">
        <v>2239</v>
      </c>
      <c r="K397" s="52" t="s">
        <v>2239</v>
      </c>
      <c r="L397" s="52" t="str">
        <f>VLOOKUP(K397,错误mRNA总表!D:J,7,FALSE)</f>
        <v>纠后区间有变化（版本不一致）与Browers相匹配，chr4:133711-136743之前有5个氨基酸不对，其他正确</v>
      </c>
    </row>
    <row r="398" spans="1:12" s="52" customFormat="1" x14ac:dyDescent="0.2">
      <c r="A398" s="51" t="s">
        <v>5549</v>
      </c>
      <c r="B398" s="52" t="s">
        <v>569</v>
      </c>
      <c r="C398" s="51">
        <v>124420</v>
      </c>
      <c r="D398" s="51">
        <v>136734</v>
      </c>
      <c r="E398" s="51" t="s">
        <v>3943</v>
      </c>
      <c r="F398" s="51">
        <v>1</v>
      </c>
      <c r="G398" s="51" t="s">
        <v>570</v>
      </c>
      <c r="H398" s="52" t="s">
        <v>569</v>
      </c>
      <c r="I398" s="52">
        <v>124420</v>
      </c>
      <c r="J398" s="52" t="s">
        <v>2239</v>
      </c>
      <c r="K398" s="52" t="s">
        <v>2239</v>
      </c>
      <c r="L398" s="52" t="str">
        <f>VLOOKUP(K398,错误mRNA总表!D:J,7,FALSE)</f>
        <v>纠后区间有变化（版本不一致）与Browers相匹配，chr4:133711-136743之前有5个氨基酸不对，其他正确</v>
      </c>
    </row>
    <row r="399" spans="1:12" x14ac:dyDescent="0.2">
      <c r="A399" s="12" t="s">
        <v>4618</v>
      </c>
      <c r="B399" s="41" t="s">
        <v>569</v>
      </c>
      <c r="C399" s="12">
        <v>124358</v>
      </c>
      <c r="D399" s="12">
        <v>124555</v>
      </c>
      <c r="E399" s="12" t="s">
        <v>3940</v>
      </c>
      <c r="F399" s="12">
        <v>97</v>
      </c>
      <c r="G399" s="12" t="s">
        <v>570</v>
      </c>
      <c r="H399" s="41" t="s">
        <v>569</v>
      </c>
      <c r="I399" s="12">
        <v>124358</v>
      </c>
      <c r="J399" s="41" t="s">
        <v>8738</v>
      </c>
      <c r="K399" s="41" t="s">
        <v>2239</v>
      </c>
      <c r="L399" s="41" t="str">
        <f>VLOOKUP(K399,错误mRNA总表!D:J,7,FALSE)</f>
        <v>纠后区间有变化（版本不一致）与Browers相匹配，chr4:133711-136743之前有5个氨基酸不对，其他正确</v>
      </c>
    </row>
    <row r="400" spans="1:12" x14ac:dyDescent="0.2">
      <c r="A400" s="12" t="s">
        <v>4618</v>
      </c>
      <c r="B400" s="41" t="s">
        <v>569</v>
      </c>
      <c r="C400" s="12">
        <v>124358</v>
      </c>
      <c r="D400" s="12">
        <v>133634</v>
      </c>
      <c r="E400" s="12" t="s">
        <v>3940</v>
      </c>
      <c r="F400" s="12">
        <v>22</v>
      </c>
      <c r="G400" s="12" t="s">
        <v>570</v>
      </c>
      <c r="H400" s="41" t="s">
        <v>569</v>
      </c>
      <c r="I400" s="12">
        <v>124358</v>
      </c>
      <c r="J400" s="41" t="s">
        <v>7191</v>
      </c>
      <c r="K400" s="41" t="s">
        <v>2239</v>
      </c>
      <c r="L400" s="41" t="str">
        <f>VLOOKUP(K400,错误mRNA总表!D:J,7,FALSE)</f>
        <v>纠后区间有变化（版本不一致）与Browers相匹配，chr4:133711-136743之前有5个氨基酸不对，其他正确</v>
      </c>
    </row>
    <row r="401" spans="1:12" x14ac:dyDescent="0.2">
      <c r="A401" s="12" t="s">
        <v>4618</v>
      </c>
      <c r="B401" s="41" t="s">
        <v>569</v>
      </c>
      <c r="C401" s="12">
        <v>124358</v>
      </c>
      <c r="D401" s="12">
        <v>133624</v>
      </c>
      <c r="E401" s="12" t="s">
        <v>3943</v>
      </c>
      <c r="F401" s="12">
        <v>2</v>
      </c>
      <c r="G401" s="12" t="s">
        <v>570</v>
      </c>
      <c r="H401" s="41" t="s">
        <v>569</v>
      </c>
      <c r="I401" s="12">
        <v>124358</v>
      </c>
      <c r="J401" s="41" t="s">
        <v>7191</v>
      </c>
      <c r="K401" s="41" t="s">
        <v>2239</v>
      </c>
      <c r="L401" s="41" t="str">
        <f>VLOOKUP(K401,错误mRNA总表!D:J,7,FALSE)</f>
        <v>纠后区间有变化（版本不一致）与Browers相匹配，chr4:133711-136743之前有5个氨基酸不对，其他正确</v>
      </c>
    </row>
    <row r="402" spans="1:12" x14ac:dyDescent="0.2">
      <c r="A402" s="12" t="s">
        <v>4618</v>
      </c>
      <c r="B402" s="41" t="s">
        <v>569</v>
      </c>
      <c r="C402" s="12">
        <v>124358</v>
      </c>
      <c r="D402" s="12">
        <v>137023</v>
      </c>
      <c r="E402" s="12" t="s">
        <v>3940</v>
      </c>
      <c r="F402" s="12">
        <v>69</v>
      </c>
      <c r="G402" s="12" t="s">
        <v>570</v>
      </c>
      <c r="H402" s="41" t="s">
        <v>569</v>
      </c>
      <c r="I402" s="12">
        <v>124358</v>
      </c>
      <c r="J402" s="41" t="s">
        <v>7191</v>
      </c>
      <c r="K402" s="41" t="s">
        <v>2239</v>
      </c>
      <c r="L402" s="41" t="str">
        <f>VLOOKUP(K402,错误mRNA总表!D:J,7,FALSE)</f>
        <v>纠后区间有变化（版本不一致）与Browers相匹配，chr4:133711-136743之前有5个氨基酸不对，其他正确</v>
      </c>
    </row>
    <row r="403" spans="1:12" x14ac:dyDescent="0.2">
      <c r="A403" s="12" t="s">
        <v>4618</v>
      </c>
      <c r="B403" s="41" t="s">
        <v>569</v>
      </c>
      <c r="C403" s="12">
        <v>124358</v>
      </c>
      <c r="D403" s="12">
        <v>137020</v>
      </c>
      <c r="E403" s="12" t="s">
        <v>3940</v>
      </c>
      <c r="F403" s="12">
        <v>1</v>
      </c>
      <c r="G403" s="12" t="s">
        <v>570</v>
      </c>
      <c r="H403" s="41" t="s">
        <v>569</v>
      </c>
      <c r="I403" s="12">
        <v>124358</v>
      </c>
      <c r="J403" s="41" t="s">
        <v>7191</v>
      </c>
      <c r="K403" s="41" t="s">
        <v>2239</v>
      </c>
      <c r="L403" s="41" t="str">
        <f>VLOOKUP(K403,错误mRNA总表!D:J,7,FALSE)</f>
        <v>纠后区间有变化（版本不一致）与Browers相匹配，chr4:133711-136743之前有5个氨基酸不对，其他正确</v>
      </c>
    </row>
    <row r="404" spans="1:12" x14ac:dyDescent="0.2">
      <c r="B404" s="41"/>
    </row>
    <row r="405" spans="1:12" x14ac:dyDescent="0.2">
      <c r="B405" s="41"/>
    </row>
    <row r="406" spans="1:12" x14ac:dyDescent="0.2">
      <c r="B406" s="41"/>
    </row>
    <row r="407" spans="1:12" x14ac:dyDescent="0.2">
      <c r="B407" s="41"/>
    </row>
    <row r="408" spans="1:12" x14ac:dyDescent="0.2">
      <c r="B408" s="41"/>
    </row>
    <row r="409" spans="1:12" x14ac:dyDescent="0.2">
      <c r="B409" s="41"/>
    </row>
    <row r="410" spans="1:12" x14ac:dyDescent="0.2">
      <c r="B410" s="41"/>
    </row>
    <row r="411" spans="1:12" x14ac:dyDescent="0.2">
      <c r="B411" s="41"/>
    </row>
    <row r="412" spans="1:12" x14ac:dyDescent="0.2">
      <c r="B412" s="41"/>
    </row>
    <row r="413" spans="1:12" x14ac:dyDescent="0.2">
      <c r="B413" s="41"/>
    </row>
    <row r="414" spans="1:12" x14ac:dyDescent="0.2">
      <c r="B414" s="41"/>
    </row>
    <row r="415" spans="1:12" x14ac:dyDescent="0.2">
      <c r="B415" s="41"/>
    </row>
    <row r="416" spans="1:12" x14ac:dyDescent="0.2">
      <c r="B416" s="41"/>
    </row>
    <row r="417" spans="2:2" x14ac:dyDescent="0.2">
      <c r="B417" s="41"/>
    </row>
    <row r="418" spans="2:2" x14ac:dyDescent="0.2">
      <c r="B418" s="41"/>
    </row>
    <row r="419" spans="2:2" x14ac:dyDescent="0.2">
      <c r="B419" s="41"/>
    </row>
    <row r="420" spans="2:2" x14ac:dyDescent="0.2">
      <c r="B420" s="41"/>
    </row>
    <row r="421" spans="2:2" x14ac:dyDescent="0.2">
      <c r="B421" s="41"/>
    </row>
    <row r="422" spans="2:2" x14ac:dyDescent="0.2">
      <c r="B422" s="41"/>
    </row>
    <row r="423" spans="2:2" x14ac:dyDescent="0.2">
      <c r="B423" s="41"/>
    </row>
    <row r="424" spans="2:2" x14ac:dyDescent="0.2">
      <c r="B424" s="41"/>
    </row>
    <row r="425" spans="2:2" x14ac:dyDescent="0.2">
      <c r="B425" s="41"/>
    </row>
    <row r="426" spans="2:2" x14ac:dyDescent="0.2">
      <c r="B426" s="41"/>
    </row>
    <row r="427" spans="2:2" x14ac:dyDescent="0.2">
      <c r="B427" s="41"/>
    </row>
    <row r="428" spans="2:2" x14ac:dyDescent="0.2">
      <c r="B428" s="41"/>
    </row>
    <row r="429" spans="2:2" x14ac:dyDescent="0.2">
      <c r="B429" s="41"/>
    </row>
    <row r="430" spans="2:2" x14ac:dyDescent="0.2">
      <c r="B430" s="41"/>
    </row>
    <row r="431" spans="2:2" x14ac:dyDescent="0.2">
      <c r="B431" s="41"/>
    </row>
    <row r="432" spans="2:2" x14ac:dyDescent="0.2">
      <c r="B432" s="41"/>
    </row>
  </sheetData>
  <autoFilter ref="A1:L526"/>
  <sortState ref="A1:J477">
    <sortCondition ref="A1:A477"/>
    <sortCondition ref="B1:B477"/>
    <sortCondition ref="C1:C477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"/>
  <sheetViews>
    <sheetView topLeftCell="A112" workbookViewId="0">
      <selection activeCell="C139" sqref="C139"/>
    </sheetView>
  </sheetViews>
  <sheetFormatPr defaultRowHeight="13.5" x14ac:dyDescent="0.15"/>
  <cols>
    <col min="1" max="1" width="37.75" bestFit="1" customWidth="1"/>
    <col min="2" max="2" width="37.75" style="44" bestFit="1" customWidth="1"/>
    <col min="3" max="3" width="37.875" bestFit="1" customWidth="1"/>
    <col min="5" max="5" width="11.875" style="12" bestFit="1" customWidth="1"/>
    <col min="7" max="7" width="11.875" bestFit="1" customWidth="1"/>
    <col min="8" max="8" width="16.125" bestFit="1" customWidth="1"/>
    <col min="9" max="9" width="10.5" bestFit="1" customWidth="1"/>
  </cols>
  <sheetData>
    <row r="1" spans="1:10" ht="14.25" x14ac:dyDescent="0.2">
      <c r="A1" s="2" t="s">
        <v>3305</v>
      </c>
      <c r="B1" s="12" t="str">
        <f>VLOOKUP(A1,INDEL位置信息!J:K,2,FALSE)</f>
        <v>纠后正确，少1个氨基酸chr10:102587349-102587376</v>
      </c>
      <c r="C1" s="2" t="s">
        <v>8443</v>
      </c>
      <c r="D1" s="2">
        <v>-1</v>
      </c>
      <c r="G1" s="12"/>
      <c r="J1" s="1"/>
    </row>
    <row r="2" spans="1:10" ht="14.25" x14ac:dyDescent="0.2">
      <c r="A2" s="2" t="s">
        <v>2144</v>
      </c>
      <c r="B2" s="12" t="str">
        <f>VLOOKUP(A2,INDEL位置信息!J:K,2,FALSE)</f>
        <v>纠后正确</v>
      </c>
      <c r="C2" s="2" t="s">
        <v>8444</v>
      </c>
      <c r="D2" s="2" t="s">
        <v>8445</v>
      </c>
      <c r="J2" s="1"/>
    </row>
    <row r="3" spans="1:10" ht="14.25" x14ac:dyDescent="0.2">
      <c r="A3" s="2" t="s">
        <v>2233</v>
      </c>
      <c r="B3" s="12" t="str">
        <f>VLOOKUP(A3,INDEL位置信息!J:K,2,FALSE)</f>
        <v>无法验证，NCBIrs无此变体（rs747453609），纠后氨基酸加3个chr2:217498311-217528827</v>
      </c>
      <c r="C3" s="2" t="s">
        <v>8669</v>
      </c>
      <c r="D3" s="2">
        <v>3</v>
      </c>
      <c r="J3" s="1"/>
    </row>
    <row r="4" spans="1:10" ht="14.25" x14ac:dyDescent="0.2">
      <c r="A4" s="2" t="s">
        <v>3363</v>
      </c>
      <c r="B4" s="12" t="str">
        <f>VLOOKUP(A4,INDEL位置信息!J:K,2,FALSE)</f>
        <v>纠后正确</v>
      </c>
      <c r="C4" s="2" t="s">
        <v>8446</v>
      </c>
      <c r="D4" s="2" t="s">
        <v>8445</v>
      </c>
      <c r="J4" s="1"/>
    </row>
    <row r="5" spans="1:10" ht="14.25" x14ac:dyDescent="0.2">
      <c r="A5" s="2" t="s">
        <v>8672</v>
      </c>
      <c r="B5" s="12" t="str">
        <f>VLOOKUP(A5,INDEL位置信息!J:K,2,FALSE)</f>
        <v>纠后正确，加了3个氨基酸</v>
      </c>
      <c r="C5" s="2" t="s">
        <v>8447</v>
      </c>
      <c r="D5" s="2">
        <v>3</v>
      </c>
      <c r="J5" s="1"/>
    </row>
    <row r="6" spans="1:10" ht="14.25" x14ac:dyDescent="0.2">
      <c r="A6" s="2" t="s">
        <v>2268</v>
      </c>
      <c r="B6" s="12" t="str">
        <f>VLOOKUP(A6,INDEL位置信息!J:K,2,FALSE)</f>
        <v>纠后正确</v>
      </c>
      <c r="C6" s="2" t="s">
        <v>8448</v>
      </c>
      <c r="D6" s="2" t="s">
        <v>8445</v>
      </c>
      <c r="J6" s="1"/>
    </row>
    <row r="7" spans="1:10" ht="14.25" x14ac:dyDescent="0.2">
      <c r="A7" s="2" t="s">
        <v>2166</v>
      </c>
      <c r="B7" s="12" t="str">
        <f>VLOOKUP(A7,INDEL位置信息!J:K,2,FALSE)</f>
        <v>纠后正确</v>
      </c>
      <c r="C7" s="2" t="s">
        <v>8449</v>
      </c>
      <c r="D7" s="2" t="s">
        <v>8445</v>
      </c>
      <c r="J7" s="1"/>
    </row>
    <row r="8" spans="1:10" ht="14.25" x14ac:dyDescent="0.2">
      <c r="A8" s="2" t="s">
        <v>2195</v>
      </c>
      <c r="B8" s="12" t="str">
        <f>VLOOKUP(A8,INDEL位置信息!J:K,2,FALSE)</f>
        <v>纠后正确</v>
      </c>
      <c r="C8" s="2" t="s">
        <v>8450</v>
      </c>
      <c r="D8" s="2" t="s">
        <v>8445</v>
      </c>
      <c r="J8" s="1"/>
    </row>
    <row r="9" spans="1:10" ht="14.25" x14ac:dyDescent="0.2">
      <c r="A9" s="2" t="s">
        <v>2196</v>
      </c>
      <c r="B9" s="12" t="str">
        <f>VLOOKUP(A9,INDEL位置信息!J:K,2,FALSE)</f>
        <v>纠后正确</v>
      </c>
      <c r="C9" s="2" t="s">
        <v>8451</v>
      </c>
      <c r="D9" s="2" t="s">
        <v>8445</v>
      </c>
      <c r="J9" s="1"/>
    </row>
    <row r="10" spans="1:10" ht="14.25" x14ac:dyDescent="0.2">
      <c r="A10" s="2" t="s">
        <v>2283</v>
      </c>
      <c r="B10" s="12" t="str">
        <f>VLOOKUP(A10,INDEL位置信息!J:K,2,FALSE)</f>
        <v>纠后正确，且氨基酸少5个chr19：4499665-4502022</v>
      </c>
      <c r="C10" s="2" t="s">
        <v>8452</v>
      </c>
      <c r="D10" s="2">
        <v>-5</v>
      </c>
      <c r="J10" s="1"/>
    </row>
    <row r="11" spans="1:10" ht="14.25" x14ac:dyDescent="0.2">
      <c r="A11" s="2" t="s">
        <v>2289</v>
      </c>
      <c r="B11" s="12" t="str">
        <f>VLOOKUP(A11,INDEL位置信息!J:K,2,FALSE)</f>
        <v>纠后正确，少1个氨基酸chr19:56599389-56599751</v>
      </c>
      <c r="C11" s="2" t="s">
        <v>8453</v>
      </c>
      <c r="D11" s="2">
        <v>-1</v>
      </c>
      <c r="J11" s="1"/>
    </row>
    <row r="12" spans="1:10" ht="14.25" x14ac:dyDescent="0.2">
      <c r="A12" s="2" t="s">
        <v>2132</v>
      </c>
      <c r="B12" s="12" t="str">
        <f>VLOOKUP(A12,INDEL位置信息!J:K,2,FALSE)</f>
        <v>纠后正确</v>
      </c>
      <c r="C12" s="2" t="s">
        <v>8454</v>
      </c>
      <c r="D12" s="2" t="s">
        <v>8445</v>
      </c>
      <c r="J12" s="1"/>
    </row>
    <row r="13" spans="1:10" ht="14.25" x14ac:dyDescent="0.2">
      <c r="A13" s="2" t="s">
        <v>2193</v>
      </c>
      <c r="B13" s="12" t="str">
        <f>VLOOKUP(A13,INDEL位置信息!J:K,2,FALSE)</f>
        <v>纠后正确</v>
      </c>
      <c r="C13" s="2" t="s">
        <v>8455</v>
      </c>
      <c r="D13" s="2" t="s">
        <v>8445</v>
      </c>
      <c r="J13" s="1"/>
    </row>
    <row r="14" spans="1:10" ht="14.25" x14ac:dyDescent="0.2">
      <c r="A14" s="45" t="s">
        <v>3366</v>
      </c>
      <c r="B14" s="46" t="str">
        <f>VLOOKUP(A14,INDEL位置信息!J:K,2,FALSE)</f>
        <v>纠后正确</v>
      </c>
      <c r="C14" s="45" t="s">
        <v>8693</v>
      </c>
      <c r="D14" s="2" t="s">
        <v>8695</v>
      </c>
      <c r="J14" s="1"/>
    </row>
    <row r="15" spans="1:10" ht="14.25" x14ac:dyDescent="0.2">
      <c r="A15" s="2" t="s">
        <v>2282</v>
      </c>
      <c r="B15" s="12" t="str">
        <f>VLOOKUP(A15,INDEL位置信息!J:K,2,FALSE)</f>
        <v>纠后正确，且氨基酸加1个chr18：43833705-43843081</v>
      </c>
      <c r="C15" s="2" t="s">
        <v>8456</v>
      </c>
      <c r="D15" s="2">
        <v>1</v>
      </c>
      <c r="J15" s="1"/>
    </row>
    <row r="16" spans="1:10" ht="14.25" x14ac:dyDescent="0.2">
      <c r="A16" s="2" t="s">
        <v>2156</v>
      </c>
      <c r="B16" s="12" t="str">
        <f>VLOOKUP(A16,INDEL位置信息!J:K,2,FALSE)</f>
        <v>纠后正确</v>
      </c>
      <c r="C16" s="2" t="s">
        <v>8457</v>
      </c>
      <c r="D16" s="2" t="s">
        <v>8445</v>
      </c>
      <c r="J16" s="1"/>
    </row>
    <row r="17" spans="1:10" ht="14.25" x14ac:dyDescent="0.2">
      <c r="A17" s="2" t="s">
        <v>2188</v>
      </c>
      <c r="B17" s="12" t="str">
        <f>VLOOKUP(A17,INDEL位置信息!J:K,2,FALSE)</f>
        <v>纠后正确</v>
      </c>
      <c r="C17" s="2" t="s">
        <v>8458</v>
      </c>
      <c r="D17" s="2" t="s">
        <v>8445</v>
      </c>
      <c r="J17" s="1"/>
    </row>
    <row r="18" spans="1:10" ht="14.25" x14ac:dyDescent="0.2">
      <c r="A18" s="2" t="s">
        <v>3300</v>
      </c>
      <c r="B18" s="12" t="str">
        <f>VLOOKUP(A18,INDEL位置信息!J:K,2,FALSE)</f>
        <v>无rs号验证，氨基酸加1个chrX:1314875-1314998</v>
      </c>
      <c r="C18" s="2" t="s">
        <v>8459</v>
      </c>
      <c r="D18" s="2">
        <v>1</v>
      </c>
      <c r="J18" s="1"/>
    </row>
    <row r="19" spans="1:10" ht="14.25" x14ac:dyDescent="0.2">
      <c r="A19" s="2" t="s">
        <v>3301</v>
      </c>
      <c r="B19" s="12" t="str">
        <f>VLOOKUP(A19,INDEL位置信息!I:K,3,FALSE)</f>
        <v>无rs号验证，氨基酸加1个chrX:1314875-1314998</v>
      </c>
      <c r="C19" s="2" t="s">
        <v>8460</v>
      </c>
      <c r="D19" s="2">
        <v>1</v>
      </c>
      <c r="J19" s="1"/>
    </row>
    <row r="20" spans="1:10" ht="14.25" x14ac:dyDescent="0.2">
      <c r="A20" s="2" t="s">
        <v>2266</v>
      </c>
      <c r="B20" s="12" t="str">
        <f>VLOOKUP(A20,INDEL位置信息!J:K,2,FALSE)</f>
        <v>纠后正确,加60个氨基酸chr11:1642637-1642939</v>
      </c>
      <c r="C20" s="2" t="s">
        <v>8461</v>
      </c>
      <c r="D20" s="2">
        <v>60</v>
      </c>
      <c r="J20" s="1"/>
    </row>
    <row r="21" spans="1:10" ht="14.25" x14ac:dyDescent="0.2">
      <c r="A21" s="2" t="s">
        <v>2163</v>
      </c>
      <c r="B21" s="12" t="str">
        <f>VLOOKUP(A21,INDEL位置信息!J:K,2,FALSE)</f>
        <v>纠后正确</v>
      </c>
      <c r="C21" s="2" t="s">
        <v>8462</v>
      </c>
      <c r="D21" s="2" t="s">
        <v>8445</v>
      </c>
      <c r="J21" s="1"/>
    </row>
    <row r="22" spans="1:10" ht="14.25" x14ac:dyDescent="0.2">
      <c r="A22" s="2" t="s">
        <v>2230</v>
      </c>
      <c r="B22" s="12" t="str">
        <f>VLOOKUP(A22,INDEL位置信息!J:K,2,FALSE)</f>
        <v>纠后正确，氨基酸少1个，chr2：95847047-95847854</v>
      </c>
      <c r="C22" s="2" t="s">
        <v>8463</v>
      </c>
      <c r="D22" s="2">
        <v>-1</v>
      </c>
      <c r="J22" s="1"/>
    </row>
    <row r="23" spans="1:10" ht="14.25" x14ac:dyDescent="0.2">
      <c r="A23" s="2" t="s">
        <v>2152</v>
      </c>
      <c r="B23" s="12" t="str">
        <f>VLOOKUP(A23,INDEL位置信息!J:K,2,FALSE)</f>
        <v>纠后正确</v>
      </c>
      <c r="C23" s="2" t="s">
        <v>8464</v>
      </c>
      <c r="D23" s="2" t="s">
        <v>8445</v>
      </c>
      <c r="G23" s="1"/>
      <c r="J23" s="1"/>
    </row>
    <row r="24" spans="1:10" ht="14.25" x14ac:dyDescent="0.2">
      <c r="A24" s="2" t="s">
        <v>2157</v>
      </c>
      <c r="B24" s="12" t="str">
        <f>VLOOKUP(A24,INDEL位置信息!J:K,2,FALSE)</f>
        <v>纠后正确</v>
      </c>
      <c r="C24" s="2" t="s">
        <v>8465</v>
      </c>
      <c r="D24" s="2" t="s">
        <v>8445</v>
      </c>
      <c r="G24" s="1"/>
      <c r="J24" s="1"/>
    </row>
    <row r="25" spans="1:10" ht="14.25" x14ac:dyDescent="0.2">
      <c r="A25" s="2" t="s">
        <v>2091</v>
      </c>
      <c r="B25" s="12" t="str">
        <f>VLOOKUP(A25,INDEL位置信息!J:K,2,FALSE)</f>
        <v>纠后正确，utr略有变化，版本不一致</v>
      </c>
      <c r="C25" s="2" t="s">
        <v>8466</v>
      </c>
      <c r="D25" s="2" t="s">
        <v>8445</v>
      </c>
      <c r="J25" s="1"/>
    </row>
    <row r="26" spans="1:10" ht="14.25" x14ac:dyDescent="0.2">
      <c r="A26" s="45" t="s">
        <v>8707</v>
      </c>
      <c r="B26" s="46" t="s">
        <v>8708</v>
      </c>
      <c r="C26" s="45" t="s">
        <v>8735</v>
      </c>
      <c r="D26" s="2" t="s">
        <v>8731</v>
      </c>
      <c r="J26" s="1"/>
    </row>
    <row r="27" spans="1:10" ht="14.25" x14ac:dyDescent="0.2">
      <c r="A27" s="2" t="s">
        <v>2252</v>
      </c>
      <c r="B27" s="12" t="str">
        <f>VLOOKUP(A27,INDEL位置信息!J:K,2,FALSE)</f>
        <v>纠后正确</v>
      </c>
      <c r="C27" s="2" t="s">
        <v>8467</v>
      </c>
      <c r="D27" s="2" t="s">
        <v>8445</v>
      </c>
      <c r="J27" s="1"/>
    </row>
    <row r="28" spans="1:10" ht="14.25" x14ac:dyDescent="0.2">
      <c r="A28" s="2" t="s">
        <v>2179</v>
      </c>
      <c r="B28" s="12" t="str">
        <f>VLOOKUP(A28,INDEL位置信息!J:K,2,FALSE)</f>
        <v>纠后正确</v>
      </c>
      <c r="C28" s="2" t="s">
        <v>8468</v>
      </c>
      <c r="D28" s="2" t="s">
        <v>8445</v>
      </c>
      <c r="J28" s="1"/>
    </row>
    <row r="29" spans="1:10" ht="14.25" x14ac:dyDescent="0.2">
      <c r="A29" s="2" t="s">
        <v>2080</v>
      </c>
      <c r="B29" s="12" t="str">
        <f>VLOOKUP(A29,INDEL位置信息!J:K,2,FALSE)</f>
        <v>纠后正确</v>
      </c>
      <c r="C29" s="2" t="s">
        <v>8469</v>
      </c>
      <c r="D29" s="2" t="s">
        <v>8445</v>
      </c>
      <c r="J29" s="1"/>
    </row>
    <row r="30" spans="1:10" ht="14.25" x14ac:dyDescent="0.2">
      <c r="A30" s="2" t="s">
        <v>2105</v>
      </c>
      <c r="B30" s="12" t="str">
        <f>VLOOKUP(A30,INDEL位置信息!J:K,2,FALSE)</f>
        <v>纠后正确</v>
      </c>
      <c r="C30" s="2" t="s">
        <v>8470</v>
      </c>
      <c r="D30" s="2" t="s">
        <v>8445</v>
      </c>
      <c r="J30" s="1"/>
    </row>
    <row r="31" spans="1:10" ht="14.25" x14ac:dyDescent="0.2">
      <c r="A31" s="2" t="s">
        <v>2106</v>
      </c>
      <c r="B31" s="12" t="str">
        <f>VLOOKUP(A31,INDEL位置信息!J:K,2,FALSE)</f>
        <v>纠后正确</v>
      </c>
      <c r="C31" s="2" t="s">
        <v>8471</v>
      </c>
      <c r="D31" s="2" t="s">
        <v>8445</v>
      </c>
      <c r="J31" s="1"/>
    </row>
    <row r="32" spans="1:10" ht="14.25" x14ac:dyDescent="0.2">
      <c r="A32" s="2" t="s">
        <v>2202</v>
      </c>
      <c r="B32" s="12" t="str">
        <f>VLOOKUP(A32,INDEL位置信息!J:K,2,FALSE)</f>
        <v>纠后正确</v>
      </c>
      <c r="C32" s="2" t="s">
        <v>8472</v>
      </c>
      <c r="D32" s="2" t="s">
        <v>8445</v>
      </c>
      <c r="J32" s="1"/>
    </row>
    <row r="33" spans="1:10" ht="14.25" x14ac:dyDescent="0.2">
      <c r="A33" s="2" t="s">
        <v>2275</v>
      </c>
      <c r="B33" s="12" t="str">
        <f>VLOOKUP(A33,INDEL位置信息!J:K,2,FALSE)</f>
        <v>纠后正确，加1个氨基酸chr14:24646414-24649301</v>
      </c>
      <c r="C33" s="2" t="s">
        <v>8473</v>
      </c>
      <c r="D33" s="2">
        <v>1</v>
      </c>
      <c r="J33" s="1"/>
    </row>
    <row r="34" spans="1:10" ht="14.25" x14ac:dyDescent="0.2">
      <c r="A34" s="2" t="s">
        <v>3364</v>
      </c>
      <c r="B34" s="12" t="str">
        <f>VLOOKUP(A34,INDEL位置信息!J:K,2,FALSE)</f>
        <v>纠后正确</v>
      </c>
      <c r="C34" s="2" t="s">
        <v>8474</v>
      </c>
      <c r="D34" s="2" t="s">
        <v>8445</v>
      </c>
      <c r="J34" s="1"/>
    </row>
    <row r="35" spans="1:10" ht="14.25" x14ac:dyDescent="0.2">
      <c r="A35" s="2" t="s">
        <v>2142</v>
      </c>
      <c r="B35" s="12" t="str">
        <f>VLOOKUP(A35,INDEL位置信息!J:K,2,FALSE)</f>
        <v>纠后正确</v>
      </c>
      <c r="C35" s="2" t="s">
        <v>8475</v>
      </c>
      <c r="D35" s="2" t="s">
        <v>8445</v>
      </c>
      <c r="J35" s="1"/>
    </row>
    <row r="36" spans="1:10" ht="14.25" x14ac:dyDescent="0.2">
      <c r="A36" s="2" t="s">
        <v>2180</v>
      </c>
      <c r="B36" s="12" t="str">
        <f>VLOOKUP(A36,INDEL位置信息!J:K,2,FALSE)</f>
        <v>纠后正确</v>
      </c>
      <c r="C36" s="2" t="s">
        <v>8476</v>
      </c>
      <c r="D36" s="2" t="s">
        <v>8445</v>
      </c>
      <c r="J36" s="1"/>
    </row>
    <row r="37" spans="1:10" ht="14.25" x14ac:dyDescent="0.2">
      <c r="A37" s="2" t="s">
        <v>3353</v>
      </c>
      <c r="B37" s="12" t="str">
        <f>VLOOKUP(A37,INDEL位置信息!J:K,2,FALSE)</f>
        <v>纠后正确，版本不一致，utr略有变化</v>
      </c>
      <c r="C37" s="2" t="s">
        <v>8477</v>
      </c>
      <c r="D37" s="2" t="s">
        <v>8445</v>
      </c>
      <c r="J37" s="1"/>
    </row>
    <row r="38" spans="1:10" ht="14.25" x14ac:dyDescent="0.2">
      <c r="A38" s="2" t="s">
        <v>2074</v>
      </c>
      <c r="B38" s="12" t="str">
        <f>VLOOKUP(A38,INDEL位置信息!J:K,2,FALSE)</f>
        <v>纠后正确</v>
      </c>
      <c r="C38" s="2" t="s">
        <v>8478</v>
      </c>
      <c r="D38" s="2" t="s">
        <v>8445</v>
      </c>
      <c r="J38" s="1"/>
    </row>
    <row r="39" spans="1:10" ht="14.25" x14ac:dyDescent="0.2">
      <c r="A39" s="2" t="s">
        <v>2099</v>
      </c>
      <c r="B39" s="12" t="str">
        <f>VLOOKUP(A39,INDEL位置信息!J:K,2,FALSE)</f>
        <v>纠后正确</v>
      </c>
      <c r="C39" s="2" t="s">
        <v>8479</v>
      </c>
      <c r="D39" s="2" t="s">
        <v>8445</v>
      </c>
      <c r="J39" s="1"/>
    </row>
    <row r="40" spans="1:10" ht="14.25" x14ac:dyDescent="0.2">
      <c r="A40" s="2" t="s">
        <v>2280</v>
      </c>
      <c r="B40" s="12" t="str">
        <f>VLOOKUP(A40,INDEL位置信息!J:K,2,FALSE)</f>
        <v>纠后正确,区间略有变化，加57个氨基酸chr8:79394663-79433358</v>
      </c>
      <c r="C40" s="2" t="s">
        <v>8480</v>
      </c>
      <c r="D40" s="2">
        <v>57</v>
      </c>
      <c r="J40" s="1"/>
    </row>
    <row r="41" spans="1:10" ht="14.25" x14ac:dyDescent="0.2">
      <c r="A41" s="2" t="s">
        <v>2126</v>
      </c>
      <c r="B41" s="12" t="str">
        <f>VLOOKUP(A41,INDEL位置信息!J:K,2,FALSE)</f>
        <v>纠后正确</v>
      </c>
      <c r="C41" s="2" t="s">
        <v>8481</v>
      </c>
      <c r="D41" s="2" t="s">
        <v>8445</v>
      </c>
      <c r="J41" s="1"/>
    </row>
    <row r="42" spans="1:10" ht="14.25" x14ac:dyDescent="0.2">
      <c r="A42" s="2" t="s">
        <v>2219</v>
      </c>
      <c r="B42" s="12" t="str">
        <f>VLOOKUP(A42,INDEL位置信息!J:K,2,FALSE)</f>
        <v>纠后正确，加2个氨基酸chr8:86126795-86126826</v>
      </c>
      <c r="C42" s="2" t="s">
        <v>8482</v>
      </c>
      <c r="D42" s="2">
        <v>2</v>
      </c>
      <c r="J42" s="1"/>
    </row>
    <row r="43" spans="1:10" ht="14.25" x14ac:dyDescent="0.2">
      <c r="A43" s="2" t="s">
        <v>2217</v>
      </c>
      <c r="B43" s="12" t="str">
        <f>VLOOKUP(A43,INDEL位置信息!J:K,2,FALSE)</f>
        <v>纠后正确，加2个氨基酸chr8:86126795-86126826</v>
      </c>
      <c r="C43" s="2" t="s">
        <v>8483</v>
      </c>
      <c r="D43" s="2">
        <v>2</v>
      </c>
      <c r="J43" s="1"/>
    </row>
    <row r="44" spans="1:10" ht="14.25" x14ac:dyDescent="0.2">
      <c r="A44" s="2" t="s">
        <v>2218</v>
      </c>
      <c r="B44" s="12" t="str">
        <f>VLOOKUP(A44,INDEL位置信息!J:K,2,FALSE)</f>
        <v>纠后正确，加2个氨基酸chr8:86126795-86126826</v>
      </c>
      <c r="C44" s="2" t="s">
        <v>8484</v>
      </c>
      <c r="D44" s="2">
        <v>2</v>
      </c>
      <c r="J44" s="1"/>
    </row>
    <row r="45" spans="1:10" ht="14.25" x14ac:dyDescent="0.2">
      <c r="A45" s="2" t="s">
        <v>2216</v>
      </c>
      <c r="B45" s="12" t="str">
        <f>VLOOKUP(A45,INDEL位置信息!J:K,2,FALSE)</f>
        <v>纠后正确，加2个氨基酸chr8:86126795-86126826</v>
      </c>
      <c r="C45" s="2" t="s">
        <v>8485</v>
      </c>
      <c r="D45" s="2">
        <v>2</v>
      </c>
      <c r="J45" s="1"/>
    </row>
    <row r="46" spans="1:10" ht="14.25" x14ac:dyDescent="0.2">
      <c r="A46" s="2" t="s">
        <v>2084</v>
      </c>
      <c r="B46" s="12" t="str">
        <f>VLOOKUP(A46,INDEL位置信息!J:K,2,FALSE)</f>
        <v>纠后正确</v>
      </c>
      <c r="C46" s="2" t="s">
        <v>8486</v>
      </c>
      <c r="D46" s="2" t="s">
        <v>8445</v>
      </c>
      <c r="J46" s="1"/>
    </row>
    <row r="47" spans="1:10" ht="14.25" x14ac:dyDescent="0.2">
      <c r="A47" s="2" t="s">
        <v>2085</v>
      </c>
      <c r="B47" s="12" t="str">
        <f>VLOOKUP(A47,INDEL位置信息!J:K,2,FALSE)</f>
        <v>纠后正确</v>
      </c>
      <c r="C47" s="2" t="s">
        <v>8487</v>
      </c>
      <c r="D47" s="2" t="s">
        <v>8445</v>
      </c>
      <c r="J47" s="1"/>
    </row>
    <row r="48" spans="1:10" ht="14.25" x14ac:dyDescent="0.2">
      <c r="A48" s="2" t="s">
        <v>2086</v>
      </c>
      <c r="B48" s="12" t="str">
        <f>VLOOKUP(A48,INDEL位置信息!J:K,2,FALSE)</f>
        <v>纠后正确</v>
      </c>
      <c r="C48" s="2" t="s">
        <v>8488</v>
      </c>
      <c r="D48" s="2" t="s">
        <v>8445</v>
      </c>
      <c r="J48" s="1"/>
    </row>
    <row r="49" spans="1:10" ht="14.25" x14ac:dyDescent="0.2">
      <c r="A49" s="2" t="s">
        <v>2087</v>
      </c>
      <c r="B49" s="12" t="str">
        <f>VLOOKUP(A49,INDEL位置信息!J:K,2,FALSE)</f>
        <v>纠后正确</v>
      </c>
      <c r="C49" s="2" t="s">
        <v>8489</v>
      </c>
      <c r="D49" s="2" t="s">
        <v>8445</v>
      </c>
      <c r="J49" s="1"/>
    </row>
    <row r="50" spans="1:10" ht="14.25" x14ac:dyDescent="0.2">
      <c r="A50" s="2" t="s">
        <v>2079</v>
      </c>
      <c r="B50" s="12" t="str">
        <f>VLOOKUP(A50,INDEL位置信息!J:K,2,FALSE)</f>
        <v>纠后正确</v>
      </c>
      <c r="C50" s="2" t="s">
        <v>8490</v>
      </c>
      <c r="D50" s="2" t="s">
        <v>8445</v>
      </c>
      <c r="J50" s="1"/>
    </row>
    <row r="51" spans="1:10" ht="14.25" x14ac:dyDescent="0.2">
      <c r="A51" s="2" t="s">
        <v>2198</v>
      </c>
      <c r="B51" s="12" t="str">
        <f>VLOOKUP(A51,INDEL位置信息!J:K,2,FALSE)</f>
        <v>纠后正确</v>
      </c>
      <c r="C51" s="2" t="s">
        <v>8491</v>
      </c>
      <c r="D51" s="2" t="s">
        <v>8445</v>
      </c>
      <c r="J51" s="1"/>
    </row>
    <row r="52" spans="1:10" ht="14.25" x14ac:dyDescent="0.2">
      <c r="A52" s="2" t="s">
        <v>2153</v>
      </c>
      <c r="B52" s="12" t="str">
        <f>VLOOKUP(A52,INDEL位置信息!J:K,2,FALSE)</f>
        <v>纠后正确</v>
      </c>
      <c r="C52" s="2" t="s">
        <v>8492</v>
      </c>
      <c r="D52" s="2" t="s">
        <v>8445</v>
      </c>
      <c r="J52" s="1"/>
    </row>
    <row r="53" spans="1:10" ht="14.25" x14ac:dyDescent="0.2">
      <c r="A53" s="2" t="s">
        <v>8677</v>
      </c>
      <c r="B53" s="12" t="str">
        <f>VLOOKUP(A53,INDEL位置信息!J:K,2,FALSE)</f>
        <v>多321个氨基酸，但rs号是多350个chr7:139257673-139316492</v>
      </c>
      <c r="C53" s="2" t="s">
        <v>8493</v>
      </c>
      <c r="D53" s="2">
        <v>321</v>
      </c>
      <c r="J53" s="1"/>
    </row>
    <row r="54" spans="1:10" ht="14.25" x14ac:dyDescent="0.2">
      <c r="A54" s="2" t="s">
        <v>2093</v>
      </c>
      <c r="B54" s="12" t="str">
        <f>VLOOKUP(A54,INDEL位置信息!J:K,2,FALSE)</f>
        <v>纠后正确</v>
      </c>
      <c r="C54" s="2" t="s">
        <v>8494</v>
      </c>
      <c r="D54" s="2" t="s">
        <v>8445</v>
      </c>
      <c r="J54" s="1"/>
    </row>
    <row r="55" spans="1:10" ht="14.25" x14ac:dyDescent="0.2">
      <c r="A55" s="2" t="s">
        <v>2101</v>
      </c>
      <c r="B55" s="12" t="str">
        <f>VLOOKUP(A55,INDEL位置信息!J:K,2,FALSE)</f>
        <v>纠后正确</v>
      </c>
      <c r="C55" s="2" t="s">
        <v>8495</v>
      </c>
      <c r="D55" s="2" t="s">
        <v>8445</v>
      </c>
      <c r="J55" s="1"/>
    </row>
    <row r="56" spans="1:10" ht="14.25" x14ac:dyDescent="0.2">
      <c r="A56" s="2" t="s">
        <v>2096</v>
      </c>
      <c r="B56" s="12" t="str">
        <f>VLOOKUP(A56,INDEL位置信息!J:K,2,FALSE)</f>
        <v>纠后正确</v>
      </c>
      <c r="C56" s="2" t="s">
        <v>8496</v>
      </c>
      <c r="D56" s="2" t="s">
        <v>8445</v>
      </c>
      <c r="J56" s="1"/>
    </row>
    <row r="57" spans="1:10" ht="14.25" x14ac:dyDescent="0.2">
      <c r="A57" s="2" t="s">
        <v>2247</v>
      </c>
      <c r="B57" s="12" t="str">
        <f>VLOOKUP(A57,INDEL位置信息!J:K,2,FALSE)</f>
        <v>纠后正确</v>
      </c>
      <c r="C57" s="2" t="s">
        <v>8497</v>
      </c>
      <c r="D57" s="2" t="s">
        <v>8445</v>
      </c>
      <c r="J57" s="1"/>
    </row>
    <row r="58" spans="1:10" ht="14.25" x14ac:dyDescent="0.2">
      <c r="A58" s="2" t="s">
        <v>2226</v>
      </c>
      <c r="B58" s="12" t="str">
        <f>VLOOKUP(A58,INDEL位置信息!J:K,2,FALSE)</f>
        <v>多98个氨基酸，但无法验证哪个正确，NCBIrs无氨基酸注释信息chr1:223715199-223743130</v>
      </c>
      <c r="C58" s="2" t="s">
        <v>8498</v>
      </c>
      <c r="D58" s="2">
        <v>98</v>
      </c>
      <c r="J58" s="1"/>
    </row>
    <row r="59" spans="1:10" ht="14.25" x14ac:dyDescent="0.2">
      <c r="A59" s="2" t="s">
        <v>8678</v>
      </c>
      <c r="B59" s="12" t="str">
        <f>VLOOKUP(A59,INDEL位置信息!J:K,2,FALSE)</f>
        <v>多149个氨基酸，但rs号是多152个（rs370185461）chr7:139257673-139316492</v>
      </c>
      <c r="C59" s="2" t="s">
        <v>8499</v>
      </c>
      <c r="D59" s="2">
        <v>149</v>
      </c>
      <c r="J59" s="1"/>
    </row>
    <row r="60" spans="1:10" ht="14.25" x14ac:dyDescent="0.2">
      <c r="A60" s="2" t="s">
        <v>2151</v>
      </c>
      <c r="B60" s="12" t="str">
        <f>VLOOKUP(A60,INDEL位置信息!J:K,2,FALSE)</f>
        <v>纠后正确</v>
      </c>
      <c r="C60" s="2" t="s">
        <v>8500</v>
      </c>
      <c r="D60" s="2" t="s">
        <v>8445</v>
      </c>
      <c r="J60" s="1"/>
    </row>
    <row r="61" spans="1:10" ht="14.25" x14ac:dyDescent="0.2">
      <c r="A61" s="2" t="s">
        <v>3346</v>
      </c>
      <c r="B61" s="12" t="str">
        <f>VLOOKUP(A61,INDEL位置信息!J:K,2,FALSE)</f>
        <v>纠后正确</v>
      </c>
      <c r="C61" s="2" t="s">
        <v>8501</v>
      </c>
      <c r="D61" s="2" t="s">
        <v>8445</v>
      </c>
      <c r="J61" s="1"/>
    </row>
    <row r="62" spans="1:10" ht="14.25" x14ac:dyDescent="0.2">
      <c r="A62" s="2" t="s">
        <v>2092</v>
      </c>
      <c r="B62" s="12" t="str">
        <f>VLOOKUP(A62,INDEL位置信息!J:K,2,FALSE)</f>
        <v>纠后正确</v>
      </c>
      <c r="C62" s="2" t="s">
        <v>8502</v>
      </c>
      <c r="D62" s="2" t="s">
        <v>8445</v>
      </c>
      <c r="J62" s="1"/>
    </row>
    <row r="63" spans="1:10" ht="14.25" x14ac:dyDescent="0.2">
      <c r="A63" s="2" t="s">
        <v>2267</v>
      </c>
      <c r="B63" s="12" t="str">
        <f>VLOOKUP(A63,INDEL位置信息!J:K,2,FALSE)</f>
        <v>纠后正确</v>
      </c>
      <c r="C63" s="2" t="s">
        <v>8503</v>
      </c>
      <c r="D63" s="2" t="s">
        <v>8445</v>
      </c>
      <c r="J63" s="1"/>
    </row>
    <row r="64" spans="1:10" ht="14.25" x14ac:dyDescent="0.2">
      <c r="A64" s="2" t="s">
        <v>2122</v>
      </c>
      <c r="B64" s="12" t="str">
        <f>VLOOKUP(A64,INDEL位置信息!J:K,2,FALSE)</f>
        <v>纠后正确</v>
      </c>
      <c r="C64" s="2" t="s">
        <v>8504</v>
      </c>
      <c r="D64" s="2" t="s">
        <v>8445</v>
      </c>
      <c r="J64" s="1"/>
    </row>
    <row r="65" spans="1:10" ht="14.25" x14ac:dyDescent="0.2">
      <c r="A65" s="2" t="s">
        <v>2123</v>
      </c>
      <c r="B65" s="12" t="str">
        <f>VLOOKUP(A65,INDEL位置信息!J:K,2,FALSE)</f>
        <v>纠后正确</v>
      </c>
      <c r="C65" s="2" t="s">
        <v>8505</v>
      </c>
      <c r="D65" s="2" t="s">
        <v>8445</v>
      </c>
      <c r="J65" s="1"/>
    </row>
    <row r="66" spans="1:10" ht="14.25" x14ac:dyDescent="0.2">
      <c r="A66" s="2" t="s">
        <v>2136</v>
      </c>
      <c r="B66" s="12" t="str">
        <f>VLOOKUP(A66,INDEL位置信息!J:K,2,FALSE)</f>
        <v>纠后正确</v>
      </c>
      <c r="C66" s="2" t="s">
        <v>8506</v>
      </c>
      <c r="D66" s="2" t="s">
        <v>8445</v>
      </c>
      <c r="J66" s="1"/>
    </row>
    <row r="67" spans="1:10" ht="14.25" x14ac:dyDescent="0.2">
      <c r="A67" s="2" t="s">
        <v>2137</v>
      </c>
      <c r="B67" s="12" t="str">
        <f>VLOOKUP(A67,INDEL位置信息!J:K,2,FALSE)</f>
        <v>纠后正确</v>
      </c>
      <c r="C67" s="2" t="s">
        <v>8507</v>
      </c>
      <c r="D67" s="2" t="s">
        <v>8445</v>
      </c>
      <c r="J67" s="1"/>
    </row>
    <row r="68" spans="1:10" ht="14.25" x14ac:dyDescent="0.2">
      <c r="A68" s="2" t="s">
        <v>2138</v>
      </c>
      <c r="B68" s="12" t="str">
        <f>VLOOKUP(A68,INDEL位置信息!J:K,2,FALSE)</f>
        <v>纠后正确</v>
      </c>
      <c r="C68" s="2" t="s">
        <v>8508</v>
      </c>
      <c r="D68" s="2" t="s">
        <v>8445</v>
      </c>
      <c r="J68" s="1"/>
    </row>
    <row r="69" spans="1:10" ht="14.25" x14ac:dyDescent="0.2">
      <c r="A69" s="2" t="s">
        <v>2139</v>
      </c>
      <c r="B69" s="12" t="str">
        <f>VLOOKUP(A69,INDEL位置信息!J:K,2,FALSE)</f>
        <v>纠后正确</v>
      </c>
      <c r="C69" s="2" t="s">
        <v>8509</v>
      </c>
      <c r="D69" s="2" t="s">
        <v>8445</v>
      </c>
      <c r="J69" s="1"/>
    </row>
    <row r="70" spans="1:10" ht="14.25" x14ac:dyDescent="0.2">
      <c r="A70" s="2" t="s">
        <v>8680</v>
      </c>
      <c r="B70" s="12" t="str">
        <f>VLOOKUP(A70,INDEL位置信息!J:K,2,FALSE)</f>
        <v>纠后正确，rs无基因信息，加53个氨基酸，chr3:51436200-51467663</v>
      </c>
      <c r="C70" s="2" t="s">
        <v>8679</v>
      </c>
      <c r="D70" s="2">
        <v>53</v>
      </c>
      <c r="J70" s="1"/>
    </row>
    <row r="71" spans="1:10" ht="14.25" x14ac:dyDescent="0.2">
      <c r="A71" s="2" t="s">
        <v>2076</v>
      </c>
      <c r="B71" s="12" t="str">
        <f>VLOOKUP(A71,INDEL位置信息!J:K,2,FALSE)</f>
        <v>纠后正确</v>
      </c>
      <c r="C71" s="2" t="s">
        <v>8510</v>
      </c>
      <c r="D71" s="2" t="s">
        <v>8445</v>
      </c>
      <c r="J71" s="1"/>
    </row>
    <row r="72" spans="1:10" ht="14.25" x14ac:dyDescent="0.2">
      <c r="A72" s="2" t="s">
        <v>2095</v>
      </c>
      <c r="B72" s="12" t="str">
        <f>VLOOKUP(A72,INDEL位置信息!J:K,2,FALSE)</f>
        <v>纠后正确</v>
      </c>
      <c r="C72" s="2" t="s">
        <v>8511</v>
      </c>
      <c r="D72" s="2" t="s">
        <v>8445</v>
      </c>
      <c r="J72" s="1"/>
    </row>
    <row r="73" spans="1:10" ht="14.25" x14ac:dyDescent="0.2">
      <c r="A73" s="2" t="s">
        <v>2259</v>
      </c>
      <c r="B73" s="12" t="str">
        <f>VLOOKUP(A73,INDEL位置信息!J:K,2,FALSE)</f>
        <v>纠后正确，少1个氨基酸chr9：95227244-95237086</v>
      </c>
      <c r="C73" s="2" t="s">
        <v>8512</v>
      </c>
      <c r="D73" s="2">
        <v>-1</v>
      </c>
      <c r="J73" s="1"/>
    </row>
    <row r="74" spans="1:10" ht="14.25" x14ac:dyDescent="0.2">
      <c r="A74" s="2" t="s">
        <v>2135</v>
      </c>
      <c r="B74" s="12" t="str">
        <f>VLOOKUP(A74,INDEL位置信息!J:K,2,FALSE)</f>
        <v>纠后正确</v>
      </c>
      <c r="C74" s="2" t="s">
        <v>8513</v>
      </c>
      <c r="D74" s="2" t="s">
        <v>8445</v>
      </c>
      <c r="G74" s="1"/>
      <c r="J74" s="1"/>
    </row>
    <row r="75" spans="1:10" ht="14.25" x14ac:dyDescent="0.2">
      <c r="A75" s="2" t="s">
        <v>3338</v>
      </c>
      <c r="B75" s="12" t="str">
        <f>VLOOKUP(A75,INDEL位置信息!J:K,2,FALSE)</f>
        <v>纠后正确</v>
      </c>
      <c r="C75" s="2" t="s">
        <v>8514</v>
      </c>
      <c r="D75" s="2" t="s">
        <v>8445</v>
      </c>
      <c r="G75" s="1"/>
      <c r="J75" s="1"/>
    </row>
    <row r="76" spans="1:10" ht="14.25" x14ac:dyDescent="0.2">
      <c r="A76" s="2" t="s">
        <v>3339</v>
      </c>
      <c r="B76" s="12" t="str">
        <f>VLOOKUP(A76,INDEL位置信息!J:K,2,FALSE)</f>
        <v>纠后正确</v>
      </c>
      <c r="C76" s="2" t="s">
        <v>8515</v>
      </c>
      <c r="D76" s="2" t="s">
        <v>8445</v>
      </c>
      <c r="G76" s="1"/>
      <c r="J76" s="1"/>
    </row>
    <row r="77" spans="1:10" ht="14.25" x14ac:dyDescent="0.2">
      <c r="A77" s="2" t="s">
        <v>3386</v>
      </c>
      <c r="B77" s="12" t="str">
        <f>VLOOKUP(A77,INDEL位置信息!J:K,2,FALSE)</f>
        <v>纠后正确</v>
      </c>
      <c r="C77" s="2" t="s">
        <v>8516</v>
      </c>
      <c r="D77" s="2" t="s">
        <v>8445</v>
      </c>
      <c r="G77" s="1"/>
      <c r="J77" s="1"/>
    </row>
    <row r="78" spans="1:10" ht="14.25" x14ac:dyDescent="0.2">
      <c r="A78" s="2" t="s">
        <v>3361</v>
      </c>
      <c r="B78" s="12" t="str">
        <f>VLOOKUP(A78,INDEL位置信息!J:K,2,FALSE)</f>
        <v>纠后正确</v>
      </c>
      <c r="C78" s="2" t="s">
        <v>8517</v>
      </c>
      <c r="D78" s="2" t="s">
        <v>8445</v>
      </c>
      <c r="G78" s="1"/>
      <c r="J78" s="1"/>
    </row>
    <row r="79" spans="1:10" ht="14.25" x14ac:dyDescent="0.2">
      <c r="A79" s="2" t="s">
        <v>3365</v>
      </c>
      <c r="B79" s="12" t="str">
        <f>VLOOKUP(A79,INDEL位置信息!J:K,2,FALSE)</f>
        <v>纠后正确</v>
      </c>
      <c r="C79" s="2" t="s">
        <v>8518</v>
      </c>
      <c r="D79" s="2" t="s">
        <v>8445</v>
      </c>
      <c r="G79" s="1"/>
      <c r="J79" s="1"/>
    </row>
    <row r="80" spans="1:10" ht="14.25" x14ac:dyDescent="0.2">
      <c r="A80" s="2" t="s">
        <v>2181</v>
      </c>
      <c r="B80" s="12" t="str">
        <f>VLOOKUP(A80,INDEL位置信息!J:K,2,FALSE)</f>
        <v>纠后正确</v>
      </c>
      <c r="C80" s="2" t="s">
        <v>8519</v>
      </c>
      <c r="D80" s="2" t="s">
        <v>8445</v>
      </c>
      <c r="G80" s="1"/>
      <c r="J80" s="1"/>
    </row>
    <row r="81" spans="1:10" ht="14.25" x14ac:dyDescent="0.2">
      <c r="A81" s="2" t="s">
        <v>2182</v>
      </c>
      <c r="B81" s="12" t="str">
        <f>VLOOKUP(A81,INDEL位置信息!J:K,2,FALSE)</f>
        <v>纠后正确</v>
      </c>
      <c r="C81" s="2" t="s">
        <v>8520</v>
      </c>
      <c r="D81" s="2" t="s">
        <v>8445</v>
      </c>
      <c r="G81" s="1"/>
      <c r="J81" s="1"/>
    </row>
    <row r="82" spans="1:10" ht="14.25" x14ac:dyDescent="0.2">
      <c r="A82" s="2" t="s">
        <v>2183</v>
      </c>
      <c r="B82" s="12" t="str">
        <f>VLOOKUP(A82,INDEL位置信息!J:K,2,FALSE)</f>
        <v>纠后正确</v>
      </c>
      <c r="C82" s="2" t="s">
        <v>8521</v>
      </c>
      <c r="D82" s="2" t="s">
        <v>8445</v>
      </c>
      <c r="G82" s="1"/>
      <c r="J82" s="1"/>
    </row>
    <row r="83" spans="1:10" ht="14.25" x14ac:dyDescent="0.2">
      <c r="A83" s="2" t="s">
        <v>2129</v>
      </c>
      <c r="B83" s="12" t="str">
        <f>VLOOKUP(A83,INDEL位置信息!J:K,2,FALSE)</f>
        <v>纠后正确</v>
      </c>
      <c r="C83" s="2" t="s">
        <v>8522</v>
      </c>
      <c r="D83" s="2" t="s">
        <v>8445</v>
      </c>
      <c r="G83" s="1"/>
      <c r="J83" s="1"/>
    </row>
    <row r="84" spans="1:10" ht="14.25" x14ac:dyDescent="0.2">
      <c r="A84" s="2" t="s">
        <v>2130</v>
      </c>
      <c r="B84" s="12" t="str">
        <f>VLOOKUP(A84,INDEL位置信息!J:K,2,FALSE)</f>
        <v>纠后正确</v>
      </c>
      <c r="C84" s="2" t="s">
        <v>8523</v>
      </c>
      <c r="D84" s="2" t="s">
        <v>8445</v>
      </c>
      <c r="G84" s="1"/>
      <c r="J84" s="1"/>
    </row>
    <row r="85" spans="1:10" ht="14.25" x14ac:dyDescent="0.2">
      <c r="A85" s="2" t="s">
        <v>2288</v>
      </c>
      <c r="B85" s="12" t="str">
        <f>VLOOKUP(A85,INDEL位置信息!J:K,2,FALSE)</f>
        <v>纠后正确，加1个氨基酸chr19:50881825-50885859</v>
      </c>
      <c r="C85" s="2" t="s">
        <v>8524</v>
      </c>
      <c r="D85" s="2" t="s">
        <v>8445</v>
      </c>
      <c r="G85" s="1"/>
      <c r="J85" s="1"/>
    </row>
    <row r="86" spans="1:10" ht="14.25" x14ac:dyDescent="0.2">
      <c r="A86" s="2" t="s">
        <v>2098</v>
      </c>
      <c r="B86" s="12" t="str">
        <f>VLOOKUP(A86,INDEL位置信息!J:K,2,FALSE)</f>
        <v>纠后正确</v>
      </c>
      <c r="C86" s="2" t="s">
        <v>8525</v>
      </c>
      <c r="D86" s="2" t="s">
        <v>8445</v>
      </c>
      <c r="G86" s="1"/>
      <c r="J86" s="1"/>
    </row>
    <row r="87" spans="1:10" ht="14.25" x14ac:dyDescent="0.2">
      <c r="A87" s="2" t="s">
        <v>2158</v>
      </c>
      <c r="B87" s="12" t="str">
        <f>VLOOKUP(A87,INDEL位置信息!J:K,2,FALSE)</f>
        <v>纠后正确</v>
      </c>
      <c r="C87" s="2" t="s">
        <v>8526</v>
      </c>
      <c r="D87" s="2" t="s">
        <v>8445</v>
      </c>
      <c r="G87" s="1"/>
      <c r="J87" s="1"/>
    </row>
    <row r="88" spans="1:10" ht="14.25" x14ac:dyDescent="0.2">
      <c r="A88" s="2" t="s">
        <v>2140</v>
      </c>
      <c r="B88" s="12" t="str">
        <f>VLOOKUP(A88,INDEL位置信息!J:K,2,FALSE)</f>
        <v>纠后正确</v>
      </c>
      <c r="C88" s="2" t="s">
        <v>8527</v>
      </c>
      <c r="D88" s="2" t="s">
        <v>8445</v>
      </c>
      <c r="G88" s="1"/>
      <c r="J88" s="1"/>
    </row>
    <row r="89" spans="1:10" ht="14.25" x14ac:dyDescent="0.2">
      <c r="A89" s="2" t="s">
        <v>2254</v>
      </c>
      <c r="B89" s="12" t="str">
        <f>VLOOKUP(A89,INDEL位置信息!J:K,2,FALSE)</f>
        <v>纠后正确</v>
      </c>
      <c r="C89" s="2" t="s">
        <v>8528</v>
      </c>
      <c r="D89" s="2" t="s">
        <v>8445</v>
      </c>
      <c r="G89" s="1"/>
      <c r="J89" s="1"/>
    </row>
    <row r="90" spans="1:10" ht="14.25" x14ac:dyDescent="0.2">
      <c r="A90" s="2" t="s">
        <v>2240</v>
      </c>
      <c r="B90" s="12" t="str">
        <f>VLOOKUP(A90,INDEL位置信息!J:K,2,FALSE)</f>
        <v>纠后正确，加2个氨基酸chr4:3076663-3241786</v>
      </c>
      <c r="C90" s="2" t="s">
        <v>8529</v>
      </c>
      <c r="D90" s="2">
        <v>2</v>
      </c>
      <c r="G90" s="1"/>
      <c r="J90" s="1"/>
    </row>
    <row r="91" spans="1:10" ht="14.25" x14ac:dyDescent="0.2">
      <c r="A91" s="45" t="s">
        <v>2104</v>
      </c>
      <c r="B91" s="46" t="s">
        <v>8697</v>
      </c>
      <c r="C91" s="45" t="s">
        <v>8696</v>
      </c>
      <c r="D91" s="47" t="s">
        <v>8698</v>
      </c>
      <c r="G91" s="1"/>
      <c r="J91" s="1"/>
    </row>
    <row r="92" spans="1:10" ht="14.25" x14ac:dyDescent="0.2">
      <c r="A92" s="2" t="s">
        <v>2176</v>
      </c>
      <c r="B92" s="12" t="str">
        <f>VLOOKUP(A92,INDEL位置信息!J:K,2,FALSE)</f>
        <v>纠后正确</v>
      </c>
      <c r="C92" s="2" t="s">
        <v>8530</v>
      </c>
      <c r="D92" s="2" t="s">
        <v>8445</v>
      </c>
      <c r="G92" s="1"/>
      <c r="J92" s="1"/>
    </row>
    <row r="93" spans="1:10" ht="14.25" x14ac:dyDescent="0.2">
      <c r="A93" s="2" t="s">
        <v>2265</v>
      </c>
      <c r="B93" s="12" t="str">
        <f>VLOOKUP(A93,INDEL位置信息!J:K,2,FALSE)</f>
        <v>多出1828个氨基酸，但无法验证哪个正确，NCBIrs无氨基酸注释信息chr11:1092802-1104263</v>
      </c>
      <c r="C93" s="2" t="s">
        <v>8681</v>
      </c>
      <c r="D93" s="2">
        <v>1828</v>
      </c>
      <c r="G93" s="1"/>
      <c r="J93" s="1"/>
    </row>
    <row r="94" spans="1:10" ht="14.25" x14ac:dyDescent="0.2">
      <c r="A94" s="2" t="s">
        <v>2113</v>
      </c>
      <c r="B94" s="12" t="str">
        <f>VLOOKUP(A94,INDEL位置信息!J:K,2,FALSE)</f>
        <v>纠后正确</v>
      </c>
      <c r="C94" s="2" t="s">
        <v>8531</v>
      </c>
      <c r="D94" s="2" t="s">
        <v>8445</v>
      </c>
      <c r="G94" s="1"/>
      <c r="J94" s="1"/>
    </row>
    <row r="95" spans="1:10" ht="14.25" x14ac:dyDescent="0.2">
      <c r="A95" s="2" t="s">
        <v>2133</v>
      </c>
      <c r="B95" s="12" t="str">
        <f>VLOOKUP(A95,INDEL位置信息!J:K,2,FALSE)</f>
        <v>纠后正确</v>
      </c>
      <c r="C95" s="2" t="s">
        <v>8532</v>
      </c>
      <c r="D95" s="2" t="s">
        <v>8445</v>
      </c>
      <c r="G95" s="1"/>
      <c r="J95" s="1"/>
    </row>
    <row r="96" spans="1:10" ht="14.25" x14ac:dyDescent="0.2">
      <c r="A96" s="2" t="s">
        <v>3351</v>
      </c>
      <c r="B96" s="12" t="str">
        <f>VLOOKUP(A96,INDEL位置信息!J:K,2,FALSE)</f>
        <v>纠后正确</v>
      </c>
      <c r="C96" s="2" t="s">
        <v>8533</v>
      </c>
      <c r="D96" s="2" t="s">
        <v>8445</v>
      </c>
      <c r="G96" s="1"/>
      <c r="J96" s="1"/>
    </row>
    <row r="97" spans="1:10" ht="14.25" x14ac:dyDescent="0.2">
      <c r="A97" s="2" t="s">
        <v>2107</v>
      </c>
      <c r="B97" s="12" t="str">
        <f>VLOOKUP(A97,INDEL位置信息!J:K,2,FALSE)</f>
        <v>纠后正确</v>
      </c>
      <c r="C97" s="2" t="s">
        <v>8534</v>
      </c>
      <c r="D97" s="2" t="s">
        <v>8445</v>
      </c>
      <c r="G97" s="1"/>
      <c r="J97" s="1"/>
    </row>
    <row r="98" spans="1:10" ht="14.25" x14ac:dyDescent="0.2">
      <c r="A98" s="2" t="s">
        <v>2241</v>
      </c>
      <c r="B98" s="12" t="str">
        <f>VLOOKUP(A98,INDEL位置信息!J:K,2,FALSE)</f>
        <v>纠后正确，区间略有变化，加41个氨基酸chr4:76657491-76735366</v>
      </c>
      <c r="C98" s="2" t="s">
        <v>8535</v>
      </c>
      <c r="D98" s="2">
        <v>41</v>
      </c>
      <c r="G98" s="1"/>
      <c r="J98" s="1"/>
    </row>
    <row r="99" spans="1:10" ht="14.25" x14ac:dyDescent="0.2">
      <c r="A99" s="2" t="s">
        <v>3354</v>
      </c>
      <c r="B99" s="12" t="str">
        <f>VLOOKUP(A99,INDEL位置信息!J:K,2,FALSE)</f>
        <v>纠后正确，版本不一致，utr略有变化</v>
      </c>
      <c r="C99" s="2" t="s">
        <v>8536</v>
      </c>
      <c r="D99" s="2" t="s">
        <v>8445</v>
      </c>
      <c r="G99" s="1"/>
      <c r="J99" s="1"/>
    </row>
    <row r="100" spans="1:10" ht="14.25" x14ac:dyDescent="0.2">
      <c r="A100" s="2" t="s">
        <v>2174</v>
      </c>
      <c r="B100" s="12" t="str">
        <f>VLOOKUP(A100,INDEL位置信息!J:K,2,FALSE)</f>
        <v>纠后正确</v>
      </c>
      <c r="C100" s="2" t="s">
        <v>8537</v>
      </c>
      <c r="D100" s="2" t="s">
        <v>8445</v>
      </c>
      <c r="G100" s="1"/>
      <c r="J100" s="1"/>
    </row>
    <row r="101" spans="1:10" ht="14.25" x14ac:dyDescent="0.2">
      <c r="A101" s="2" t="s">
        <v>3304</v>
      </c>
      <c r="B101" s="12" t="str">
        <f>VLOOKUP(A101,INDEL位置信息!J:K,2,FALSE)</f>
        <v>纠后正确，少1个氨基酸chr10:102587349-102587376</v>
      </c>
      <c r="C101" s="2" t="s">
        <v>8538</v>
      </c>
      <c r="D101" s="2">
        <v>-1</v>
      </c>
      <c r="G101" s="1"/>
      <c r="J101" s="1"/>
    </row>
    <row r="102" spans="1:10" ht="14.25" x14ac:dyDescent="0.2">
      <c r="A102" s="2" t="s">
        <v>2263</v>
      </c>
      <c r="B102" s="12" t="str">
        <f>VLOOKUP(A102,INDEL位置信息!J:K,2,FALSE)</f>
        <v>纠后正确，少1个氨基酸chr10:102587349-102587376</v>
      </c>
      <c r="C102" s="2" t="s">
        <v>8539</v>
      </c>
      <c r="D102" s="2">
        <v>-1</v>
      </c>
      <c r="G102" s="1"/>
      <c r="J102" s="1"/>
    </row>
    <row r="103" spans="1:10" ht="14.25" x14ac:dyDescent="0.2">
      <c r="A103" s="2" t="s">
        <v>2262</v>
      </c>
      <c r="B103" s="12" t="str">
        <f>VLOOKUP(A103,INDEL位置信息!J:K,2,FALSE)</f>
        <v>纠后正确，少1个氨基酸chr10:102587349-102587376</v>
      </c>
      <c r="C103" s="2" t="s">
        <v>8540</v>
      </c>
      <c r="D103" s="2">
        <v>-1</v>
      </c>
      <c r="G103" s="1"/>
      <c r="J103" s="1"/>
    </row>
    <row r="104" spans="1:10" ht="14.25" x14ac:dyDescent="0.2">
      <c r="A104" s="2" t="s">
        <v>2128</v>
      </c>
      <c r="B104" s="12" t="str">
        <f>VLOOKUP(A104,INDEL位置信息!J:K,2,FALSE)</f>
        <v>纠后正确，chr8:145736816终止</v>
      </c>
      <c r="C104" s="2" t="s">
        <v>8541</v>
      </c>
      <c r="D104" s="2" t="s">
        <v>8445</v>
      </c>
      <c r="G104" s="1"/>
      <c r="J104" s="1"/>
    </row>
    <row r="105" spans="1:10" ht="14.25" x14ac:dyDescent="0.2">
      <c r="A105" s="2" t="s">
        <v>2167</v>
      </c>
      <c r="B105" s="12" t="str">
        <f>VLOOKUP(A105,INDEL位置信息!J:K,2,FALSE)</f>
        <v>纠后正确</v>
      </c>
      <c r="C105" s="2" t="s">
        <v>8542</v>
      </c>
      <c r="D105" s="2" t="s">
        <v>8445</v>
      </c>
      <c r="G105" s="1"/>
      <c r="J105" s="1"/>
    </row>
    <row r="106" spans="1:10" ht="14.25" x14ac:dyDescent="0.2">
      <c r="A106" s="2" t="s">
        <v>2194</v>
      </c>
      <c r="B106" s="12" t="str">
        <f>VLOOKUP(A106,INDEL位置信息!J:K,2,FALSE)</f>
        <v>纠后正确</v>
      </c>
      <c r="C106" s="2" t="s">
        <v>8543</v>
      </c>
      <c r="D106" s="2" t="s">
        <v>8445</v>
      </c>
      <c r="G106" s="1"/>
      <c r="J106" s="1"/>
    </row>
    <row r="107" spans="1:10" ht="14.25" x14ac:dyDescent="0.2">
      <c r="A107" s="2" t="s">
        <v>2192</v>
      </c>
      <c r="B107" s="12" t="str">
        <f>VLOOKUP(A107,INDEL位置信息!J:K,2,FALSE)</f>
        <v>纠后正确</v>
      </c>
      <c r="C107" s="2" t="s">
        <v>8544</v>
      </c>
      <c r="D107" s="2" t="s">
        <v>8445</v>
      </c>
      <c r="G107" s="1"/>
      <c r="J107" s="1"/>
    </row>
    <row r="108" spans="1:10" ht="14.25" x14ac:dyDescent="0.2">
      <c r="A108" s="45" t="s">
        <v>2164</v>
      </c>
      <c r="B108" s="46" t="str">
        <f>VLOOKUP(A108,INDEL位置信息!J:K,2,FALSE)</f>
        <v>纠后正确</v>
      </c>
      <c r="C108" s="45" t="s">
        <v>8545</v>
      </c>
      <c r="D108" s="45" t="s">
        <v>8695</v>
      </c>
      <c r="G108" s="1"/>
      <c r="J108" s="1"/>
    </row>
    <row r="109" spans="1:10" ht="14.25" x14ac:dyDescent="0.2">
      <c r="A109" s="2" t="s">
        <v>2276</v>
      </c>
      <c r="B109" s="12" t="str">
        <f>VLOOKUP(A109,INDEL位置信息!J:K,2,FALSE)</f>
        <v>纠后正确，加1个氨基酸chr14:24646414-24649301</v>
      </c>
      <c r="C109" s="2" t="s">
        <v>8546</v>
      </c>
      <c r="D109" s="2">
        <v>1</v>
      </c>
      <c r="G109" s="1"/>
      <c r="J109" s="1"/>
    </row>
    <row r="110" spans="1:10" ht="14.25" x14ac:dyDescent="0.2">
      <c r="A110" s="2" t="s">
        <v>2125</v>
      </c>
      <c r="B110" s="12" t="str">
        <f>VLOOKUP(A110,INDEL位置信息!J:K,2,FALSE)</f>
        <v>纠后正确</v>
      </c>
      <c r="C110" s="2" t="s">
        <v>8547</v>
      </c>
      <c r="D110" s="2" t="s">
        <v>8445</v>
      </c>
      <c r="G110" s="1"/>
      <c r="J110" s="1"/>
    </row>
    <row r="111" spans="1:10" ht="14.25" x14ac:dyDescent="0.2">
      <c r="A111" s="2" t="s">
        <v>2201</v>
      </c>
      <c r="B111" s="12" t="str">
        <f>VLOOKUP(A111,INDEL位置信息!J:K,2,FALSE)</f>
        <v>纠后正确</v>
      </c>
      <c r="C111" s="2" t="s">
        <v>8548</v>
      </c>
      <c r="D111" s="2" t="s">
        <v>8445</v>
      </c>
      <c r="G111" s="1"/>
      <c r="J111" s="1"/>
    </row>
    <row r="112" spans="1:10" ht="14.25" x14ac:dyDescent="0.2">
      <c r="A112" s="45" t="s">
        <v>8709</v>
      </c>
      <c r="B112" s="46" t="str">
        <f>VLOOKUP(A112,INDEL位置信息!J:K,2,FALSE)</f>
        <v>纠后正确，utr略有变化，版本不一致</v>
      </c>
      <c r="C112" s="45" t="s">
        <v>8682</v>
      </c>
      <c r="D112" s="45" t="s">
        <v>8731</v>
      </c>
      <c r="G112" s="1"/>
      <c r="J112" s="1"/>
    </row>
    <row r="113" spans="1:10" ht="14.25" x14ac:dyDescent="0.2">
      <c r="A113" s="2" t="s">
        <v>2197</v>
      </c>
      <c r="B113" s="12" t="str">
        <f>VLOOKUP(A113,INDEL位置信息!J:K,2,FALSE)</f>
        <v>纠后正确</v>
      </c>
      <c r="C113" s="2" t="s">
        <v>8549</v>
      </c>
      <c r="D113" s="2" t="s">
        <v>8445</v>
      </c>
      <c r="G113" s="1"/>
      <c r="J113" s="1"/>
    </row>
    <row r="114" spans="1:10" ht="14.25" x14ac:dyDescent="0.2">
      <c r="A114" s="2" t="s">
        <v>2141</v>
      </c>
      <c r="B114" s="12" t="str">
        <f>VLOOKUP(A114,INDEL位置信息!J:K,2,FALSE)</f>
        <v>纠后正确</v>
      </c>
      <c r="C114" s="2" t="s">
        <v>8550</v>
      </c>
      <c r="D114" s="2" t="s">
        <v>8445</v>
      </c>
      <c r="G114" s="1"/>
      <c r="J114" s="1"/>
    </row>
    <row r="115" spans="1:10" ht="14.25" x14ac:dyDescent="0.2">
      <c r="A115" s="2" t="s">
        <v>2177</v>
      </c>
      <c r="B115" s="12" t="str">
        <f>VLOOKUP(A115,INDEL位置信息!J:K,2,FALSE)</f>
        <v>纠后正确，utr略有变化，版本不一致</v>
      </c>
      <c r="C115" s="2" t="s">
        <v>8551</v>
      </c>
      <c r="D115" s="2" t="s">
        <v>8445</v>
      </c>
      <c r="G115" s="1"/>
      <c r="J115" s="1"/>
    </row>
    <row r="116" spans="1:10" ht="14.25" x14ac:dyDescent="0.2">
      <c r="A116" s="2" t="s">
        <v>2190</v>
      </c>
      <c r="B116" s="12" t="str">
        <f>VLOOKUP(A116,INDEL位置信息!J:K,2,FALSE)</f>
        <v>纠后正确</v>
      </c>
      <c r="C116" s="2" t="s">
        <v>8552</v>
      </c>
      <c r="D116" s="2" t="s">
        <v>8445</v>
      </c>
      <c r="G116" s="1"/>
      <c r="J116" s="1"/>
    </row>
    <row r="117" spans="1:10" ht="14.25" x14ac:dyDescent="0.2">
      <c r="A117" s="2" t="s">
        <v>3367</v>
      </c>
      <c r="B117" s="12" t="str">
        <f>VLOOKUP(A117,INDEL位置信息!J:K,2,FALSE)</f>
        <v>纠后正确</v>
      </c>
      <c r="C117" s="2" t="s">
        <v>8553</v>
      </c>
      <c r="D117" s="2" t="s">
        <v>8445</v>
      </c>
      <c r="G117" s="1"/>
      <c r="J117" s="1"/>
    </row>
    <row r="118" spans="1:10" ht="14.25" x14ac:dyDescent="0.2">
      <c r="A118" s="45" t="s">
        <v>2168</v>
      </c>
      <c r="B118" s="46" t="str">
        <f>VLOOKUP(A118,INDEL位置信息!J:K,2,FALSE)</f>
        <v>纠后正确，utr略有变化，版本不一致</v>
      </c>
      <c r="C118" s="45" t="s">
        <v>8699</v>
      </c>
      <c r="D118" s="45" t="s">
        <v>8732</v>
      </c>
      <c r="G118" s="1"/>
      <c r="J118" s="1"/>
    </row>
    <row r="119" spans="1:10" ht="14.25" x14ac:dyDescent="0.2">
      <c r="A119" s="2" t="s">
        <v>2127</v>
      </c>
      <c r="B119" s="12" t="str">
        <f>VLOOKUP(A119,INDEL位置信息!J:K,2,FALSE)</f>
        <v>纠后正确</v>
      </c>
      <c r="C119" s="2" t="s">
        <v>8554</v>
      </c>
      <c r="D119" s="2" t="s">
        <v>8445</v>
      </c>
      <c r="G119" s="1"/>
      <c r="J119" s="1"/>
    </row>
    <row r="120" spans="1:10" ht="14.25" x14ac:dyDescent="0.2">
      <c r="A120" s="2" t="s">
        <v>2287</v>
      </c>
      <c r="B120" s="12" t="str">
        <f>VLOOKUP(A120,INDEL位置信息!J:K,2,FALSE)</f>
        <v>纠后正确，加1个氨基酸chr19:50881825-50885859</v>
      </c>
      <c r="C120" s="2" t="s">
        <v>8555</v>
      </c>
      <c r="D120" s="2">
        <v>1</v>
      </c>
      <c r="G120" s="1"/>
      <c r="J120" s="1"/>
    </row>
    <row r="121" spans="1:10" ht="14.25" x14ac:dyDescent="0.2">
      <c r="A121" s="2" t="s">
        <v>2150</v>
      </c>
      <c r="B121" s="12" t="str">
        <f>VLOOKUP(A121,INDEL位置信息!J:K,2,FALSE)</f>
        <v>纠后正确</v>
      </c>
      <c r="C121" s="2" t="s">
        <v>8556</v>
      </c>
      <c r="D121" s="2" t="s">
        <v>8445</v>
      </c>
      <c r="G121" s="1"/>
      <c r="J121" s="1"/>
    </row>
    <row r="122" spans="1:10" ht="14.25" x14ac:dyDescent="0.2">
      <c r="A122" s="2" t="s">
        <v>2090</v>
      </c>
      <c r="B122" s="12" t="str">
        <f>VLOOKUP(A122,INDEL位置信息!J:K,2,FALSE)</f>
        <v>纠后正确</v>
      </c>
      <c r="C122" s="2" t="s">
        <v>8557</v>
      </c>
      <c r="D122" s="2" t="s">
        <v>8445</v>
      </c>
      <c r="G122" s="1"/>
      <c r="J122" s="1"/>
    </row>
    <row r="123" spans="1:10" ht="14.25" x14ac:dyDescent="0.2">
      <c r="A123" s="2" t="s">
        <v>2249</v>
      </c>
      <c r="B123" s="12" t="str">
        <f>VLOOKUP(A123,INDEL位置信息!J:K,2,FALSE)</f>
        <v>纠后正确，区间略有变化，加433个氨基酸chr7:130146517-130287359</v>
      </c>
      <c r="C123" s="2" t="s">
        <v>8558</v>
      </c>
      <c r="D123" s="2">
        <v>433</v>
      </c>
      <c r="G123" s="1"/>
      <c r="J123" s="1"/>
    </row>
    <row r="124" spans="1:10" ht="14.25" x14ac:dyDescent="0.2">
      <c r="A124" s="2" t="s">
        <v>3359</v>
      </c>
      <c r="B124" s="12" t="str">
        <f>VLOOKUP(A124,INDEL位置信息!J:K,2,FALSE)</f>
        <v>纠后正确，区间略有变化</v>
      </c>
      <c r="C124" s="2" t="s">
        <v>8559</v>
      </c>
      <c r="D124" s="2" t="s">
        <v>8445</v>
      </c>
      <c r="G124" s="1"/>
      <c r="J124" s="1"/>
    </row>
    <row r="125" spans="1:10" ht="14.25" x14ac:dyDescent="0.2">
      <c r="A125" s="45" t="s">
        <v>2170</v>
      </c>
      <c r="B125" s="46" t="s">
        <v>8701</v>
      </c>
      <c r="C125" s="45" t="s">
        <v>8700</v>
      </c>
      <c r="D125" s="47" t="s">
        <v>8698</v>
      </c>
      <c r="G125" s="1"/>
      <c r="J125" s="1"/>
    </row>
    <row r="126" spans="1:10" ht="14.25" x14ac:dyDescent="0.2">
      <c r="A126" s="2" t="s">
        <v>2175</v>
      </c>
      <c r="B126" s="12" t="str">
        <f>VLOOKUP(A126,INDEL位置信息!J:K,2,FALSE)</f>
        <v>纠后正确</v>
      </c>
      <c r="C126" s="2" t="s">
        <v>8560</v>
      </c>
      <c r="D126" s="2" t="s">
        <v>8445</v>
      </c>
      <c r="G126" s="1"/>
      <c r="J126" s="1"/>
    </row>
    <row r="127" spans="1:10" ht="14.25" x14ac:dyDescent="0.2">
      <c r="A127" s="2" t="s">
        <v>2203</v>
      </c>
      <c r="B127" s="12" t="str">
        <f>VLOOKUP(A127,INDEL位置信息!J:K,2,FALSE)</f>
        <v>纠后正确</v>
      </c>
      <c r="C127" s="2" t="s">
        <v>8561</v>
      </c>
      <c r="D127" s="2" t="s">
        <v>8445</v>
      </c>
      <c r="G127" s="1"/>
      <c r="J127" s="1"/>
    </row>
    <row r="128" spans="1:10" ht="14.25" x14ac:dyDescent="0.2">
      <c r="A128" s="45" t="s">
        <v>2184</v>
      </c>
      <c r="B128" s="46" t="str">
        <f>VLOOKUP(A128,INDEL位置信息!J:K,2,FALSE)</f>
        <v>纠后正确，utr略有变化，版本不一致</v>
      </c>
      <c r="C128" s="45" t="s">
        <v>8702</v>
      </c>
      <c r="D128" s="45" t="s">
        <v>8732</v>
      </c>
      <c r="G128" s="1"/>
      <c r="J128" s="1"/>
    </row>
    <row r="129" spans="1:10" ht="14.25" x14ac:dyDescent="0.2">
      <c r="A129" s="2" t="s">
        <v>2173</v>
      </c>
      <c r="B129" s="12" t="str">
        <f>VLOOKUP(A129,INDEL位置信息!J:K,2,FALSE)</f>
        <v>纠后正确</v>
      </c>
      <c r="C129" s="2" t="s">
        <v>8562</v>
      </c>
      <c r="D129" s="2" t="s">
        <v>8445</v>
      </c>
      <c r="G129" s="1"/>
      <c r="J129" s="1"/>
    </row>
    <row r="130" spans="1:10" ht="14.25" x14ac:dyDescent="0.2">
      <c r="A130" s="2" t="s">
        <v>2154</v>
      </c>
      <c r="B130" s="12" t="str">
        <f>VLOOKUP(A130,INDEL位置信息!J:K,2,FALSE)</f>
        <v>纠后正确</v>
      </c>
      <c r="C130" s="2" t="s">
        <v>8563</v>
      </c>
      <c r="D130" s="2" t="s">
        <v>8445</v>
      </c>
      <c r="G130" s="1"/>
      <c r="J130" s="1"/>
    </row>
    <row r="131" spans="1:10" ht="14.25" x14ac:dyDescent="0.2">
      <c r="A131" s="2" t="s">
        <v>2235</v>
      </c>
      <c r="B131" s="12" t="str">
        <f>VLOOKUP(A131,INDEL位置信息!J:K,2,FALSE)</f>
        <v>纠后正确，加53个氨基酸chr3:51436200-51467663</v>
      </c>
      <c r="C131" s="2" t="s">
        <v>8564</v>
      </c>
      <c r="D131" s="2">
        <v>53</v>
      </c>
      <c r="G131" s="1"/>
      <c r="J131" s="1"/>
    </row>
    <row r="132" spans="1:10" ht="14.25" x14ac:dyDescent="0.2">
      <c r="A132" s="2" t="s">
        <v>2155</v>
      </c>
      <c r="B132" s="12" t="str">
        <f>VLOOKUP(A132,INDEL位置信息!J:K,2,FALSE)</f>
        <v>纠后正确</v>
      </c>
      <c r="C132" s="2" t="s">
        <v>8565</v>
      </c>
      <c r="D132" s="2" t="s">
        <v>8445</v>
      </c>
      <c r="G132" s="1"/>
      <c r="J132" s="1"/>
    </row>
    <row r="133" spans="1:10" ht="14.25" x14ac:dyDescent="0.2">
      <c r="A133" s="2" t="s">
        <v>2245</v>
      </c>
      <c r="B133" s="12" t="str">
        <f>VLOOKUP(A133,INDEL位置信息!J:K,2,FALSE)</f>
        <v>纠后正确</v>
      </c>
      <c r="C133" s="2" t="s">
        <v>8566</v>
      </c>
      <c r="D133" s="2" t="s">
        <v>8445</v>
      </c>
      <c r="G133" s="1"/>
      <c r="J133" s="1"/>
    </row>
    <row r="134" spans="1:10" ht="14.25" x14ac:dyDescent="0.2">
      <c r="A134" s="2" t="s">
        <v>3385</v>
      </c>
      <c r="B134" s="12" t="str">
        <f>VLOOKUP(A134,INDEL位置信息!J:K,2,FALSE)</f>
        <v>纠后正确，版本不一致，utr略有变化</v>
      </c>
      <c r="C134" s="2" t="s">
        <v>8567</v>
      </c>
      <c r="D134" s="2" t="s">
        <v>8445</v>
      </c>
      <c r="G134" s="1"/>
      <c r="J134" s="1"/>
    </row>
    <row r="135" spans="1:10" ht="14.25" x14ac:dyDescent="0.2">
      <c r="A135" s="2" t="s">
        <v>2227</v>
      </c>
      <c r="B135" s="12" t="str">
        <f>VLOOKUP(A135,INDEL位置信息!J:K,2,FALSE)</f>
        <v>纠后正确，加1个氨基酸chr2:73613074-73836739</v>
      </c>
      <c r="C135" s="2" t="s">
        <v>8568</v>
      </c>
      <c r="D135" s="2">
        <v>1</v>
      </c>
      <c r="G135" s="1"/>
      <c r="J135" s="1"/>
    </row>
    <row r="136" spans="1:10" ht="14.25" x14ac:dyDescent="0.2">
      <c r="A136" s="2" t="s">
        <v>2146</v>
      </c>
      <c r="B136" s="12" t="str">
        <f>VLOOKUP(A136,INDEL位置信息!J:K,2,FALSE)</f>
        <v>纠后正确</v>
      </c>
      <c r="C136" s="2" t="s">
        <v>8569</v>
      </c>
      <c r="D136" s="2" t="s">
        <v>8445</v>
      </c>
      <c r="G136" s="1"/>
      <c r="J136" s="1"/>
    </row>
    <row r="137" spans="1:10" ht="14.25" x14ac:dyDescent="0.2">
      <c r="A137" s="2" t="s">
        <v>2189</v>
      </c>
      <c r="B137" s="12" t="str">
        <f>VLOOKUP(A137,INDEL位置信息!J:K,2,FALSE)</f>
        <v>纠后正确,utr略有变化</v>
      </c>
      <c r="C137" s="2" t="s">
        <v>8570</v>
      </c>
      <c r="D137" s="2" t="s">
        <v>8445</v>
      </c>
      <c r="G137" s="1"/>
      <c r="J137" s="1"/>
    </row>
    <row r="138" spans="1:10" ht="14.25" x14ac:dyDescent="0.2">
      <c r="A138" s="45" t="s">
        <v>2191</v>
      </c>
      <c r="B138" s="46" t="str">
        <f>VLOOKUP(A138,INDEL位置信息!J:K,2,FALSE)</f>
        <v>纠后正确，utr略有变化，版本不一致</v>
      </c>
      <c r="C138" s="45" t="s">
        <v>8703</v>
      </c>
      <c r="D138" s="45" t="s">
        <v>8732</v>
      </c>
      <c r="G138" s="1"/>
      <c r="J138" s="1"/>
    </row>
    <row r="139" spans="1:10" ht="14.25" x14ac:dyDescent="0.2">
      <c r="A139" s="2" t="s">
        <v>2134</v>
      </c>
      <c r="B139" s="12" t="str">
        <f>VLOOKUP(A139,INDEL位置信息!J:K,2,FALSE)</f>
        <v>纠后正确</v>
      </c>
      <c r="C139" s="2" t="s">
        <v>8571</v>
      </c>
      <c r="D139" s="2" t="s">
        <v>8445</v>
      </c>
      <c r="G139" s="1"/>
      <c r="J139" s="1"/>
    </row>
    <row r="140" spans="1:10" ht="14.25" x14ac:dyDescent="0.2">
      <c r="A140" s="45" t="s">
        <v>2208</v>
      </c>
      <c r="B140" s="46" t="str">
        <f>VLOOKUP(A140,INDEL位置信息!J:K,2,FALSE)</f>
        <v>纠后正确，utr略有变化，版本不一致</v>
      </c>
      <c r="C140" s="45" t="s">
        <v>8572</v>
      </c>
      <c r="D140" s="45" t="s">
        <v>8731</v>
      </c>
      <c r="G140" s="1"/>
      <c r="J140" s="1"/>
    </row>
    <row r="141" spans="1:10" ht="14.25" x14ac:dyDescent="0.2">
      <c r="A141" s="45" t="s">
        <v>2209</v>
      </c>
      <c r="B141" s="46" t="str">
        <f>VLOOKUP(A141,INDEL位置信息!J:K,2,FALSE)</f>
        <v>纠后正确，utr略有变化，版本不一致</v>
      </c>
      <c r="C141" s="45" t="s">
        <v>8573</v>
      </c>
      <c r="D141" s="45" t="s">
        <v>8732</v>
      </c>
      <c r="G141" s="1"/>
      <c r="J141" s="1"/>
    </row>
    <row r="142" spans="1:10" ht="14.25" x14ac:dyDescent="0.2">
      <c r="A142" s="45" t="s">
        <v>8734</v>
      </c>
      <c r="B142" s="46" t="str">
        <f>VLOOKUP(A142,INDEL位置信息!J:K,2,FALSE)</f>
        <v>纠后正确，utr略有变化，版本不一致</v>
      </c>
      <c r="C142" s="45" t="s">
        <v>8733</v>
      </c>
      <c r="D142" s="45" t="s">
        <v>8731</v>
      </c>
      <c r="G142" s="1"/>
      <c r="J142" s="1"/>
    </row>
    <row r="143" spans="1:10" ht="14.25" x14ac:dyDescent="0.2">
      <c r="A143" s="2" t="s">
        <v>2089</v>
      </c>
      <c r="B143" s="12" t="str">
        <f>VLOOKUP(A143,INDEL位置信息!J:K,2,FALSE)</f>
        <v>纠后正确</v>
      </c>
      <c r="C143" s="2" t="s">
        <v>8574</v>
      </c>
      <c r="D143" s="2" t="s">
        <v>8445</v>
      </c>
      <c r="G143" s="1"/>
      <c r="J143" s="1"/>
    </row>
    <row r="144" spans="1:10" ht="14.25" x14ac:dyDescent="0.2">
      <c r="A144" s="2" t="s">
        <v>2088</v>
      </c>
      <c r="B144" s="12" t="str">
        <f>VLOOKUP(A144,INDEL位置信息!J:K,2,FALSE)</f>
        <v>纠后正确</v>
      </c>
      <c r="C144" s="2" t="s">
        <v>8575</v>
      </c>
      <c r="D144" s="2" t="s">
        <v>8445</v>
      </c>
      <c r="G144" s="1"/>
      <c r="J144" s="1"/>
    </row>
    <row r="145" spans="1:10" ht="14.25" x14ac:dyDescent="0.2">
      <c r="A145" s="2" t="s">
        <v>3392</v>
      </c>
      <c r="B145" s="12" t="str">
        <f>VLOOKUP(A145,INDEL位置信息!J:K,2,FALSE)</f>
        <v>纠后正确</v>
      </c>
      <c r="C145" s="2" t="s">
        <v>8576</v>
      </c>
      <c r="D145" s="2" t="s">
        <v>8445</v>
      </c>
      <c r="G145" s="1"/>
      <c r="J145" s="1"/>
    </row>
    <row r="146" spans="1:10" ht="14.25" x14ac:dyDescent="0.2">
      <c r="A146" s="2" t="s">
        <v>2270</v>
      </c>
      <c r="B146" s="12" t="str">
        <f>VLOOKUP(A146,INDEL位置信息!J:K,2,FALSE)</f>
        <v>纠后正确，少1个氨基酸chr12:9994450-9997125</v>
      </c>
      <c r="C146" s="2" t="s">
        <v>8577</v>
      </c>
      <c r="D146" s="2">
        <v>-1</v>
      </c>
      <c r="G146" s="1"/>
      <c r="J146" s="1"/>
    </row>
    <row r="147" spans="1:10" ht="14.25" x14ac:dyDescent="0.2">
      <c r="A147" s="2" t="s">
        <v>2112</v>
      </c>
      <c r="B147" s="12" t="str">
        <f>VLOOKUP(A147,INDEL位置信息!J:K,2,FALSE)</f>
        <v>纠后正确</v>
      </c>
      <c r="C147" s="2" t="s">
        <v>8578</v>
      </c>
      <c r="D147" s="2" t="s">
        <v>8445</v>
      </c>
      <c r="G147" s="1"/>
      <c r="J147" s="1"/>
    </row>
    <row r="148" spans="1:10" ht="14.25" x14ac:dyDescent="0.2">
      <c r="A148" s="2" t="s">
        <v>2260</v>
      </c>
      <c r="B148" s="12" t="str">
        <f>VLOOKUP(A148,INDEL位置信息!J:K,2,FALSE)</f>
        <v>纠后正确，少1个氨基酸chr9：95227244-95237086</v>
      </c>
      <c r="C148" s="2" t="s">
        <v>8579</v>
      </c>
      <c r="D148" s="2">
        <v>-1</v>
      </c>
      <c r="G148" s="1"/>
      <c r="J148" s="1"/>
    </row>
    <row r="149" spans="1:10" ht="14.25" x14ac:dyDescent="0.2">
      <c r="A149" s="2" t="s">
        <v>7735</v>
      </c>
      <c r="B149" s="12" t="str">
        <f>VLOOKUP(A149,INDEL位置信息!I:K,3,FALSE)</f>
        <v>纠后增加92个氨基酸（版本不一致，区间略有变化）,rs号无信息chr1:16890439-16892303</v>
      </c>
      <c r="C149" s="2" t="s">
        <v>8580</v>
      </c>
      <c r="D149" s="2">
        <v>92</v>
      </c>
      <c r="G149" s="1"/>
      <c r="J149" s="1"/>
    </row>
    <row r="150" spans="1:10" ht="14.25" x14ac:dyDescent="0.2">
      <c r="A150" s="2" t="s">
        <v>2236</v>
      </c>
      <c r="B150" s="12" t="str">
        <f>VLOOKUP(A150,INDEL位置信息!J:K,2,FALSE)</f>
        <v>纠后正确，少2个氨基酸chr3:53321601-53324874</v>
      </c>
      <c r="C150" s="2" t="s">
        <v>8581</v>
      </c>
      <c r="D150" s="2">
        <v>-2</v>
      </c>
      <c r="G150" s="1"/>
      <c r="J150" s="1"/>
    </row>
    <row r="151" spans="1:10" ht="14.25" x14ac:dyDescent="0.2">
      <c r="A151" s="2" t="s">
        <v>2124</v>
      </c>
      <c r="B151" s="12" t="str">
        <f>VLOOKUP(A151,INDEL位置信息!J:K,2,FALSE)</f>
        <v>纠后正确</v>
      </c>
      <c r="C151" s="2" t="s">
        <v>8582</v>
      </c>
      <c r="D151" s="2" t="s">
        <v>8445</v>
      </c>
      <c r="G151" s="1"/>
      <c r="J151" s="1"/>
    </row>
    <row r="152" spans="1:10" ht="14.25" x14ac:dyDescent="0.2">
      <c r="A152" s="2" t="s">
        <v>3372</v>
      </c>
      <c r="B152" s="12" t="str">
        <f>VLOOKUP(A152,INDEL位置信息!J:K,2,FALSE)</f>
        <v>纠后正确</v>
      </c>
      <c r="C152" s="2" t="s">
        <v>8583</v>
      </c>
      <c r="D152" s="2" t="s">
        <v>8445</v>
      </c>
      <c r="G152" s="1"/>
      <c r="J152" s="1"/>
    </row>
    <row r="153" spans="1:10" ht="14.25" x14ac:dyDescent="0.2">
      <c r="A153" s="2" t="s">
        <v>2242</v>
      </c>
      <c r="B153" s="12" t="str">
        <f>VLOOKUP(A153,INDEL位置信息!J:K,2,FALSE)</f>
        <v>纠后正确，少4-6个氨基酸chr4:140640477-140811555</v>
      </c>
      <c r="C153" s="2" t="s">
        <v>8584</v>
      </c>
      <c r="D153" s="2" t="s">
        <v>8585</v>
      </c>
      <c r="G153" s="1"/>
      <c r="J153" s="1"/>
    </row>
    <row r="154" spans="1:10" ht="14.25" x14ac:dyDescent="0.2">
      <c r="A154" s="45" t="s">
        <v>2187</v>
      </c>
      <c r="B154" s="46" t="s">
        <v>8704</v>
      </c>
      <c r="C154" s="45" t="s">
        <v>8705</v>
      </c>
      <c r="D154" s="47" t="s">
        <v>8706</v>
      </c>
      <c r="G154" s="1"/>
      <c r="J154" s="1"/>
    </row>
    <row r="155" spans="1:10" ht="14.25" x14ac:dyDescent="0.2">
      <c r="A155" s="2" t="s">
        <v>2131</v>
      </c>
      <c r="B155" s="12" t="str">
        <f>VLOOKUP(A155,INDEL位置信息!J:K,2,FALSE)</f>
        <v>纠后正确</v>
      </c>
      <c r="C155" s="2" t="s">
        <v>8586</v>
      </c>
      <c r="D155" s="2" t="s">
        <v>8445</v>
      </c>
      <c r="G155" s="1"/>
      <c r="J155" s="1"/>
    </row>
    <row r="156" spans="1:10" ht="14.25" x14ac:dyDescent="0.2">
      <c r="A156" s="2" t="s">
        <v>2073</v>
      </c>
      <c r="B156" s="12" t="str">
        <f>VLOOKUP(A156,INDEL位置信息!J:K,2,FALSE)</f>
        <v>纠后正确</v>
      </c>
      <c r="C156" s="2" t="s">
        <v>8587</v>
      </c>
      <c r="D156" s="2" t="s">
        <v>8445</v>
      </c>
      <c r="G156" s="1"/>
      <c r="J156" s="1"/>
    </row>
    <row r="157" spans="1:10" ht="14.25" x14ac:dyDescent="0.2">
      <c r="A157" s="2" t="s">
        <v>2246</v>
      </c>
      <c r="B157" s="12" t="str">
        <f>VLOOKUP(A157,INDEL位置信息!J:K,2,FALSE)</f>
        <v>多82个氨基酸，但无法验证哪个正确，NCBIrs无氨基酸注释信息chr7:101957639-101962097</v>
      </c>
      <c r="C157" s="2" t="s">
        <v>8588</v>
      </c>
      <c r="D157" s="2">
        <v>82</v>
      </c>
      <c r="G157" s="1"/>
      <c r="J157" s="1"/>
    </row>
    <row r="158" spans="1:10" ht="14.25" x14ac:dyDescent="0.2">
      <c r="A158" s="2" t="s">
        <v>2229</v>
      </c>
      <c r="B158" s="12" t="str">
        <f>VLOOKUP(A158,INDEL位置信息!J:K,2,FALSE)</f>
        <v>纠后正确，少1个氨基酸，chr2：95847047-95847854</v>
      </c>
      <c r="C158" s="2" t="s">
        <v>8589</v>
      </c>
      <c r="D158" s="2">
        <v>-1</v>
      </c>
      <c r="G158" s="1"/>
      <c r="J158" s="1"/>
    </row>
    <row r="159" spans="1:10" ht="14.25" x14ac:dyDescent="0.2">
      <c r="A159" s="2" t="s">
        <v>2121</v>
      </c>
      <c r="B159" s="12" t="str">
        <f>VLOOKUP(A159,INDEL位置信息!J:K,2,FALSE)</f>
        <v>纠后正确</v>
      </c>
      <c r="C159" s="2" t="s">
        <v>8590</v>
      </c>
      <c r="D159" s="2" t="s">
        <v>8445</v>
      </c>
      <c r="G159" s="1"/>
      <c r="J159" s="1"/>
    </row>
    <row r="160" spans="1:10" ht="14.25" x14ac:dyDescent="0.2">
      <c r="A160" s="2" t="s">
        <v>2205</v>
      </c>
      <c r="B160" s="12" t="str">
        <f>VLOOKUP(A160,INDEL位置信息!J:K,2,FALSE)</f>
        <v>纠后正确</v>
      </c>
      <c r="C160" s="2" t="s">
        <v>8591</v>
      </c>
      <c r="D160" s="2" t="s">
        <v>8445</v>
      </c>
      <c r="G160" s="1"/>
      <c r="J160" s="1"/>
    </row>
    <row r="161" spans="1:10" ht="14.25" x14ac:dyDescent="0.2">
      <c r="A161" s="2" t="s">
        <v>2251</v>
      </c>
      <c r="B161" s="12" t="str">
        <f>VLOOKUP(A161,INDEL位置信息!J:K,2,FALSE)</f>
        <v>多321个氨基酸，但rs号是多350个chr7:139257673-139316492</v>
      </c>
      <c r="C161" s="2" t="s">
        <v>8592</v>
      </c>
      <c r="D161" s="2">
        <v>321</v>
      </c>
      <c r="G161" s="1"/>
      <c r="J161" s="1"/>
    </row>
    <row r="162" spans="1:10" ht="14.25" x14ac:dyDescent="0.2">
      <c r="A162" s="2" t="s">
        <v>2149</v>
      </c>
      <c r="B162" s="12" t="str">
        <f>VLOOKUP(A162,INDEL位置信息!J:K,2,FALSE)</f>
        <v>纠后正确</v>
      </c>
      <c r="C162" s="2" t="s">
        <v>8593</v>
      </c>
      <c r="D162" s="2" t="s">
        <v>8445</v>
      </c>
      <c r="G162" s="1"/>
      <c r="J162" s="1"/>
    </row>
    <row r="163" spans="1:10" ht="14.25" x14ac:dyDescent="0.2">
      <c r="A163" s="2" t="s">
        <v>2109</v>
      </c>
      <c r="B163" s="12" t="str">
        <f>VLOOKUP(A163,INDEL位置信息!J:K,2,FALSE)</f>
        <v>纠后正确</v>
      </c>
      <c r="C163" s="2" t="s">
        <v>8594</v>
      </c>
      <c r="D163" s="2" t="s">
        <v>8445</v>
      </c>
      <c r="G163" s="1"/>
      <c r="J163" s="1"/>
    </row>
    <row r="164" spans="1:10" ht="14.25" x14ac:dyDescent="0.2">
      <c r="A164" s="2" t="s">
        <v>2159</v>
      </c>
      <c r="B164" s="12" t="str">
        <f>VLOOKUP(A164,INDEL位置信息!J:K,2,FALSE)</f>
        <v>纠后正确，utr略有变化，版本不一致</v>
      </c>
      <c r="C164" s="2" t="s">
        <v>8595</v>
      </c>
      <c r="D164" s="2" t="s">
        <v>8445</v>
      </c>
      <c r="G164" s="1"/>
      <c r="J164" s="1"/>
    </row>
    <row r="165" spans="1:10" ht="14.25" x14ac:dyDescent="0.2">
      <c r="A165" s="2" t="s">
        <v>2075</v>
      </c>
      <c r="B165" s="12" t="str">
        <f>VLOOKUP(A165,INDEL位置信息!J:K,2,FALSE)</f>
        <v>纠后正确</v>
      </c>
      <c r="C165" s="2" t="s">
        <v>8596</v>
      </c>
      <c r="D165" s="2" t="s">
        <v>8445</v>
      </c>
      <c r="G165" s="1"/>
      <c r="J165" s="1"/>
    </row>
    <row r="166" spans="1:10" ht="14.25" x14ac:dyDescent="0.2">
      <c r="A166" s="2" t="s">
        <v>2111</v>
      </c>
      <c r="B166" s="12" t="str">
        <f>VLOOKUP(A166,INDEL位置信息!J:K,2,FALSE)</f>
        <v>纠后正确</v>
      </c>
      <c r="C166" s="2" t="s">
        <v>8597</v>
      </c>
      <c r="D166" s="2" t="s">
        <v>8445</v>
      </c>
      <c r="G166" s="1"/>
      <c r="J166" s="1"/>
    </row>
    <row r="167" spans="1:10" ht="14.25" x14ac:dyDescent="0.2">
      <c r="A167" s="2" t="s">
        <v>2102</v>
      </c>
      <c r="B167" s="12" t="str">
        <f>VLOOKUP(A167,INDEL位置信息!J:K,2,FALSE)</f>
        <v>纠后正确</v>
      </c>
      <c r="C167" s="2" t="s">
        <v>8598</v>
      </c>
      <c r="D167" s="2" t="s">
        <v>8445</v>
      </c>
      <c r="G167" s="1"/>
      <c r="J167" s="1"/>
    </row>
    <row r="168" spans="1:10" ht="14.25" x14ac:dyDescent="0.2">
      <c r="A168" s="2" t="s">
        <v>2293</v>
      </c>
      <c r="B168" s="12" t="str">
        <f>VLOOKUP(A168,INDEL位置信息!J:K,2,FALSE)</f>
        <v>纠后正确，少3个氨基酸chr21:46924462-46932312</v>
      </c>
      <c r="C168" s="2" t="s">
        <v>8599</v>
      </c>
      <c r="D168" s="2">
        <v>-3</v>
      </c>
      <c r="G168" s="1"/>
      <c r="J168" s="1"/>
    </row>
    <row r="169" spans="1:10" ht="14.25" x14ac:dyDescent="0.2">
      <c r="A169" s="2" t="s">
        <v>2077</v>
      </c>
      <c r="B169" s="12" t="str">
        <f>VLOOKUP(A169,INDEL位置信息!J:K,2,FALSE)</f>
        <v>纠后正确</v>
      </c>
      <c r="C169" s="2" t="s">
        <v>8600</v>
      </c>
      <c r="D169" s="2" t="s">
        <v>8445</v>
      </c>
      <c r="G169" s="1"/>
      <c r="J169" s="1"/>
    </row>
    <row r="170" spans="1:10" ht="14.25" x14ac:dyDescent="0.2">
      <c r="A170" s="2" t="s">
        <v>2204</v>
      </c>
      <c r="B170" s="12" t="str">
        <f>VLOOKUP(A170,INDEL位置信息!J:K,2,FALSE)</f>
        <v>纠后正确</v>
      </c>
      <c r="C170" s="2" t="s">
        <v>8601</v>
      </c>
      <c r="D170" s="2" t="s">
        <v>8445</v>
      </c>
      <c r="G170" s="1"/>
      <c r="J170" s="1"/>
    </row>
    <row r="171" spans="1:10" ht="14.25" x14ac:dyDescent="0.2">
      <c r="A171" s="2" t="s">
        <v>2148</v>
      </c>
      <c r="B171" s="12" t="str">
        <f>VLOOKUP(A171,INDEL位置信息!J:K,2,FALSE)</f>
        <v>纠后正确</v>
      </c>
      <c r="C171" s="2" t="s">
        <v>8602</v>
      </c>
      <c r="D171" s="2" t="s">
        <v>8445</v>
      </c>
      <c r="G171" s="1"/>
      <c r="J171" s="1"/>
    </row>
    <row r="172" spans="1:10" ht="14.25" x14ac:dyDescent="0.2">
      <c r="A172" s="2" t="s">
        <v>7226</v>
      </c>
      <c r="B172" s="12" t="str">
        <f>VLOOKUP(A172,INDEL位置信息!I:K,3,FALSE)</f>
        <v>纠后正确，版本不一致，区间有变化，加2668个氨基酸chr8:144940159-144940299</v>
      </c>
      <c r="C172" s="2" t="s">
        <v>8603</v>
      </c>
      <c r="D172" s="2">
        <v>2668</v>
      </c>
      <c r="G172" s="1"/>
      <c r="J172" s="1"/>
    </row>
    <row r="173" spans="1:10" ht="14.25" x14ac:dyDescent="0.2">
      <c r="A173" s="2" t="s">
        <v>2278</v>
      </c>
      <c r="B173" s="12" t="str">
        <f>VLOOKUP(A173,INDEL位置信息!J:K,2,FALSE)</f>
        <v>纠后正确,区间略有变化，加66个氨基酸chr17:40107237-40117669</v>
      </c>
      <c r="C173" s="2" t="s">
        <v>8604</v>
      </c>
      <c r="D173" s="2">
        <v>66</v>
      </c>
      <c r="G173" s="1"/>
      <c r="J173" s="1"/>
    </row>
    <row r="174" spans="1:10" ht="14.25" x14ac:dyDescent="0.2">
      <c r="A174" s="2" t="s">
        <v>2200</v>
      </c>
      <c r="B174" s="12" t="str">
        <f>VLOOKUP(A174,INDEL位置信息!J:K,2,FALSE)</f>
        <v>纠后正确</v>
      </c>
      <c r="C174" s="2" t="s">
        <v>8605</v>
      </c>
      <c r="D174" s="2" t="s">
        <v>8445</v>
      </c>
      <c r="G174" s="1"/>
      <c r="J174" s="1"/>
    </row>
    <row r="175" spans="1:10" ht="14.25" x14ac:dyDescent="0.2">
      <c r="A175" s="45" t="s">
        <v>2199</v>
      </c>
      <c r="B175" s="46" t="str">
        <f>VLOOKUP(A175,INDEL位置信息!J:K,2,FALSE)</f>
        <v>纠后正确，utr略有变化，版本不一致</v>
      </c>
      <c r="C175" s="45" t="s">
        <v>8606</v>
      </c>
      <c r="D175" s="45" t="s">
        <v>8732</v>
      </c>
      <c r="G175" s="1"/>
      <c r="J175" s="1"/>
    </row>
    <row r="176" spans="1:10" ht="14.25" x14ac:dyDescent="0.2">
      <c r="A176" s="2" t="s">
        <v>2171</v>
      </c>
      <c r="B176" s="12" t="str">
        <f>VLOOKUP(A176,INDEL位置信息!J:K,2,FALSE)</f>
        <v>纠后正确</v>
      </c>
      <c r="C176" s="2" t="s">
        <v>8607</v>
      </c>
      <c r="D176" s="2" t="s">
        <v>8445</v>
      </c>
      <c r="G176" s="1"/>
      <c r="J176" s="1"/>
    </row>
    <row r="177" spans="1:10" ht="14.25" x14ac:dyDescent="0.2">
      <c r="A177" s="2" t="s">
        <v>3388</v>
      </c>
      <c r="B177" s="12" t="str">
        <f>VLOOKUP(A177,INDEL位置信息!J:K,2,FALSE)</f>
        <v>纠后正确</v>
      </c>
      <c r="C177" s="2" t="s">
        <v>8608</v>
      </c>
      <c r="D177" s="2" t="s">
        <v>8445</v>
      </c>
      <c r="G177" s="1"/>
      <c r="J177" s="1"/>
    </row>
    <row r="178" spans="1:10" ht="14.25" x14ac:dyDescent="0.2">
      <c r="A178" s="2" t="s">
        <v>2284</v>
      </c>
      <c r="B178" s="12" t="str">
        <f>VLOOKUP(A178,INDEL位置信息!J:K,2,FALSE)</f>
        <v>纠后正确，少了5个氨基酸chr19:4499665-4502022</v>
      </c>
      <c r="C178" s="2" t="s">
        <v>8609</v>
      </c>
      <c r="D178" s="2">
        <v>-5</v>
      </c>
      <c r="G178" s="1"/>
      <c r="J178" s="1"/>
    </row>
    <row r="179" spans="1:10" ht="14.25" x14ac:dyDescent="0.2">
      <c r="A179" s="2" t="s">
        <v>2271</v>
      </c>
      <c r="B179" s="12" t="str">
        <f>VLOOKUP(A179,INDEL位置信息!J:K,2,FALSE)</f>
        <v>纠后正确，少2个氨基酸chr12：122064785-122079549</v>
      </c>
      <c r="C179" s="2" t="s">
        <v>8610</v>
      </c>
      <c r="D179" s="2">
        <v>-2</v>
      </c>
      <c r="G179" s="1"/>
      <c r="J179" s="1"/>
    </row>
    <row r="180" spans="1:10" ht="14.25" x14ac:dyDescent="0.2">
      <c r="A180" s="2" t="s">
        <v>2103</v>
      </c>
      <c r="B180" s="12" t="str">
        <f>VLOOKUP(A180,INDEL位置信息!J:K,2,FALSE)</f>
        <v>纠后正确</v>
      </c>
      <c r="C180" s="2" t="s">
        <v>8611</v>
      </c>
      <c r="D180" s="2" t="s">
        <v>8445</v>
      </c>
      <c r="G180" s="1"/>
      <c r="J180" s="1"/>
    </row>
    <row r="181" spans="1:10" ht="14.25" x14ac:dyDescent="0.2">
      <c r="A181" s="2" t="s">
        <v>2100</v>
      </c>
      <c r="B181" s="12" t="str">
        <f>VLOOKUP(A181,INDEL位置信息!J:K,2,FALSE)</f>
        <v>纠后正确</v>
      </c>
      <c r="C181" s="2" t="s">
        <v>8612</v>
      </c>
      <c r="D181" s="2" t="s">
        <v>8445</v>
      </c>
      <c r="G181" s="1"/>
      <c r="J181" s="1"/>
    </row>
    <row r="182" spans="1:10" ht="14.25" x14ac:dyDescent="0.2">
      <c r="A182" s="2" t="s">
        <v>8684</v>
      </c>
      <c r="B182" s="12" t="str">
        <f>VLOOKUP(A182,INDEL位置信息!J:K,2,FALSE)</f>
        <v>纠后正确，加1个氨基酸chr3:124627032-124646509</v>
      </c>
      <c r="C182" s="2" t="s">
        <v>8683</v>
      </c>
      <c r="D182" s="2">
        <v>1</v>
      </c>
      <c r="G182" s="1"/>
      <c r="J182" s="1"/>
    </row>
    <row r="183" spans="1:10" ht="14.25" x14ac:dyDescent="0.2">
      <c r="A183" s="2" t="s">
        <v>2290</v>
      </c>
      <c r="B183" s="12" t="str">
        <f>VLOOKUP(A183,INDEL位置信息!J:K,2,FALSE)</f>
        <v>纠后正确，少1个氨基酸chr20:278691-279442</v>
      </c>
      <c r="C183" s="2" t="s">
        <v>8613</v>
      </c>
      <c r="D183" s="2">
        <v>-1</v>
      </c>
      <c r="G183" s="1"/>
      <c r="J183" s="1"/>
    </row>
    <row r="184" spans="1:10" ht="14.25" x14ac:dyDescent="0.2">
      <c r="A184" s="2" t="s">
        <v>2161</v>
      </c>
      <c r="B184" s="12" t="str">
        <f>VLOOKUP(A184,INDEL位置信息!J:K,2,FALSE)</f>
        <v>纠后正确</v>
      </c>
      <c r="C184" s="2" t="s">
        <v>8614</v>
      </c>
      <c r="D184" s="2" t="s">
        <v>8445</v>
      </c>
      <c r="G184" s="1"/>
      <c r="J184" s="1"/>
    </row>
    <row r="185" spans="1:10" ht="14.25" x14ac:dyDescent="0.2">
      <c r="A185" s="2" t="s">
        <v>3360</v>
      </c>
      <c r="B185" s="12" t="str">
        <f>VLOOKUP(A185,INDEL位置信息!J:K,2,FALSE)</f>
        <v>纠后正确，版本不一致，utr略有变化</v>
      </c>
      <c r="C185" s="2" t="s">
        <v>8615</v>
      </c>
      <c r="D185" s="2" t="s">
        <v>8445</v>
      </c>
      <c r="G185" s="1"/>
      <c r="J185" s="1"/>
    </row>
    <row r="186" spans="1:10" ht="14.25" x14ac:dyDescent="0.2">
      <c r="A186" s="2" t="s">
        <v>2222</v>
      </c>
      <c r="B186" s="12" t="str">
        <f>VLOOKUP(A186,INDEL位置信息!J:K,2,FALSE)</f>
        <v>纠后正确，区间略有变化，加77个氨基酸chr1:1571126-1586818</v>
      </c>
      <c r="C186" s="2" t="s">
        <v>8686</v>
      </c>
      <c r="D186" s="2">
        <v>77</v>
      </c>
      <c r="E186"/>
      <c r="G186" s="1"/>
      <c r="J186" s="1"/>
    </row>
    <row r="187" spans="1:10" ht="14.25" x14ac:dyDescent="0.2">
      <c r="A187" s="2" t="s">
        <v>2223</v>
      </c>
      <c r="B187" s="12" t="str">
        <f>VLOOKUP(A187,INDEL位置信息!J:K,2,FALSE)</f>
        <v>rs号无此变体，区间略有变化，加77个氨基酸chr1:1571126-1586818</v>
      </c>
      <c r="C187" s="2" t="s">
        <v>8616</v>
      </c>
      <c r="D187" s="2">
        <v>77</v>
      </c>
      <c r="E187"/>
      <c r="G187" s="1"/>
      <c r="J187" s="1"/>
    </row>
    <row r="188" spans="1:10" ht="14.25" x14ac:dyDescent="0.2">
      <c r="A188" s="2" t="s">
        <v>2224</v>
      </c>
      <c r="B188" s="12" t="str">
        <f>VLOOKUP(A188,INDEL位置信息!J:K,2,FALSE)</f>
        <v>纠后正确，区间略有变化，加77个氨基酸chr1:1571126-1586818</v>
      </c>
      <c r="C188" s="2" t="s">
        <v>8617</v>
      </c>
      <c r="D188" s="2">
        <v>77</v>
      </c>
      <c r="E188"/>
      <c r="J188" s="1"/>
    </row>
    <row r="189" spans="1:10" ht="14.25" x14ac:dyDescent="0.2">
      <c r="A189" s="2" t="s">
        <v>2221</v>
      </c>
      <c r="B189" s="12" t="str">
        <f>VLOOKUP(A189,INDEL位置信息!J:K,2,FALSE)</f>
        <v>rs号无此变体，区间略有变化，加77个氨基酸chr1:1571126-1586818</v>
      </c>
      <c r="C189" s="2" t="s">
        <v>8618</v>
      </c>
      <c r="D189" s="2">
        <v>77</v>
      </c>
      <c r="E189"/>
      <c r="J189" s="1"/>
    </row>
    <row r="190" spans="1:10" ht="14.25" x14ac:dyDescent="0.2">
      <c r="A190" s="2" t="s">
        <v>2220</v>
      </c>
      <c r="B190" s="12" t="str">
        <f>VLOOKUP(A190,INDEL位置信息!J:K,2,FALSE)</f>
        <v>rs号无此变体，区间略有变化，加77个氨基酸chr1:1571126-1586818</v>
      </c>
      <c r="C190" s="2" t="s">
        <v>8619</v>
      </c>
      <c r="D190" s="2">
        <v>77</v>
      </c>
      <c r="E190"/>
      <c r="J190" s="1"/>
    </row>
    <row r="191" spans="1:10" ht="14.25" x14ac:dyDescent="0.2">
      <c r="A191" s="2" t="s">
        <v>3393</v>
      </c>
      <c r="B191" s="12" t="str">
        <f>VLOOKUP(A191,INDEL位置信息!J:K,2,FALSE)</f>
        <v>纠后正确，区间略有变化，chr22:51133475-51169740</v>
      </c>
      <c r="C191" s="2" t="s">
        <v>8620</v>
      </c>
      <c r="D191" s="2" t="s">
        <v>8445</v>
      </c>
      <c r="E191"/>
      <c r="J191" s="1"/>
    </row>
    <row r="192" spans="1:10" ht="14.25" x14ac:dyDescent="0.2">
      <c r="A192" s="2" t="s">
        <v>2108</v>
      </c>
      <c r="B192" s="12" t="str">
        <f>VLOOKUP(A192,INDEL位置信息!J:K,2,FALSE)</f>
        <v>纠后正确</v>
      </c>
      <c r="C192" s="2" t="s">
        <v>8621</v>
      </c>
      <c r="D192" s="2" t="s">
        <v>8445</v>
      </c>
      <c r="E192"/>
      <c r="J192" s="1"/>
    </row>
    <row r="193" spans="1:10" ht="14.25" x14ac:dyDescent="0.2">
      <c r="A193" s="2" t="s">
        <v>2119</v>
      </c>
      <c r="B193" s="12" t="str">
        <f>VLOOKUP(A193,INDEL位置信息!J:K,2,FALSE)</f>
        <v>纠后正确</v>
      </c>
      <c r="C193" s="2" t="s">
        <v>8622</v>
      </c>
      <c r="D193" s="2" t="s">
        <v>8445</v>
      </c>
      <c r="E193"/>
      <c r="J193" s="1"/>
    </row>
    <row r="194" spans="1:10" ht="14.25" x14ac:dyDescent="0.2">
      <c r="A194" s="2" t="s">
        <v>3387</v>
      </c>
      <c r="B194" s="12" t="str">
        <f>VLOOKUP(A194,INDEL位置信息!J:K,2,FALSE)</f>
        <v>纠后正确</v>
      </c>
      <c r="C194" s="2" t="s">
        <v>8623</v>
      </c>
      <c r="D194" s="2" t="s">
        <v>8445</v>
      </c>
      <c r="E194"/>
      <c r="J194" s="1"/>
    </row>
    <row r="195" spans="1:10" ht="14.25" x14ac:dyDescent="0.2">
      <c r="A195" s="2" t="s">
        <v>2292</v>
      </c>
      <c r="B195" s="12" t="str">
        <f>VLOOKUP(A195,INDEL位置信息!J:K,2,FALSE)</f>
        <v>纠后正确，少3个氨基酸chr21:46924440-46932312</v>
      </c>
      <c r="C195" s="2" t="s">
        <v>8624</v>
      </c>
      <c r="D195" s="2">
        <v>-3</v>
      </c>
      <c r="E195"/>
      <c r="J195" s="1"/>
    </row>
    <row r="196" spans="1:10" ht="14.25" x14ac:dyDescent="0.2">
      <c r="A196" s="2" t="s">
        <v>3381</v>
      </c>
      <c r="B196" s="12" t="str">
        <f>VLOOKUP(A196,INDEL位置信息!J:K,2,FALSE)</f>
        <v>纠后正确</v>
      </c>
      <c r="C196" s="2" t="s">
        <v>8625</v>
      </c>
      <c r="D196" s="2" t="s">
        <v>8445</v>
      </c>
      <c r="E196"/>
      <c r="J196" s="1"/>
    </row>
    <row r="197" spans="1:10" ht="14.25" x14ac:dyDescent="0.2">
      <c r="A197" s="2" t="s">
        <v>2120</v>
      </c>
      <c r="B197" s="12" t="str">
        <f>VLOOKUP(A197,INDEL位置信息!J:K,2,FALSE)</f>
        <v>纠后正确</v>
      </c>
      <c r="C197" s="2" t="s">
        <v>8626</v>
      </c>
      <c r="D197" s="2" t="s">
        <v>8445</v>
      </c>
      <c r="E197"/>
      <c r="J197" s="1"/>
    </row>
    <row r="198" spans="1:10" ht="14.25" x14ac:dyDescent="0.2">
      <c r="A198" s="45" t="s">
        <v>2165</v>
      </c>
      <c r="B198" s="46" t="str">
        <f>VLOOKUP(A198,INDEL位置信息!J:K,2,FALSE)</f>
        <v>纠后正确，utr略有变化，版本不一致</v>
      </c>
      <c r="C198" s="45" t="s">
        <v>8627</v>
      </c>
      <c r="D198" s="45" t="s">
        <v>8732</v>
      </c>
      <c r="E198"/>
      <c r="J198" s="1"/>
    </row>
    <row r="199" spans="1:10" ht="14.25" x14ac:dyDescent="0.2">
      <c r="A199" s="45" t="s">
        <v>2210</v>
      </c>
      <c r="B199" s="46" t="str">
        <f>VLOOKUP(A199,INDEL位置信息!J:K,2,FALSE)</f>
        <v>纠后正确，utr略有变化，版本不一致</v>
      </c>
      <c r="C199" s="45" t="s">
        <v>8628</v>
      </c>
      <c r="D199" s="45" t="s">
        <v>8732</v>
      </c>
      <c r="E199"/>
      <c r="J199" s="1"/>
    </row>
    <row r="200" spans="1:10" ht="14.25" x14ac:dyDescent="0.2">
      <c r="A200" s="2" t="s">
        <v>2114</v>
      </c>
      <c r="B200" s="12" t="str">
        <f>VLOOKUP(A200,INDEL位置信息!J:K,2,FALSE)</f>
        <v>纠后正确</v>
      </c>
      <c r="C200" s="2" t="s">
        <v>8629</v>
      </c>
      <c r="D200" s="2" t="s">
        <v>8445</v>
      </c>
      <c r="E200"/>
      <c r="J200" s="1"/>
    </row>
    <row r="201" spans="1:10" ht="14.25" x14ac:dyDescent="0.2">
      <c r="A201" s="2" t="s">
        <v>3379</v>
      </c>
      <c r="B201" s="12" t="str">
        <f>VLOOKUP(A201,INDEL位置信息!J:K,2,FALSE)</f>
        <v>纠后正确</v>
      </c>
      <c r="C201" s="2" t="s">
        <v>8630</v>
      </c>
      <c r="D201" s="2" t="s">
        <v>8445</v>
      </c>
      <c r="E201"/>
      <c r="J201" s="1"/>
    </row>
    <row r="202" spans="1:10" ht="14.25" x14ac:dyDescent="0.2">
      <c r="A202" s="2" t="s">
        <v>3378</v>
      </c>
      <c r="B202" s="12" t="str">
        <f>VLOOKUP(A202,INDEL位置信息!J:K,2,FALSE)</f>
        <v>纠后正确</v>
      </c>
      <c r="C202" s="2" t="s">
        <v>8631</v>
      </c>
      <c r="D202" s="2" t="s">
        <v>8445</v>
      </c>
      <c r="E202"/>
      <c r="J202" s="1"/>
    </row>
    <row r="203" spans="1:10" ht="14.25" x14ac:dyDescent="0.2">
      <c r="A203" s="2" t="s">
        <v>2115</v>
      </c>
      <c r="B203" s="12" t="str">
        <f>VLOOKUP(A203,INDEL位置信息!J:K,2,FALSE)</f>
        <v>纠后正确</v>
      </c>
      <c r="C203" s="2" t="s">
        <v>8632</v>
      </c>
      <c r="D203" s="2" t="s">
        <v>8445</v>
      </c>
      <c r="E203"/>
      <c r="J203" s="1"/>
    </row>
    <row r="204" spans="1:10" ht="14.25" x14ac:dyDescent="0.2">
      <c r="A204" s="2" t="s">
        <v>2116</v>
      </c>
      <c r="B204" s="12" t="str">
        <f>VLOOKUP(A204,INDEL位置信息!J:K,2,FALSE)</f>
        <v>纠后正确</v>
      </c>
      <c r="C204" s="2" t="s">
        <v>8633</v>
      </c>
      <c r="D204" s="2" t="s">
        <v>8445</v>
      </c>
      <c r="E204"/>
      <c r="J204" s="1"/>
    </row>
    <row r="205" spans="1:10" ht="14.25" x14ac:dyDescent="0.2">
      <c r="A205" s="2" t="s">
        <v>2117</v>
      </c>
      <c r="B205" s="12" t="str">
        <f>VLOOKUP(A205,INDEL位置信息!J:K,2,FALSE)</f>
        <v>纠后正确</v>
      </c>
      <c r="C205" s="2" t="s">
        <v>8634</v>
      </c>
      <c r="D205" s="2" t="s">
        <v>8445</v>
      </c>
      <c r="E205"/>
      <c r="J205" s="1"/>
    </row>
    <row r="206" spans="1:10" ht="14.25" x14ac:dyDescent="0.2">
      <c r="A206" s="2" t="s">
        <v>2118</v>
      </c>
      <c r="B206" s="12" t="str">
        <f>VLOOKUP(A206,INDEL位置信息!J:K,2,FALSE)</f>
        <v>纠后正确</v>
      </c>
      <c r="C206" s="2" t="s">
        <v>8635</v>
      </c>
      <c r="D206" s="2" t="s">
        <v>8445</v>
      </c>
      <c r="E206"/>
      <c r="J206" s="1"/>
    </row>
    <row r="207" spans="1:10" ht="14.25" x14ac:dyDescent="0.2">
      <c r="A207" s="2" t="s">
        <v>2285</v>
      </c>
      <c r="B207" s="12" t="str">
        <f>VLOOKUP(A207,INDEL位置信息!J:K,2,FALSE)</f>
        <v>rs号无基因信息，加106个氨基酸chr19：14199229-14200895</v>
      </c>
      <c r="C207" s="2" t="s">
        <v>8636</v>
      </c>
      <c r="D207" s="2">
        <v>106</v>
      </c>
      <c r="E207"/>
      <c r="J207" s="1"/>
    </row>
    <row r="208" spans="1:10" ht="14.25" x14ac:dyDescent="0.2">
      <c r="A208" s="45" t="s">
        <v>8725</v>
      </c>
      <c r="B208" s="46" t="str">
        <f>VLOOKUP(A208,INDEL位置信息!J:K,2,FALSE)</f>
        <v>纠后正确,版本不一致，utr略有变化，少1个氨基酸chr11:76751589-76751753</v>
      </c>
      <c r="C208" s="45" t="s">
        <v>8692</v>
      </c>
      <c r="D208" s="45" t="s">
        <v>8732</v>
      </c>
      <c r="E208"/>
      <c r="J208" s="1"/>
    </row>
    <row r="209" spans="1:10" ht="14.25" x14ac:dyDescent="0.2">
      <c r="A209" s="2" t="s">
        <v>2281</v>
      </c>
      <c r="B209" s="12" t="str">
        <f>VLOOKUP(A209,INDEL位置信息!J:K,2,FALSE)</f>
        <v>纠后正确，加1个氨基酸chr18：43833705-43843081</v>
      </c>
      <c r="C209" s="2" t="s">
        <v>8637</v>
      </c>
      <c r="D209" s="2">
        <v>1</v>
      </c>
      <c r="E209"/>
      <c r="J209" s="1"/>
    </row>
    <row r="210" spans="1:10" ht="14.25" x14ac:dyDescent="0.2">
      <c r="A210" s="2" t="s">
        <v>2097</v>
      </c>
      <c r="B210" s="12" t="str">
        <f>VLOOKUP(A210,INDEL位置信息!J:K,2,FALSE)</f>
        <v>纠后正确</v>
      </c>
      <c r="C210" s="2" t="s">
        <v>8638</v>
      </c>
      <c r="D210" s="2" t="s">
        <v>8445</v>
      </c>
      <c r="E210"/>
      <c r="J210" s="1"/>
    </row>
    <row r="211" spans="1:10" ht="14.25" x14ac:dyDescent="0.2">
      <c r="A211" s="2" t="s">
        <v>2078</v>
      </c>
      <c r="B211" s="12" t="str">
        <f>VLOOKUP(A211,INDEL位置信息!J:K,2,FALSE)</f>
        <v>纠后正确</v>
      </c>
      <c r="C211" s="2" t="s">
        <v>8639</v>
      </c>
      <c r="D211" s="2" t="s">
        <v>8445</v>
      </c>
      <c r="E211"/>
      <c r="J211" s="1"/>
    </row>
    <row r="212" spans="1:10" ht="14.25" x14ac:dyDescent="0.2">
      <c r="A212" s="2" t="s">
        <v>2147</v>
      </c>
      <c r="B212" s="12" t="str">
        <f>VLOOKUP(A212,INDEL位置信息!J:K,2,FALSE)</f>
        <v>纠后正确</v>
      </c>
      <c r="C212" s="2" t="s">
        <v>8640</v>
      </c>
      <c r="D212" s="2" t="s">
        <v>8445</v>
      </c>
      <c r="E212"/>
      <c r="J212" s="1"/>
    </row>
    <row r="213" spans="1:10" ht="14.25" x14ac:dyDescent="0.2">
      <c r="A213" s="45" t="s">
        <v>2169</v>
      </c>
      <c r="B213" s="46" t="str">
        <f>VLOOKUP(A213,INDEL位置信息!J:K,2,FALSE)</f>
        <v>纠后正确，utr略有变化，版本不一致</v>
      </c>
      <c r="C213" s="45" t="s">
        <v>8641</v>
      </c>
      <c r="D213" s="45" t="s">
        <v>8731</v>
      </c>
      <c r="E213"/>
      <c r="J213" s="1"/>
    </row>
    <row r="214" spans="1:10" ht="14.25" x14ac:dyDescent="0.2">
      <c r="A214" s="2" t="s">
        <v>2094</v>
      </c>
      <c r="B214" s="12" t="str">
        <f>VLOOKUP(A214,INDEL位置信息!J:K,2,FALSE)</f>
        <v>纠后正确</v>
      </c>
      <c r="C214" s="2" t="s">
        <v>8642</v>
      </c>
      <c r="D214" s="2" t="s">
        <v>8445</v>
      </c>
      <c r="E214"/>
      <c r="J214" s="1"/>
    </row>
    <row r="215" spans="1:10" ht="14.25" x14ac:dyDescent="0.2">
      <c r="A215" s="2" t="s">
        <v>2081</v>
      </c>
      <c r="B215" s="12" t="str">
        <f>VLOOKUP(A215,INDEL位置信息!J:K,2,FALSE)</f>
        <v>纠后正确</v>
      </c>
      <c r="C215" s="2" t="s">
        <v>8643</v>
      </c>
      <c r="D215" s="2" t="s">
        <v>8445</v>
      </c>
      <c r="E215"/>
      <c r="J215" s="1"/>
    </row>
    <row r="216" spans="1:10" ht="14.25" x14ac:dyDescent="0.2">
      <c r="A216" s="45" t="s">
        <v>2207</v>
      </c>
      <c r="B216" s="46" t="str">
        <f>VLOOKUP(A216,INDEL位置信息!J:K,2,FALSE)</f>
        <v>纠后正确，utr略有变化，版本不一致</v>
      </c>
      <c r="C216" s="45" t="s">
        <v>8644</v>
      </c>
      <c r="D216" s="45" t="s">
        <v>8731</v>
      </c>
      <c r="E216"/>
      <c r="J216" s="1"/>
    </row>
    <row r="217" spans="1:10" ht="14.25" x14ac:dyDescent="0.2">
      <c r="A217" s="2" t="s">
        <v>2160</v>
      </c>
      <c r="B217" s="12" t="str">
        <f>VLOOKUP(A217,INDEL位置信息!J:K,2,FALSE)</f>
        <v>纠后正确</v>
      </c>
      <c r="C217" s="2" t="s">
        <v>8645</v>
      </c>
      <c r="D217" s="2" t="s">
        <v>8445</v>
      </c>
      <c r="E217"/>
      <c r="J217" s="1"/>
    </row>
    <row r="218" spans="1:10" ht="14.25" x14ac:dyDescent="0.2">
      <c r="A218" s="2" t="s">
        <v>2143</v>
      </c>
      <c r="B218" s="12" t="str">
        <f>VLOOKUP(A218,INDEL位置信息!J:K,2,FALSE)</f>
        <v>纠后正确</v>
      </c>
      <c r="C218" s="2" t="s">
        <v>8646</v>
      </c>
      <c r="D218" s="2" t="s">
        <v>8445</v>
      </c>
      <c r="E218"/>
      <c r="J218" s="1"/>
    </row>
    <row r="219" spans="1:10" ht="14.25" x14ac:dyDescent="0.2">
      <c r="A219" s="2" t="s">
        <v>3350</v>
      </c>
      <c r="B219" s="12" t="str">
        <f>VLOOKUP(A219,INDEL位置信息!J:K,2,FALSE)</f>
        <v>纠后正确</v>
      </c>
      <c r="C219" s="2" t="s">
        <v>8647</v>
      </c>
      <c r="D219" s="2" t="s">
        <v>8445</v>
      </c>
      <c r="E219"/>
      <c r="J219" s="1"/>
    </row>
    <row r="220" spans="1:10" ht="14.25" x14ac:dyDescent="0.2">
      <c r="A220" s="2" t="s">
        <v>3352</v>
      </c>
      <c r="B220" s="12" t="str">
        <f>VLOOKUP(A220,INDEL位置信息!J:K,2,FALSE)</f>
        <v>纠后正确</v>
      </c>
      <c r="C220" s="2" t="s">
        <v>8648</v>
      </c>
      <c r="D220" s="2" t="s">
        <v>8445</v>
      </c>
      <c r="E220"/>
      <c r="J220" s="1"/>
    </row>
    <row r="221" spans="1:10" s="49" customFormat="1" ht="14.25" x14ac:dyDescent="0.2">
      <c r="A221" s="45" t="s">
        <v>2211</v>
      </c>
      <c r="B221" s="46" t="str">
        <f>VLOOKUP(A221,INDEL位置信息!J:K,2,FALSE)</f>
        <v>纠后正确，utr略有变化，版本不一致</v>
      </c>
      <c r="C221" s="45" t="s">
        <v>8649</v>
      </c>
      <c r="D221" s="45" t="s">
        <v>8732</v>
      </c>
      <c r="J221" s="50"/>
    </row>
    <row r="222" spans="1:10" ht="14.25" x14ac:dyDescent="0.2">
      <c r="A222" s="2" t="s">
        <v>2178</v>
      </c>
      <c r="B222" s="12" t="str">
        <f>VLOOKUP(A222,INDEL位置信息!J:K,2,FALSE)</f>
        <v>纠后正确</v>
      </c>
      <c r="C222" s="2" t="s">
        <v>8650</v>
      </c>
      <c r="D222" s="2" t="s">
        <v>8445</v>
      </c>
      <c r="E222"/>
      <c r="J222" s="1"/>
    </row>
    <row r="223" spans="1:10" ht="14.25" x14ac:dyDescent="0.2">
      <c r="A223" s="2" t="s">
        <v>3362</v>
      </c>
      <c r="B223" s="12" t="str">
        <f>VLOOKUP(A223,INDEL位置信息!J:K,2,FALSE)</f>
        <v>纠后正确</v>
      </c>
      <c r="C223" s="2" t="s">
        <v>8651</v>
      </c>
      <c r="D223" s="2" t="s">
        <v>8445</v>
      </c>
      <c r="E223"/>
      <c r="J223" s="1"/>
    </row>
    <row r="224" spans="1:10" ht="14.25" x14ac:dyDescent="0.2">
      <c r="A224" s="2" t="s">
        <v>3383</v>
      </c>
      <c r="B224" s="12" t="str">
        <f>VLOOKUP(A224,INDEL位置信息!J:K,2,FALSE)</f>
        <v>纠后正确</v>
      </c>
      <c r="C224" s="2" t="s">
        <v>8652</v>
      </c>
      <c r="D224" s="2" t="s">
        <v>8445</v>
      </c>
      <c r="E224"/>
      <c r="J224" s="1"/>
    </row>
    <row r="225" spans="1:10" ht="14.25" x14ac:dyDescent="0.2">
      <c r="A225" s="2" t="s">
        <v>2172</v>
      </c>
      <c r="B225" s="12" t="str">
        <f>VLOOKUP(A225,INDEL位置信息!J:K,2,FALSE)</f>
        <v>纠后正确</v>
      </c>
      <c r="C225" s="2" t="s">
        <v>8653</v>
      </c>
      <c r="D225" s="2" t="s">
        <v>8445</v>
      </c>
      <c r="E225"/>
      <c r="J225" s="1"/>
    </row>
    <row r="226" spans="1:10" ht="14.25" x14ac:dyDescent="0.2">
      <c r="A226" s="2" t="s">
        <v>2277</v>
      </c>
      <c r="B226" s="12" t="str">
        <f>VLOOKUP(A226,INDEL位置信息!J:K,2,FALSE)</f>
        <v>纠后正确，加1个氨基酸chr17:6928051-6930938</v>
      </c>
      <c r="C226" s="2" t="s">
        <v>8654</v>
      </c>
      <c r="D226" s="2">
        <v>1</v>
      </c>
      <c r="E226"/>
      <c r="J226" s="1"/>
    </row>
    <row r="227" spans="1:10" ht="14.25" x14ac:dyDescent="0.2">
      <c r="A227" s="2" t="s">
        <v>2286</v>
      </c>
      <c r="B227" s="12" t="str">
        <f>VLOOKUP(A227,INDEL位置信息!J:K,2,FALSE)</f>
        <v>纠后正确，加1个氨基酸chr19:21299778-21301135</v>
      </c>
      <c r="C227" s="2" t="s">
        <v>8655</v>
      </c>
      <c r="D227" s="2">
        <v>1</v>
      </c>
      <c r="E227"/>
      <c r="J227" s="1"/>
    </row>
    <row r="228" spans="1:10" ht="14.25" x14ac:dyDescent="0.2">
      <c r="A228" s="2" t="s">
        <v>3322</v>
      </c>
      <c r="B228" s="12" t="str">
        <f>VLOOKUP(A228,INDEL位置信息!J:K,2,FALSE)</f>
        <v>纠后正确</v>
      </c>
      <c r="C228" s="2" t="s">
        <v>8656</v>
      </c>
      <c r="D228" s="2" t="s">
        <v>8445</v>
      </c>
      <c r="E228"/>
      <c r="J228" s="1"/>
    </row>
    <row r="229" spans="1:10" ht="14.25" x14ac:dyDescent="0.2">
      <c r="A229" s="2" t="s">
        <v>2145</v>
      </c>
      <c r="B229" s="12" t="str">
        <f>VLOOKUP(A229,INDEL位置信息!J:K,2,FALSE)</f>
        <v>纠后正确</v>
      </c>
      <c r="C229" s="2" t="s">
        <v>8657</v>
      </c>
      <c r="D229" s="2" t="s">
        <v>8445</v>
      </c>
      <c r="E229"/>
      <c r="J229" s="1"/>
    </row>
    <row r="230" spans="1:10" ht="14.25" x14ac:dyDescent="0.2">
      <c r="A230" s="2" t="s">
        <v>2291</v>
      </c>
      <c r="B230" s="12" t="str">
        <f>VLOOKUP(A230,INDEL位置信息!J:K,2,FALSE)</f>
        <v>纠后正确，少5个氨基酸chr21:46020656-46021649</v>
      </c>
      <c r="C230" s="2" t="s">
        <v>8658</v>
      </c>
      <c r="D230" s="2">
        <v>-5</v>
      </c>
      <c r="E230"/>
      <c r="J230" s="1"/>
    </row>
    <row r="231" spans="1:10" ht="14.25" x14ac:dyDescent="0.2">
      <c r="A231" s="2" t="s">
        <v>2248</v>
      </c>
      <c r="B231" s="12" t="str">
        <f>VLOOKUP(A231,INDEL位置信息!J:K,2,FALSE)</f>
        <v>纠后正确</v>
      </c>
      <c r="C231" s="2" t="s">
        <v>8659</v>
      </c>
      <c r="D231" s="2" t="s">
        <v>8445</v>
      </c>
      <c r="E231"/>
      <c r="J231" s="1"/>
    </row>
    <row r="232" spans="1:10" ht="14.25" x14ac:dyDescent="0.2">
      <c r="A232" s="2" t="s">
        <v>2206</v>
      </c>
      <c r="B232" s="12" t="str">
        <f>VLOOKUP(A232,INDEL位置信息!J:K,2,FALSE)</f>
        <v>纠后正确</v>
      </c>
      <c r="C232" s="2" t="s">
        <v>8660</v>
      </c>
      <c r="D232" s="2" t="s">
        <v>8445</v>
      </c>
      <c r="E232"/>
      <c r="J232" s="1"/>
    </row>
    <row r="233" spans="1:10" ht="14.25" x14ac:dyDescent="0.2">
      <c r="A233" s="2" t="s">
        <v>2186</v>
      </c>
      <c r="B233" s="12" t="str">
        <f>VLOOKUP(A233,INDEL位置信息!J:K,2,FALSE)</f>
        <v>纠后正确</v>
      </c>
      <c r="C233" s="2" t="s">
        <v>8661</v>
      </c>
      <c r="D233" s="2" t="s">
        <v>8445</v>
      </c>
      <c r="E233"/>
      <c r="J233" s="1"/>
    </row>
    <row r="234" spans="1:10" ht="14.25" x14ac:dyDescent="0.2">
      <c r="A234" s="2" t="s">
        <v>2082</v>
      </c>
      <c r="B234" s="12" t="str">
        <f>VLOOKUP(A234,INDEL位置信息!J:K,2,FALSE)</f>
        <v>纠后正确</v>
      </c>
      <c r="C234" s="2" t="s">
        <v>8662</v>
      </c>
      <c r="D234" s="2" t="s">
        <v>8445</v>
      </c>
      <c r="E234"/>
      <c r="J234" s="1"/>
    </row>
    <row r="235" spans="1:10" ht="14.25" x14ac:dyDescent="0.2">
      <c r="A235" s="2" t="s">
        <v>2083</v>
      </c>
      <c r="B235" s="12" t="str">
        <f>VLOOKUP(A235,INDEL位置信息!J:K,2,FALSE)</f>
        <v>纠后正确</v>
      </c>
      <c r="C235" s="2" t="s">
        <v>8663</v>
      </c>
      <c r="D235" s="2" t="s">
        <v>8445</v>
      </c>
      <c r="J235" s="1"/>
    </row>
    <row r="236" spans="1:10" ht="14.25" x14ac:dyDescent="0.2">
      <c r="A236" s="2" t="s">
        <v>3356</v>
      </c>
      <c r="B236" s="12" t="str">
        <f>VLOOKUP(A236,INDEL位置信息!J:K,2,FALSE)</f>
        <v>纠后正确，版本不一致，utr略有变化</v>
      </c>
      <c r="C236" s="2" t="s">
        <v>8664</v>
      </c>
      <c r="D236" s="2" t="s">
        <v>8445</v>
      </c>
      <c r="J236" s="1"/>
    </row>
    <row r="237" spans="1:10" ht="14.25" x14ac:dyDescent="0.2">
      <c r="A237" s="45" t="s">
        <v>3320</v>
      </c>
      <c r="B237" s="46" t="str">
        <f>VLOOKUP(A237,INDEL位置信息!J:K,2,FALSE)</f>
        <v>纠后正确，版本不一致，utr略有变化</v>
      </c>
      <c r="C237" s="45" t="s">
        <v>8665</v>
      </c>
      <c r="D237" s="45" t="s">
        <v>8731</v>
      </c>
      <c r="J237" s="1"/>
    </row>
    <row r="238" spans="1:10" ht="14.25" x14ac:dyDescent="0.2">
      <c r="A238" s="2" t="s">
        <v>8321</v>
      </c>
      <c r="B238" s="12" t="str">
        <f>VLOOKUP(A238,INDEL位置信息!I:K,3,FALSE)</f>
        <v>纠后正确,版本不一致，区间有变化</v>
      </c>
      <c r="C238" s="2" t="s">
        <v>8666</v>
      </c>
      <c r="D238" s="2" t="s">
        <v>8445</v>
      </c>
      <c r="J238" s="1"/>
    </row>
    <row r="239" spans="1:10" ht="14.25" x14ac:dyDescent="0.2">
      <c r="A239" s="2" t="s">
        <v>3370</v>
      </c>
      <c r="B239" s="12" t="str">
        <f>VLOOKUP(A239,INDEL位置信息!J:K,2,FALSE)</f>
        <v>纠后正确,版本不一致，utr略有变化</v>
      </c>
      <c r="C239" s="2" t="s">
        <v>8667</v>
      </c>
      <c r="D239" s="2" t="s">
        <v>8445</v>
      </c>
      <c r="J239" s="1"/>
    </row>
    <row r="240" spans="1:10" x14ac:dyDescent="0.15">
      <c r="A240" s="2" t="s">
        <v>3390</v>
      </c>
      <c r="B240" s="12" t="str">
        <f>VLOOKUP(A240,INDEL位置信息!J:K,2,FALSE)</f>
        <v>纠后正确，utr略有变化，版本不一致</v>
      </c>
      <c r="C240" s="2" t="s">
        <v>8668</v>
      </c>
      <c r="D240" s="2" t="s">
        <v>8445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5"/>
  <sheetViews>
    <sheetView workbookViewId="0">
      <selection activeCell="L99" sqref="L99"/>
    </sheetView>
  </sheetViews>
  <sheetFormatPr defaultRowHeight="12.75" x14ac:dyDescent="0.15"/>
  <cols>
    <col min="1" max="2" width="12.625" style="2" customWidth="1"/>
    <col min="3" max="4" width="8.25" style="2" bestFit="1" customWidth="1"/>
    <col min="5" max="5" width="9.625" style="2" customWidth="1"/>
    <col min="6" max="6" width="8.25" style="2" bestFit="1" customWidth="1"/>
    <col min="7" max="8" width="7.5" style="2" bestFit="1" customWidth="1"/>
    <col min="9" max="11" width="8.25" style="2" bestFit="1" customWidth="1"/>
    <col min="12" max="14" width="9.5" style="2" bestFit="1" customWidth="1"/>
    <col min="15" max="15" width="9.875" style="2" bestFit="1" customWidth="1"/>
    <col min="16" max="18" width="9.5" style="2" bestFit="1" customWidth="1"/>
    <col min="19" max="19" width="11.375" style="2" bestFit="1" customWidth="1"/>
    <col min="20" max="26" width="9.5" style="2" bestFit="1" customWidth="1"/>
    <col min="27" max="16384" width="9" style="2"/>
  </cols>
  <sheetData>
    <row r="1" spans="1:29" x14ac:dyDescent="0.15">
      <c r="A1" s="2" t="s">
        <v>8814</v>
      </c>
      <c r="B1" s="2" t="s">
        <v>8842</v>
      </c>
      <c r="C1" s="2">
        <v>79373539</v>
      </c>
      <c r="D1" s="3">
        <v>79394661</v>
      </c>
      <c r="E1" s="54">
        <v>79405393</v>
      </c>
      <c r="F1" s="2">
        <v>79408856</v>
      </c>
      <c r="G1" s="2">
        <v>79410834</v>
      </c>
      <c r="H1" s="2">
        <v>79411406</v>
      </c>
      <c r="I1" s="2">
        <v>79411693</v>
      </c>
      <c r="J1" s="2">
        <v>79412040</v>
      </c>
      <c r="K1" s="2">
        <v>79412379</v>
      </c>
      <c r="L1" s="2">
        <v>79414061</v>
      </c>
      <c r="M1" s="45">
        <v>79418693</v>
      </c>
      <c r="N1" s="2">
        <v>79418996</v>
      </c>
      <c r="O1" s="2">
        <v>79419748</v>
      </c>
      <c r="P1" s="2">
        <v>79422292</v>
      </c>
      <c r="Q1" s="2">
        <v>79423322</v>
      </c>
      <c r="R1" s="2">
        <v>79424439</v>
      </c>
      <c r="S1" s="2">
        <v>79425190</v>
      </c>
      <c r="T1" s="2">
        <v>79425646</v>
      </c>
      <c r="U1" s="2">
        <v>79425838</v>
      </c>
      <c r="V1" s="2">
        <v>79426079</v>
      </c>
      <c r="W1" s="2">
        <v>79426278</v>
      </c>
      <c r="X1" s="2">
        <v>79426521</v>
      </c>
      <c r="Y1" s="2">
        <v>79427302</v>
      </c>
      <c r="Z1" s="2">
        <v>79427555</v>
      </c>
      <c r="AA1" s="2">
        <v>79427891</v>
      </c>
      <c r="AB1" s="2">
        <v>79429765</v>
      </c>
      <c r="AC1" s="2">
        <v>79430636</v>
      </c>
    </row>
    <row r="2" spans="1:29" x14ac:dyDescent="0.15">
      <c r="C2" s="54">
        <v>79373717</v>
      </c>
      <c r="D2" s="54">
        <v>79394672</v>
      </c>
      <c r="E2" s="3">
        <v>79405518</v>
      </c>
      <c r="F2" s="2">
        <v>79410590</v>
      </c>
      <c r="G2" s="2">
        <v>79410943</v>
      </c>
      <c r="H2" s="2">
        <v>79411594</v>
      </c>
      <c r="I2" s="2">
        <v>79411852</v>
      </c>
      <c r="J2" s="2">
        <v>79412204</v>
      </c>
      <c r="K2" s="2">
        <v>79412707</v>
      </c>
      <c r="L2" s="2">
        <v>79414874</v>
      </c>
      <c r="M2" s="45">
        <v>79418896</v>
      </c>
      <c r="N2" s="2">
        <v>79419133</v>
      </c>
      <c r="O2" s="2">
        <v>79419877</v>
      </c>
      <c r="P2" s="2">
        <v>79422416</v>
      </c>
      <c r="Q2" s="2">
        <v>79423615</v>
      </c>
      <c r="R2" s="2">
        <v>79424618</v>
      </c>
      <c r="S2" s="2">
        <v>79425492</v>
      </c>
      <c r="T2" s="2">
        <v>79425751</v>
      </c>
      <c r="U2" s="2">
        <v>79425995</v>
      </c>
      <c r="V2" s="2">
        <v>79426194</v>
      </c>
      <c r="W2" s="2">
        <v>79426354</v>
      </c>
      <c r="X2" s="2">
        <v>79426630</v>
      </c>
      <c r="Y2" s="2">
        <v>79427422</v>
      </c>
      <c r="Z2" s="2">
        <v>79427732</v>
      </c>
      <c r="AA2" s="2">
        <v>79429072</v>
      </c>
      <c r="AB2" s="2">
        <v>79430002</v>
      </c>
      <c r="AC2" s="2">
        <v>79433358</v>
      </c>
    </row>
    <row r="3" spans="1:29" x14ac:dyDescent="0.15">
      <c r="C3" s="55" t="s">
        <v>8825</v>
      </c>
      <c r="D3" s="55">
        <v>79373730</v>
      </c>
      <c r="E3" s="55" t="s">
        <v>8824</v>
      </c>
      <c r="F3" s="55" t="s">
        <v>8816</v>
      </c>
      <c r="G3" s="55">
        <v>79394685</v>
      </c>
      <c r="H3" s="55" t="s">
        <v>8817</v>
      </c>
      <c r="I3" s="54" t="s">
        <v>8826</v>
      </c>
      <c r="J3" s="54">
        <v>79405391</v>
      </c>
      <c r="K3" s="54" t="s">
        <v>8827</v>
      </c>
      <c r="M3" s="45"/>
    </row>
    <row r="4" spans="1:29" x14ac:dyDescent="0.15">
      <c r="A4" s="2" t="s">
        <v>8841</v>
      </c>
      <c r="B4" s="2" t="s">
        <v>8843</v>
      </c>
      <c r="C4" s="2">
        <v>79373539</v>
      </c>
      <c r="D4" s="3">
        <v>79394661</v>
      </c>
      <c r="E4" s="3">
        <v>79405394</v>
      </c>
      <c r="F4" s="2">
        <v>79408856</v>
      </c>
      <c r="G4" s="2">
        <v>79410834</v>
      </c>
      <c r="H4" s="2">
        <v>79411406</v>
      </c>
      <c r="I4" s="2">
        <v>79411693</v>
      </c>
      <c r="J4" s="2">
        <v>79412040</v>
      </c>
      <c r="K4" s="2">
        <v>79412379</v>
      </c>
      <c r="L4" s="2">
        <v>79414061</v>
      </c>
      <c r="M4" s="45">
        <v>79418693</v>
      </c>
      <c r="N4" s="2">
        <v>79418996</v>
      </c>
      <c r="O4" s="2">
        <v>79419748</v>
      </c>
      <c r="P4" s="2">
        <v>79422292</v>
      </c>
      <c r="Q4" s="2">
        <v>79423322</v>
      </c>
      <c r="R4" s="2">
        <v>79424439</v>
      </c>
      <c r="S4" s="2">
        <v>79425190</v>
      </c>
      <c r="T4" s="2">
        <v>79425646</v>
      </c>
      <c r="U4" s="2">
        <v>79425838</v>
      </c>
      <c r="V4" s="2">
        <v>79426079</v>
      </c>
      <c r="W4" s="2">
        <v>79426278</v>
      </c>
      <c r="X4" s="2">
        <v>79426521</v>
      </c>
      <c r="Y4" s="2">
        <v>79427302</v>
      </c>
      <c r="Z4" s="2">
        <v>79427555</v>
      </c>
      <c r="AA4" s="2">
        <v>79427891</v>
      </c>
      <c r="AB4" s="2">
        <v>79429765</v>
      </c>
      <c r="AC4" s="2">
        <v>79430636</v>
      </c>
    </row>
    <row r="5" spans="1:29" x14ac:dyDescent="0.15">
      <c r="C5" s="2">
        <v>79373716</v>
      </c>
      <c r="D5" s="3">
        <v>79394670</v>
      </c>
      <c r="E5" s="3">
        <v>79405518</v>
      </c>
      <c r="F5" s="2">
        <v>79410590</v>
      </c>
      <c r="G5" s="2">
        <v>79410943</v>
      </c>
      <c r="H5" s="2">
        <v>79411594</v>
      </c>
      <c r="I5" s="2">
        <v>79411852</v>
      </c>
      <c r="J5" s="2">
        <v>79412204</v>
      </c>
      <c r="K5" s="2">
        <v>79412707</v>
      </c>
      <c r="L5" s="2">
        <v>79414874</v>
      </c>
      <c r="M5" s="45">
        <v>79418896</v>
      </c>
      <c r="N5" s="2">
        <v>79419133</v>
      </c>
      <c r="O5" s="2">
        <v>79419877</v>
      </c>
      <c r="P5" s="2">
        <v>79422416</v>
      </c>
      <c r="Q5" s="2">
        <v>79423615</v>
      </c>
      <c r="R5" s="2">
        <v>79424618</v>
      </c>
      <c r="S5" s="2">
        <v>79425492</v>
      </c>
      <c r="T5" s="2">
        <v>79425751</v>
      </c>
      <c r="U5" s="2">
        <v>79425995</v>
      </c>
      <c r="V5" s="2">
        <v>79426194</v>
      </c>
      <c r="W5" s="2">
        <v>79426354</v>
      </c>
      <c r="X5" s="2">
        <v>79426630</v>
      </c>
      <c r="Y5" s="2">
        <v>79427422</v>
      </c>
      <c r="Z5" s="2">
        <v>79427732</v>
      </c>
      <c r="AA5" s="2">
        <v>79429072</v>
      </c>
      <c r="AB5" s="2">
        <v>79430002</v>
      </c>
      <c r="AC5" s="2">
        <v>79433358</v>
      </c>
    </row>
    <row r="6" spans="1:29" x14ac:dyDescent="0.15">
      <c r="C6" s="2">
        <f>IF(C4=C1,1,0)</f>
        <v>1</v>
      </c>
      <c r="D6" s="2">
        <f>IF(D4=D1,1,0)</f>
        <v>1</v>
      </c>
      <c r="E6" s="2">
        <f>IF(E4=E1,1,0)</f>
        <v>0</v>
      </c>
      <c r="F6" s="2">
        <f>IF(F4=F1,1,0)</f>
        <v>1</v>
      </c>
      <c r="G6" s="2">
        <f>IF(G4=G1,1,0)</f>
        <v>1</v>
      </c>
      <c r="H6" s="2">
        <f>IF(H4=H1,1,0)</f>
        <v>1</v>
      </c>
      <c r="I6" s="2">
        <f>IF(I4=I1,1,0)</f>
        <v>1</v>
      </c>
      <c r="J6" s="2">
        <f>IF(J4=J1,1,0)</f>
        <v>1</v>
      </c>
      <c r="K6" s="2">
        <f>IF(K4=K1,1,0)</f>
        <v>1</v>
      </c>
      <c r="L6" s="2">
        <f>IF(L4=L1,1,0)</f>
        <v>1</v>
      </c>
      <c r="M6" s="2">
        <f>IF(M4=M1,1,0)</f>
        <v>1</v>
      </c>
      <c r="N6" s="2">
        <f>IF(N4=N1,1,0)</f>
        <v>1</v>
      </c>
      <c r="O6" s="2">
        <f>IF(O4=O1,1,0)</f>
        <v>1</v>
      </c>
      <c r="P6" s="2">
        <f>IF(P4=P1,1,0)</f>
        <v>1</v>
      </c>
      <c r="Q6" s="2">
        <f>IF(Q4=Q1,1,0)</f>
        <v>1</v>
      </c>
      <c r="R6" s="2">
        <f>IF(R4=R1,1,0)</f>
        <v>1</v>
      </c>
      <c r="S6" s="2">
        <f>IF(S4=S1,1,0)</f>
        <v>1</v>
      </c>
      <c r="T6" s="2">
        <f>IF(T4=T1,1,0)</f>
        <v>1</v>
      </c>
      <c r="U6" s="2">
        <f>IF(U4=U1,1,0)</f>
        <v>1</v>
      </c>
      <c r="V6" s="2">
        <f>IF(V4=V1,1,0)</f>
        <v>1</v>
      </c>
      <c r="W6" s="2">
        <f>IF(W4=W1,1,0)</f>
        <v>1</v>
      </c>
      <c r="X6" s="2">
        <f>IF(X4=X1,1,0)</f>
        <v>1</v>
      </c>
      <c r="Y6" s="2">
        <f>IF(Y4=Y1,1,0)</f>
        <v>1</v>
      </c>
      <c r="Z6" s="2">
        <f>IF(Z4=Z1,1,0)</f>
        <v>1</v>
      </c>
      <c r="AA6" s="2">
        <f>IF(AA4=AA1,1,0)</f>
        <v>1</v>
      </c>
      <c r="AB6" s="2">
        <f>IF(AB4=AB1,1,0)</f>
        <v>1</v>
      </c>
      <c r="AC6" s="2">
        <f>IF(AC4=AC1,1,0)</f>
        <v>1</v>
      </c>
    </row>
    <row r="7" spans="1:29" x14ac:dyDescent="0.15">
      <c r="C7" s="2">
        <f>IF(C5=C2,1,0)</f>
        <v>0</v>
      </c>
      <c r="D7" s="2">
        <f>IF(D5=D2,1,0)</f>
        <v>0</v>
      </c>
      <c r="E7" s="2">
        <f>IF(E5=E2,1,0)</f>
        <v>1</v>
      </c>
      <c r="F7" s="2">
        <f>IF(F5=F2,1,0)</f>
        <v>1</v>
      </c>
      <c r="G7" s="2">
        <f>IF(G5=G2,1,0)</f>
        <v>1</v>
      </c>
      <c r="H7" s="2">
        <f>IF(H5=H2,1,0)</f>
        <v>1</v>
      </c>
      <c r="I7" s="2">
        <f>IF(I5=I2,1,0)</f>
        <v>1</v>
      </c>
      <c r="J7" s="2">
        <f>IF(J5=J2,1,0)</f>
        <v>1</v>
      </c>
      <c r="K7" s="2">
        <f>IF(K5=K2,1,0)</f>
        <v>1</v>
      </c>
      <c r="L7" s="2">
        <f>IF(L5=L2,1,0)</f>
        <v>1</v>
      </c>
      <c r="M7" s="2">
        <f>IF(M5=M2,1,0)</f>
        <v>1</v>
      </c>
      <c r="N7" s="2">
        <f>IF(N5=N2,1,0)</f>
        <v>1</v>
      </c>
      <c r="O7" s="2">
        <f>IF(O5=O2,1,0)</f>
        <v>1</v>
      </c>
      <c r="P7" s="2">
        <f>IF(P5=P2,1,0)</f>
        <v>1</v>
      </c>
      <c r="Q7" s="2">
        <f>IF(Q5=Q2,1,0)</f>
        <v>1</v>
      </c>
      <c r="R7" s="2">
        <f>IF(R5=R2,1,0)</f>
        <v>1</v>
      </c>
      <c r="S7" s="2">
        <f>IF(S5=S2,1,0)</f>
        <v>1</v>
      </c>
      <c r="T7" s="2">
        <f>IF(T5=T2,1,0)</f>
        <v>1</v>
      </c>
      <c r="U7" s="2">
        <f>IF(U5=U2,1,0)</f>
        <v>1</v>
      </c>
      <c r="V7" s="2">
        <f>IF(V5=V2,1,0)</f>
        <v>1</v>
      </c>
      <c r="W7" s="2">
        <f>IF(W5=W2,1,0)</f>
        <v>1</v>
      </c>
      <c r="X7" s="2">
        <f>IF(X5=X2,1,0)</f>
        <v>1</v>
      </c>
      <c r="Y7" s="2">
        <f>IF(Y5=Y2,1,0)</f>
        <v>1</v>
      </c>
      <c r="Z7" s="2">
        <f>IF(Z5=Z2,1,0)</f>
        <v>1</v>
      </c>
      <c r="AA7" s="2">
        <f>IF(AA5=AA2,1,0)</f>
        <v>1</v>
      </c>
      <c r="AB7" s="2">
        <f>IF(AB5=AB2,1,0)</f>
        <v>1</v>
      </c>
      <c r="AC7" s="2">
        <f>IF(AC5=AC2,1,0)</f>
        <v>1</v>
      </c>
    </row>
    <row r="9" spans="1:29" x14ac:dyDescent="0.15">
      <c r="A9" s="2" t="s">
        <v>8815</v>
      </c>
      <c r="B9" s="2" t="s">
        <v>8845</v>
      </c>
      <c r="C9" s="2">
        <v>76649828</v>
      </c>
      <c r="D9" s="54">
        <v>76657489</v>
      </c>
      <c r="E9" s="54">
        <v>76676614</v>
      </c>
      <c r="F9" s="2">
        <v>76678648</v>
      </c>
      <c r="G9" s="2">
        <v>76691591</v>
      </c>
      <c r="H9" s="2">
        <v>76691974</v>
      </c>
      <c r="I9" s="2">
        <v>76692234</v>
      </c>
      <c r="J9" s="2">
        <v>76695828</v>
      </c>
      <c r="K9" s="2">
        <v>76703832</v>
      </c>
      <c r="L9" s="2">
        <v>76708214</v>
      </c>
      <c r="M9" s="45">
        <v>76711302</v>
      </c>
      <c r="N9" s="2">
        <v>76711795</v>
      </c>
      <c r="O9" s="2">
        <v>76714842</v>
      </c>
      <c r="P9" s="2">
        <v>76720774</v>
      </c>
      <c r="Q9" s="2">
        <v>76721503</v>
      </c>
      <c r="R9" s="2">
        <v>76721770</v>
      </c>
      <c r="S9" s="2">
        <v>76722231</v>
      </c>
      <c r="T9" s="2">
        <v>76725286</v>
      </c>
      <c r="U9" s="2">
        <v>76726292</v>
      </c>
      <c r="V9" s="2">
        <v>76727638</v>
      </c>
      <c r="W9" s="2">
        <v>76730105</v>
      </c>
      <c r="X9" s="2">
        <v>76731584</v>
      </c>
      <c r="Y9" s="2">
        <v>76733312</v>
      </c>
      <c r="Z9" s="2">
        <v>76734358</v>
      </c>
    </row>
    <row r="10" spans="1:29" x14ac:dyDescent="0.15">
      <c r="C10" s="2">
        <v>76650069</v>
      </c>
      <c r="D10" s="54">
        <v>76657500</v>
      </c>
      <c r="E10" s="2">
        <v>76676635</v>
      </c>
      <c r="F10" s="2">
        <v>76678726</v>
      </c>
      <c r="G10" s="2">
        <v>76691692</v>
      </c>
      <c r="H10" s="2">
        <v>76692077</v>
      </c>
      <c r="I10" s="2">
        <v>76692290</v>
      </c>
      <c r="J10" s="2">
        <v>76695949</v>
      </c>
      <c r="K10" s="2">
        <v>76704011</v>
      </c>
      <c r="L10" s="2">
        <v>76708355</v>
      </c>
      <c r="M10" s="45">
        <v>76711391</v>
      </c>
      <c r="N10" s="2">
        <v>76711950</v>
      </c>
      <c r="O10" s="2">
        <v>76715054</v>
      </c>
      <c r="P10" s="2">
        <v>76720885</v>
      </c>
      <c r="Q10" s="2">
        <v>76721622</v>
      </c>
      <c r="R10" s="2">
        <v>76721952</v>
      </c>
      <c r="S10" s="2">
        <v>76722353</v>
      </c>
      <c r="T10" s="2">
        <v>76725425</v>
      </c>
      <c r="U10" s="2">
        <v>76726456</v>
      </c>
      <c r="V10" s="2">
        <v>76727725</v>
      </c>
      <c r="W10" s="2">
        <v>76730204</v>
      </c>
      <c r="X10" s="2">
        <v>76731692</v>
      </c>
      <c r="Y10" s="2">
        <v>76733528</v>
      </c>
      <c r="Z10" s="2">
        <v>76735366</v>
      </c>
    </row>
    <row r="11" spans="1:29" x14ac:dyDescent="0.15">
      <c r="C11" s="55" t="s">
        <v>8818</v>
      </c>
      <c r="D11" s="55">
        <v>76657471</v>
      </c>
      <c r="E11" s="55" t="s">
        <v>8819</v>
      </c>
      <c r="F11" s="55" t="s">
        <v>8821</v>
      </c>
      <c r="G11" s="55">
        <v>76657504</v>
      </c>
      <c r="H11" s="55" t="s">
        <v>8820</v>
      </c>
      <c r="I11" s="55" t="s">
        <v>8823</v>
      </c>
      <c r="J11" s="55">
        <v>76676608</v>
      </c>
      <c r="K11" s="55" t="s">
        <v>8822</v>
      </c>
      <c r="M11" s="45"/>
    </row>
    <row r="12" spans="1:29" x14ac:dyDescent="0.15">
      <c r="A12" s="2" t="s">
        <v>8844</v>
      </c>
      <c r="B12" s="2" t="s">
        <v>8843</v>
      </c>
      <c r="C12" s="2">
        <v>76649828</v>
      </c>
      <c r="D12" s="2">
        <v>76657490</v>
      </c>
      <c r="E12" s="2">
        <v>76676616</v>
      </c>
      <c r="F12" s="2">
        <v>76678648</v>
      </c>
      <c r="G12" s="2">
        <v>76691591</v>
      </c>
      <c r="H12" s="2">
        <v>76691974</v>
      </c>
      <c r="I12" s="2">
        <v>76692234</v>
      </c>
      <c r="J12" s="2">
        <v>76695828</v>
      </c>
      <c r="K12" s="2">
        <v>76703832</v>
      </c>
      <c r="L12" s="2">
        <v>76708214</v>
      </c>
      <c r="M12" s="2">
        <v>76711302</v>
      </c>
      <c r="N12" s="2">
        <v>76711795</v>
      </c>
      <c r="O12" s="2">
        <v>76714842</v>
      </c>
      <c r="P12" s="2">
        <v>76720774</v>
      </c>
      <c r="Q12" s="2">
        <v>76721503</v>
      </c>
      <c r="R12" s="2">
        <v>76721770</v>
      </c>
      <c r="S12" s="2">
        <v>76722231</v>
      </c>
      <c r="T12" s="2">
        <v>76725286</v>
      </c>
      <c r="U12" s="2">
        <v>76726292</v>
      </c>
      <c r="V12" s="2">
        <v>76727638</v>
      </c>
      <c r="W12" s="2">
        <v>76730105</v>
      </c>
      <c r="X12" s="2">
        <v>76731584</v>
      </c>
      <c r="Y12" s="2">
        <v>76733312</v>
      </c>
      <c r="Z12" s="2">
        <v>76734358</v>
      </c>
    </row>
    <row r="13" spans="1:29" x14ac:dyDescent="0.15">
      <c r="C13" s="2">
        <v>76650069</v>
      </c>
      <c r="D13" s="2">
        <v>76657499</v>
      </c>
      <c r="E13" s="2">
        <v>76676635</v>
      </c>
      <c r="F13" s="2">
        <v>76678726</v>
      </c>
      <c r="G13" s="2">
        <v>76691692</v>
      </c>
      <c r="H13" s="2">
        <v>76692077</v>
      </c>
      <c r="I13" s="2">
        <v>76692290</v>
      </c>
      <c r="J13" s="2">
        <v>76695949</v>
      </c>
      <c r="K13" s="2">
        <v>76704011</v>
      </c>
      <c r="L13" s="2">
        <v>76708355</v>
      </c>
      <c r="M13" s="45">
        <v>76711391</v>
      </c>
      <c r="N13" s="2">
        <v>76711950</v>
      </c>
      <c r="O13" s="2">
        <v>76715054</v>
      </c>
      <c r="P13" s="2">
        <v>76720885</v>
      </c>
      <c r="Q13" s="2">
        <v>76721622</v>
      </c>
      <c r="R13" s="2">
        <v>76721952</v>
      </c>
      <c r="S13" s="2">
        <v>76722353</v>
      </c>
      <c r="T13" s="2">
        <v>76725425</v>
      </c>
      <c r="U13" s="2">
        <v>76726456</v>
      </c>
      <c r="V13" s="2">
        <v>76727725</v>
      </c>
      <c r="W13" s="2">
        <v>76730204</v>
      </c>
      <c r="X13" s="2">
        <v>76731692</v>
      </c>
      <c r="Y13" s="2">
        <v>76733528</v>
      </c>
      <c r="Z13" s="2">
        <v>76735366</v>
      </c>
    </row>
    <row r="14" spans="1:29" x14ac:dyDescent="0.15">
      <c r="C14" s="2">
        <f>IF(C12=C9,1,0)</f>
        <v>1</v>
      </c>
      <c r="D14" s="2">
        <f>IF(D12=D9,1,0)</f>
        <v>0</v>
      </c>
      <c r="E14" s="2">
        <f>IF(E12=E9,1,0)</f>
        <v>0</v>
      </c>
      <c r="F14" s="2">
        <f>IF(F12=F9,1,0)</f>
        <v>1</v>
      </c>
      <c r="G14" s="2">
        <f>IF(G12=G9,1,0)</f>
        <v>1</v>
      </c>
      <c r="H14" s="2">
        <f>IF(H12=H9,1,0)</f>
        <v>1</v>
      </c>
      <c r="I14" s="2">
        <f>IF(I12=I9,1,0)</f>
        <v>1</v>
      </c>
      <c r="J14" s="2">
        <f>IF(J12=J9,1,0)</f>
        <v>1</v>
      </c>
      <c r="K14" s="2">
        <f>IF(K12=K9,1,0)</f>
        <v>1</v>
      </c>
      <c r="L14" s="2">
        <f>IF(L12=L9,1,0)</f>
        <v>1</v>
      </c>
      <c r="M14" s="2">
        <f>IF(M12=M9,1,0)</f>
        <v>1</v>
      </c>
      <c r="N14" s="2">
        <f>IF(N12=N9,1,0)</f>
        <v>1</v>
      </c>
      <c r="O14" s="2">
        <f>IF(O12=O9,1,0)</f>
        <v>1</v>
      </c>
      <c r="P14" s="2">
        <f>IF(P12=P9,1,0)</f>
        <v>1</v>
      </c>
      <c r="Q14" s="2">
        <f>IF(Q12=Q9,1,0)</f>
        <v>1</v>
      </c>
      <c r="R14" s="2">
        <f>IF(R12=R9,1,0)</f>
        <v>1</v>
      </c>
      <c r="S14" s="2">
        <f>IF(S12=S9,1,0)</f>
        <v>1</v>
      </c>
      <c r="T14" s="2">
        <f>IF(T12=T9,1,0)</f>
        <v>1</v>
      </c>
      <c r="U14" s="2">
        <f>IF(U12=U9,1,0)</f>
        <v>1</v>
      </c>
      <c r="V14" s="2">
        <f>IF(V12=V9,1,0)</f>
        <v>1</v>
      </c>
      <c r="W14" s="2">
        <f>IF(W12=W9,1,0)</f>
        <v>1</v>
      </c>
      <c r="X14" s="2">
        <f>IF(X12=X9,1,0)</f>
        <v>1</v>
      </c>
      <c r="Y14" s="2">
        <f>IF(Y12=Y9,1,0)</f>
        <v>1</v>
      </c>
      <c r="Z14" s="2">
        <f>IF(Z12=Z9,1,0)</f>
        <v>1</v>
      </c>
    </row>
    <row r="15" spans="1:29" x14ac:dyDescent="0.15">
      <c r="C15" s="2">
        <f>IF(C13=C10,1,0)</f>
        <v>1</v>
      </c>
      <c r="D15" s="2">
        <f>IF(D13=D10,1,0)</f>
        <v>0</v>
      </c>
      <c r="E15" s="2">
        <f>IF(E13=E10,1,0)</f>
        <v>1</v>
      </c>
      <c r="F15" s="2">
        <f>IF(F13=F10,1,0)</f>
        <v>1</v>
      </c>
      <c r="G15" s="2">
        <f>IF(G13=G10,1,0)</f>
        <v>1</v>
      </c>
      <c r="H15" s="2">
        <f>IF(H13=H10,1,0)</f>
        <v>1</v>
      </c>
      <c r="I15" s="2">
        <f>IF(I13=I10,1,0)</f>
        <v>1</v>
      </c>
      <c r="J15" s="2">
        <f>IF(J13=J10,1,0)</f>
        <v>1</v>
      </c>
      <c r="K15" s="2">
        <f>IF(K13=K10,1,0)</f>
        <v>1</v>
      </c>
      <c r="L15" s="2">
        <f>IF(L13=L10,1,0)</f>
        <v>1</v>
      </c>
      <c r="M15" s="2">
        <f>IF(M13=M10,1,0)</f>
        <v>1</v>
      </c>
      <c r="N15" s="2">
        <f>IF(N13=N10,1,0)</f>
        <v>1</v>
      </c>
      <c r="O15" s="2">
        <f>IF(O13=O10,1,0)</f>
        <v>1</v>
      </c>
      <c r="P15" s="2">
        <f>IF(P13=P10,1,0)</f>
        <v>1</v>
      </c>
      <c r="Q15" s="2">
        <f>IF(Q13=Q10,1,0)</f>
        <v>1</v>
      </c>
      <c r="R15" s="2">
        <f>IF(R13=R10,1,0)</f>
        <v>1</v>
      </c>
      <c r="S15" s="2">
        <f>IF(S13=S10,1,0)</f>
        <v>1</v>
      </c>
      <c r="T15" s="2">
        <f>IF(T13=T10,1,0)</f>
        <v>1</v>
      </c>
      <c r="U15" s="2">
        <f>IF(U13=U10,1,0)</f>
        <v>1</v>
      </c>
      <c r="V15" s="2">
        <f>IF(V13=V10,1,0)</f>
        <v>1</v>
      </c>
      <c r="W15" s="2">
        <f>IF(W13=W10,1,0)</f>
        <v>1</v>
      </c>
      <c r="X15" s="2">
        <f>IF(X13=X10,1,0)</f>
        <v>1</v>
      </c>
      <c r="Y15" s="2">
        <f>IF(Y13=Y10,1,0)</f>
        <v>1</v>
      </c>
      <c r="Z15" s="2">
        <f>IF(Z13=Z10,1,0)</f>
        <v>1</v>
      </c>
    </row>
    <row r="16" spans="1:29" x14ac:dyDescent="0.15">
      <c r="M16" s="45"/>
    </row>
    <row r="17" spans="1:28" x14ac:dyDescent="0.15">
      <c r="A17" s="2" t="s">
        <v>8846</v>
      </c>
      <c r="C17" s="2">
        <v>130146078</v>
      </c>
      <c r="D17" s="2">
        <v>130147114</v>
      </c>
      <c r="E17" s="2">
        <v>130147525</v>
      </c>
      <c r="F17" s="2">
        <v>130148402</v>
      </c>
      <c r="G17" s="2">
        <v>130152303</v>
      </c>
      <c r="H17" s="2">
        <v>130153697</v>
      </c>
      <c r="I17" s="2">
        <v>130255187</v>
      </c>
      <c r="J17" s="2">
        <v>130269204</v>
      </c>
      <c r="K17" s="3">
        <v>130273720</v>
      </c>
      <c r="L17" s="2">
        <v>130277153</v>
      </c>
      <c r="M17" s="3">
        <v>130287346</v>
      </c>
      <c r="N17" s="3">
        <v>130295823</v>
      </c>
      <c r="O17" s="2">
        <v>130297022</v>
      </c>
      <c r="P17" s="2">
        <v>130298414</v>
      </c>
      <c r="Q17" s="2">
        <v>130301860</v>
      </c>
      <c r="R17" s="2">
        <v>130337708</v>
      </c>
      <c r="S17" s="2">
        <v>130347806</v>
      </c>
      <c r="T17" s="2">
        <v>130351688</v>
      </c>
      <c r="U17" s="2">
        <v>130352321</v>
      </c>
      <c r="V17" s="2">
        <v>130353471</v>
      </c>
    </row>
    <row r="18" spans="1:28" x14ac:dyDescent="0.15">
      <c r="C18" s="2">
        <v>130146647</v>
      </c>
      <c r="D18" s="2">
        <v>130147213</v>
      </c>
      <c r="E18" s="2">
        <v>130147664</v>
      </c>
      <c r="F18" s="3">
        <v>130148522</v>
      </c>
      <c r="G18" s="2">
        <v>130152328</v>
      </c>
      <c r="H18" s="2">
        <v>130153718</v>
      </c>
      <c r="I18" s="3">
        <v>130255198</v>
      </c>
      <c r="J18" s="3">
        <v>130269215</v>
      </c>
      <c r="K18" s="3">
        <v>130273732</v>
      </c>
      <c r="L18" s="3">
        <v>130277168</v>
      </c>
      <c r="M18" s="3">
        <v>130287359</v>
      </c>
      <c r="N18" s="2">
        <v>130295981</v>
      </c>
      <c r="O18" s="2">
        <v>130297109</v>
      </c>
      <c r="P18" s="2">
        <v>130298507</v>
      </c>
      <c r="Q18" s="2">
        <v>130301936</v>
      </c>
      <c r="R18" s="2">
        <v>130337788</v>
      </c>
      <c r="S18" s="2">
        <v>130347878</v>
      </c>
      <c r="T18" s="2">
        <v>130351769</v>
      </c>
      <c r="U18" s="2">
        <v>130352374</v>
      </c>
      <c r="V18" s="2">
        <v>130353598</v>
      </c>
    </row>
    <row r="19" spans="1:28" x14ac:dyDescent="0.15">
      <c r="E19" s="2" t="s">
        <v>8831</v>
      </c>
      <c r="F19" s="3">
        <v>130148523</v>
      </c>
      <c r="G19" s="43" t="s">
        <v>8830</v>
      </c>
      <c r="I19" s="57" t="s">
        <v>8834</v>
      </c>
      <c r="M19" s="45"/>
    </row>
    <row r="20" spans="1:28" x14ac:dyDescent="0.15">
      <c r="C20" s="2">
        <v>130146078</v>
      </c>
      <c r="D20" s="2">
        <v>130147114</v>
      </c>
      <c r="E20" s="2">
        <v>130147525</v>
      </c>
      <c r="F20" s="2">
        <v>130148402</v>
      </c>
      <c r="G20" s="2">
        <v>130152303</v>
      </c>
      <c r="H20" s="2">
        <v>130153697</v>
      </c>
      <c r="I20" s="2">
        <v>130255187</v>
      </c>
      <c r="J20" s="2">
        <v>130269204</v>
      </c>
      <c r="K20" s="2">
        <v>130273722</v>
      </c>
      <c r="L20" s="2">
        <v>130277153</v>
      </c>
      <c r="M20" s="45">
        <v>130287348</v>
      </c>
      <c r="N20" s="2">
        <v>130295825</v>
      </c>
      <c r="O20" s="2">
        <v>130297022</v>
      </c>
      <c r="P20" s="2">
        <v>130298414</v>
      </c>
      <c r="Q20" s="2">
        <v>130301860</v>
      </c>
      <c r="R20" s="2">
        <v>130337708</v>
      </c>
      <c r="S20" s="2">
        <v>130347806</v>
      </c>
      <c r="T20" s="2">
        <v>130351688</v>
      </c>
      <c r="U20" s="2">
        <v>130352321</v>
      </c>
      <c r="V20" s="2">
        <v>130353471</v>
      </c>
    </row>
    <row r="21" spans="1:28" x14ac:dyDescent="0.15">
      <c r="C21" s="2">
        <v>130146647</v>
      </c>
      <c r="D21" s="2">
        <v>130147213</v>
      </c>
      <c r="E21" s="2">
        <v>130147664</v>
      </c>
      <c r="F21" s="3">
        <v>130148520</v>
      </c>
      <c r="G21" s="2">
        <v>130152328</v>
      </c>
      <c r="H21" s="2">
        <v>130153718</v>
      </c>
      <c r="I21" s="2">
        <v>130255196</v>
      </c>
      <c r="J21" s="2">
        <v>130269213</v>
      </c>
      <c r="K21" s="2">
        <v>130273731</v>
      </c>
      <c r="L21" s="2">
        <v>130277166</v>
      </c>
      <c r="M21" s="45">
        <v>130287357</v>
      </c>
      <c r="N21" s="2">
        <v>130295981</v>
      </c>
      <c r="O21" s="2">
        <v>130297109</v>
      </c>
      <c r="P21" s="2">
        <v>130298507</v>
      </c>
      <c r="Q21" s="2">
        <v>130301936</v>
      </c>
      <c r="R21" s="2">
        <v>130337788</v>
      </c>
      <c r="S21" s="2">
        <v>130347878</v>
      </c>
      <c r="T21" s="2">
        <v>130351769</v>
      </c>
      <c r="U21" s="2">
        <v>130352374</v>
      </c>
      <c r="V21" s="2">
        <v>130353598</v>
      </c>
    </row>
    <row r="22" spans="1:28" x14ac:dyDescent="0.15">
      <c r="C22" s="2">
        <f>IF(C17=C20,1,0)</f>
        <v>1</v>
      </c>
      <c r="D22" s="2">
        <f t="shared" ref="D22:V22" si="0">IF(D17=D20,1,0)</f>
        <v>1</v>
      </c>
      <c r="E22" s="2">
        <f t="shared" si="0"/>
        <v>1</v>
      </c>
      <c r="F22" s="2">
        <f t="shared" si="0"/>
        <v>1</v>
      </c>
      <c r="G22" s="2">
        <f t="shared" si="0"/>
        <v>1</v>
      </c>
      <c r="H22" s="2">
        <f t="shared" si="0"/>
        <v>1</v>
      </c>
      <c r="I22" s="2">
        <f t="shared" si="0"/>
        <v>1</v>
      </c>
      <c r="J22" s="2">
        <f t="shared" si="0"/>
        <v>1</v>
      </c>
      <c r="K22" s="2">
        <f t="shared" si="0"/>
        <v>0</v>
      </c>
      <c r="L22" s="2">
        <f t="shared" si="0"/>
        <v>1</v>
      </c>
      <c r="M22" s="2">
        <f t="shared" si="0"/>
        <v>0</v>
      </c>
      <c r="N22" s="2">
        <f t="shared" si="0"/>
        <v>0</v>
      </c>
      <c r="O22" s="2">
        <f t="shared" si="0"/>
        <v>1</v>
      </c>
      <c r="P22" s="2">
        <f t="shared" si="0"/>
        <v>1</v>
      </c>
      <c r="Q22" s="2">
        <f t="shared" si="0"/>
        <v>1</v>
      </c>
      <c r="R22" s="2">
        <f t="shared" si="0"/>
        <v>1</v>
      </c>
      <c r="S22" s="2">
        <f t="shared" si="0"/>
        <v>1</v>
      </c>
      <c r="T22" s="2">
        <f t="shared" si="0"/>
        <v>1</v>
      </c>
      <c r="U22" s="2">
        <f t="shared" si="0"/>
        <v>1</v>
      </c>
      <c r="V22" s="2">
        <f t="shared" si="0"/>
        <v>1</v>
      </c>
    </row>
    <row r="23" spans="1:28" x14ac:dyDescent="0.15">
      <c r="C23" s="2">
        <f>IF(C18=C21,1,0)</f>
        <v>1</v>
      </c>
      <c r="D23" s="2">
        <f t="shared" ref="D23:V23" si="1">IF(D18=D21,1,0)</f>
        <v>1</v>
      </c>
      <c r="E23" s="2">
        <f t="shared" si="1"/>
        <v>1</v>
      </c>
      <c r="F23" s="2">
        <f t="shared" si="1"/>
        <v>0</v>
      </c>
      <c r="G23" s="2">
        <f t="shared" si="1"/>
        <v>1</v>
      </c>
      <c r="H23" s="2">
        <f t="shared" si="1"/>
        <v>1</v>
      </c>
      <c r="I23" s="2">
        <f t="shared" si="1"/>
        <v>0</v>
      </c>
      <c r="J23" s="2">
        <f t="shared" si="1"/>
        <v>0</v>
      </c>
      <c r="K23" s="2">
        <f t="shared" si="1"/>
        <v>0</v>
      </c>
      <c r="L23" s="2">
        <f t="shared" si="1"/>
        <v>0</v>
      </c>
      <c r="M23" s="2">
        <f t="shared" si="1"/>
        <v>0</v>
      </c>
      <c r="N23" s="2">
        <f t="shared" si="1"/>
        <v>1</v>
      </c>
      <c r="O23" s="2">
        <f t="shared" si="1"/>
        <v>1</v>
      </c>
      <c r="P23" s="2">
        <f t="shared" si="1"/>
        <v>1</v>
      </c>
      <c r="Q23" s="2">
        <f t="shared" si="1"/>
        <v>1</v>
      </c>
      <c r="R23" s="2">
        <f t="shared" si="1"/>
        <v>1</v>
      </c>
      <c r="S23" s="2">
        <f t="shared" si="1"/>
        <v>1</v>
      </c>
      <c r="T23" s="2">
        <f t="shared" si="1"/>
        <v>1</v>
      </c>
      <c r="U23" s="2">
        <f t="shared" si="1"/>
        <v>1</v>
      </c>
      <c r="V23" s="2">
        <f t="shared" si="1"/>
        <v>1</v>
      </c>
    </row>
    <row r="24" spans="1:28" x14ac:dyDescent="0.15">
      <c r="M24" s="45"/>
    </row>
    <row r="25" spans="1:28" x14ac:dyDescent="0.15">
      <c r="A25" s="2" t="s">
        <v>8847</v>
      </c>
      <c r="B25" s="2" t="s">
        <v>8845</v>
      </c>
      <c r="C25" s="2">
        <v>70313960</v>
      </c>
      <c r="D25" s="2">
        <v>70331418</v>
      </c>
      <c r="E25" s="2">
        <v>70335432</v>
      </c>
      <c r="F25" s="2">
        <v>70336380</v>
      </c>
      <c r="G25" s="2">
        <v>70338439</v>
      </c>
      <c r="H25" s="2">
        <v>70346674</v>
      </c>
      <c r="I25" s="2">
        <v>70348027</v>
      </c>
      <c r="J25" s="2">
        <v>70348310</v>
      </c>
      <c r="K25" s="2">
        <v>70348900</v>
      </c>
      <c r="L25" s="2">
        <v>70505932</v>
      </c>
      <c r="M25" s="45">
        <v>70507700</v>
      </c>
      <c r="N25" s="2">
        <v>70544792</v>
      </c>
      <c r="O25" s="2">
        <v>70644547</v>
      </c>
      <c r="P25" s="2">
        <v>70653106</v>
      </c>
      <c r="Q25" s="2">
        <v>70666468</v>
      </c>
      <c r="R25" s="2">
        <v>70742605</v>
      </c>
      <c r="S25" s="3">
        <v>70766133</v>
      </c>
      <c r="T25" s="3">
        <v>70776123</v>
      </c>
      <c r="U25" s="2">
        <v>70785648</v>
      </c>
      <c r="V25" s="2">
        <v>70803467</v>
      </c>
      <c r="W25" s="2">
        <v>70805582</v>
      </c>
      <c r="X25" s="2">
        <v>70820986</v>
      </c>
      <c r="Y25" s="2">
        <v>70824338</v>
      </c>
      <c r="Z25" s="2">
        <v>70829874</v>
      </c>
      <c r="AA25" s="2">
        <v>70858165</v>
      </c>
      <c r="AB25" s="2">
        <v>70935742</v>
      </c>
    </row>
    <row r="26" spans="1:28" x14ac:dyDescent="0.15">
      <c r="C26" s="2">
        <v>70319544</v>
      </c>
      <c r="D26" s="2">
        <v>70333825</v>
      </c>
      <c r="E26" s="2">
        <v>70335453</v>
      </c>
      <c r="F26" s="2">
        <v>70336492</v>
      </c>
      <c r="G26" s="2">
        <v>70338570</v>
      </c>
      <c r="H26" s="2">
        <v>70346695</v>
      </c>
      <c r="I26" s="2">
        <v>70348036</v>
      </c>
      <c r="J26" s="2">
        <v>70348391</v>
      </c>
      <c r="K26" s="2">
        <v>70349036</v>
      </c>
      <c r="L26" s="2">
        <v>70506057</v>
      </c>
      <c r="M26" s="45">
        <v>70507783</v>
      </c>
      <c r="N26" s="2">
        <v>70544868</v>
      </c>
      <c r="O26" s="2">
        <v>70644661</v>
      </c>
      <c r="P26" s="2">
        <v>70653276</v>
      </c>
      <c r="Q26" s="2">
        <v>70666787</v>
      </c>
      <c r="R26" s="2">
        <v>70742678</v>
      </c>
      <c r="S26" s="2">
        <v>70766144</v>
      </c>
      <c r="T26" s="2">
        <v>70776150</v>
      </c>
      <c r="U26" s="3">
        <v>70785659</v>
      </c>
      <c r="V26" s="2">
        <v>70803635</v>
      </c>
      <c r="W26" s="2">
        <v>70805734</v>
      </c>
      <c r="X26" s="2">
        <v>70821095</v>
      </c>
      <c r="Y26" s="2">
        <v>70824410</v>
      </c>
      <c r="Z26" s="2">
        <v>70830078</v>
      </c>
      <c r="AA26" s="2">
        <v>70858384</v>
      </c>
      <c r="AB26" s="2">
        <v>70935808</v>
      </c>
    </row>
    <row r="27" spans="1:28" x14ac:dyDescent="0.15">
      <c r="M27" s="45"/>
      <c r="S27" s="2">
        <v>70766127</v>
      </c>
      <c r="T27" s="12" t="s">
        <v>8832</v>
      </c>
      <c r="U27" s="57" t="s">
        <v>8833</v>
      </c>
    </row>
    <row r="28" spans="1:28" x14ac:dyDescent="0.15">
      <c r="B28" s="2" t="s">
        <v>8843</v>
      </c>
      <c r="C28" s="2">
        <v>70313960</v>
      </c>
      <c r="D28" s="2">
        <v>70331418</v>
      </c>
      <c r="E28" s="2">
        <v>70335432</v>
      </c>
      <c r="F28" s="2">
        <v>70336380</v>
      </c>
      <c r="G28" s="2">
        <v>70338439</v>
      </c>
      <c r="H28" s="2">
        <v>70346674</v>
      </c>
      <c r="I28" s="2">
        <v>70348027</v>
      </c>
      <c r="J28" s="2">
        <v>70348310</v>
      </c>
      <c r="K28" s="2">
        <v>70348900</v>
      </c>
      <c r="L28" s="2">
        <v>70505932</v>
      </c>
      <c r="M28" s="45">
        <v>70507700</v>
      </c>
      <c r="N28" s="2">
        <v>70544792</v>
      </c>
      <c r="O28" s="2">
        <v>70644547</v>
      </c>
      <c r="P28" s="2">
        <v>70653106</v>
      </c>
      <c r="Q28" s="2">
        <v>70666468</v>
      </c>
      <c r="R28" s="2">
        <v>70742605</v>
      </c>
      <c r="S28" s="2">
        <v>70766135</v>
      </c>
      <c r="T28" s="2">
        <v>70776125</v>
      </c>
      <c r="U28" s="2">
        <v>70785648</v>
      </c>
      <c r="V28" s="2">
        <v>70803467</v>
      </c>
      <c r="W28" s="2">
        <v>70805582</v>
      </c>
      <c r="X28" s="2">
        <v>70820986</v>
      </c>
      <c r="Y28" s="2">
        <v>70824338</v>
      </c>
      <c r="Z28" s="2">
        <v>70829874</v>
      </c>
      <c r="AA28" s="2">
        <v>70858165</v>
      </c>
      <c r="AB28" s="2">
        <v>70935742</v>
      </c>
    </row>
    <row r="29" spans="1:28" x14ac:dyDescent="0.15">
      <c r="C29" s="2">
        <v>70319544</v>
      </c>
      <c r="D29" s="2">
        <v>70333825</v>
      </c>
      <c r="E29" s="2">
        <v>70335453</v>
      </c>
      <c r="F29" s="2">
        <v>70336492</v>
      </c>
      <c r="G29" s="2">
        <v>70338570</v>
      </c>
      <c r="H29" s="2">
        <v>70346695</v>
      </c>
      <c r="I29" s="2">
        <v>70348036</v>
      </c>
      <c r="J29" s="2">
        <v>70348391</v>
      </c>
      <c r="K29" s="2">
        <v>70349036</v>
      </c>
      <c r="L29" s="2">
        <v>70506057</v>
      </c>
      <c r="M29" s="45">
        <v>70507783</v>
      </c>
      <c r="N29" s="2">
        <v>70544868</v>
      </c>
      <c r="O29" s="2">
        <v>70644661</v>
      </c>
      <c r="P29" s="2">
        <v>70653276</v>
      </c>
      <c r="Q29" s="2">
        <v>70666787</v>
      </c>
      <c r="R29" s="2">
        <v>70742678</v>
      </c>
      <c r="S29" s="2">
        <v>70766144</v>
      </c>
      <c r="T29" s="2">
        <v>70776150</v>
      </c>
      <c r="U29" s="2">
        <v>70785657</v>
      </c>
      <c r="V29" s="2">
        <v>70803635</v>
      </c>
      <c r="W29" s="2">
        <v>70805734</v>
      </c>
      <c r="X29" s="2">
        <v>70821095</v>
      </c>
      <c r="Y29" s="2">
        <v>70824410</v>
      </c>
      <c r="Z29" s="2">
        <v>70830078</v>
      </c>
      <c r="AA29" s="2">
        <v>70858384</v>
      </c>
      <c r="AB29" s="2">
        <v>70935808</v>
      </c>
    </row>
    <row r="30" spans="1:28" x14ac:dyDescent="0.15">
      <c r="C30" s="2">
        <f>IF(C25=C28,1,0)</f>
        <v>1</v>
      </c>
      <c r="D30" s="2">
        <f t="shared" ref="D30:AB30" si="2">IF(D25=D28,1,0)</f>
        <v>1</v>
      </c>
      <c r="E30" s="2">
        <f t="shared" si="2"/>
        <v>1</v>
      </c>
      <c r="F30" s="2">
        <f t="shared" si="2"/>
        <v>1</v>
      </c>
      <c r="G30" s="2">
        <f t="shared" si="2"/>
        <v>1</v>
      </c>
      <c r="H30" s="2">
        <f t="shared" si="2"/>
        <v>1</v>
      </c>
      <c r="I30" s="2">
        <f t="shared" si="2"/>
        <v>1</v>
      </c>
      <c r="J30" s="2">
        <f t="shared" si="2"/>
        <v>1</v>
      </c>
      <c r="K30" s="2">
        <f t="shared" si="2"/>
        <v>1</v>
      </c>
      <c r="L30" s="2">
        <f t="shared" si="2"/>
        <v>1</v>
      </c>
      <c r="M30" s="2">
        <f t="shared" si="2"/>
        <v>1</v>
      </c>
      <c r="N30" s="2">
        <f t="shared" si="2"/>
        <v>1</v>
      </c>
      <c r="O30" s="2">
        <f t="shared" si="2"/>
        <v>1</v>
      </c>
      <c r="P30" s="2">
        <f t="shared" si="2"/>
        <v>1</v>
      </c>
      <c r="Q30" s="2">
        <f t="shared" si="2"/>
        <v>1</v>
      </c>
      <c r="R30" s="2">
        <f t="shared" si="2"/>
        <v>1</v>
      </c>
      <c r="S30" s="2">
        <f t="shared" si="2"/>
        <v>0</v>
      </c>
      <c r="T30" s="2">
        <f t="shared" si="2"/>
        <v>0</v>
      </c>
      <c r="U30" s="2">
        <f t="shared" si="2"/>
        <v>1</v>
      </c>
      <c r="V30" s="2">
        <f t="shared" si="2"/>
        <v>1</v>
      </c>
      <c r="W30" s="2">
        <f t="shared" si="2"/>
        <v>1</v>
      </c>
      <c r="X30" s="2">
        <f t="shared" si="2"/>
        <v>1</v>
      </c>
      <c r="Y30" s="2">
        <f t="shared" si="2"/>
        <v>1</v>
      </c>
      <c r="Z30" s="2">
        <f t="shared" si="2"/>
        <v>1</v>
      </c>
      <c r="AA30" s="2">
        <f t="shared" si="2"/>
        <v>1</v>
      </c>
      <c r="AB30" s="2">
        <f t="shared" si="2"/>
        <v>1</v>
      </c>
    </row>
    <row r="31" spans="1:28" x14ac:dyDescent="0.15">
      <c r="C31" s="2">
        <f>IF(C26=C29,1,0)</f>
        <v>1</v>
      </c>
      <c r="D31" s="2">
        <f t="shared" ref="D31:AB31" si="3">IF(D26=D29,1,0)</f>
        <v>1</v>
      </c>
      <c r="E31" s="2">
        <f t="shared" si="3"/>
        <v>1</v>
      </c>
      <c r="F31" s="2">
        <f t="shared" si="3"/>
        <v>1</v>
      </c>
      <c r="G31" s="2">
        <f t="shared" si="3"/>
        <v>1</v>
      </c>
      <c r="H31" s="2">
        <f t="shared" si="3"/>
        <v>1</v>
      </c>
      <c r="I31" s="2">
        <f t="shared" si="3"/>
        <v>1</v>
      </c>
      <c r="J31" s="2">
        <f t="shared" si="3"/>
        <v>1</v>
      </c>
      <c r="K31" s="2">
        <f t="shared" si="3"/>
        <v>1</v>
      </c>
      <c r="L31" s="2">
        <f t="shared" si="3"/>
        <v>1</v>
      </c>
      <c r="M31" s="2">
        <f t="shared" si="3"/>
        <v>1</v>
      </c>
      <c r="N31" s="2">
        <f t="shared" si="3"/>
        <v>1</v>
      </c>
      <c r="O31" s="2">
        <f t="shared" si="3"/>
        <v>1</v>
      </c>
      <c r="P31" s="2">
        <f t="shared" si="3"/>
        <v>1</v>
      </c>
      <c r="Q31" s="2">
        <f t="shared" si="3"/>
        <v>1</v>
      </c>
      <c r="R31" s="2">
        <f t="shared" si="3"/>
        <v>1</v>
      </c>
      <c r="S31" s="2">
        <f t="shared" si="3"/>
        <v>1</v>
      </c>
      <c r="T31" s="2">
        <f t="shared" si="3"/>
        <v>1</v>
      </c>
      <c r="U31" s="2">
        <f t="shared" si="3"/>
        <v>0</v>
      </c>
      <c r="V31" s="2">
        <f t="shared" si="3"/>
        <v>1</v>
      </c>
      <c r="W31" s="2">
        <f t="shared" si="3"/>
        <v>1</v>
      </c>
      <c r="X31" s="2">
        <f t="shared" si="3"/>
        <v>1</v>
      </c>
      <c r="Y31" s="2">
        <f t="shared" si="3"/>
        <v>1</v>
      </c>
      <c r="Z31" s="2">
        <f t="shared" si="3"/>
        <v>1</v>
      </c>
      <c r="AA31" s="2">
        <f t="shared" si="3"/>
        <v>1</v>
      </c>
      <c r="AB31" s="2">
        <f t="shared" si="3"/>
        <v>1</v>
      </c>
    </row>
    <row r="32" spans="1:28" x14ac:dyDescent="0.15">
      <c r="M32" s="45"/>
    </row>
    <row r="33" spans="1:30" x14ac:dyDescent="0.15">
      <c r="A33" s="2" t="s">
        <v>8811</v>
      </c>
      <c r="B33" s="2" t="s">
        <v>8845</v>
      </c>
      <c r="C33" s="2">
        <v>16890411</v>
      </c>
      <c r="D33" s="2">
        <v>16891301</v>
      </c>
      <c r="E33" s="2">
        <v>16892127</v>
      </c>
      <c r="F33" s="2">
        <v>16893674</v>
      </c>
      <c r="G33" s="2">
        <v>16894473</v>
      </c>
      <c r="H33" s="2">
        <v>16895567</v>
      </c>
      <c r="I33" s="2">
        <v>16899636</v>
      </c>
      <c r="J33" s="2">
        <v>16900981</v>
      </c>
      <c r="K33" s="2">
        <v>16901651</v>
      </c>
      <c r="L33" s="2">
        <v>16902761</v>
      </c>
      <c r="M33" s="45">
        <v>16903811</v>
      </c>
      <c r="N33" s="2">
        <v>16905687</v>
      </c>
      <c r="O33" s="2">
        <v>16907239</v>
      </c>
      <c r="P33" s="2">
        <v>16907914</v>
      </c>
      <c r="Q33" s="2">
        <v>16909038</v>
      </c>
      <c r="R33" s="2">
        <v>16910088</v>
      </c>
      <c r="S33" s="2">
        <v>16911983</v>
      </c>
      <c r="T33" s="2">
        <v>16913544</v>
      </c>
      <c r="U33" s="2">
        <v>16914219</v>
      </c>
      <c r="V33" s="2">
        <v>16915343</v>
      </c>
      <c r="W33" s="2">
        <v>16916393</v>
      </c>
      <c r="X33" s="2">
        <v>16918341</v>
      </c>
      <c r="Y33" s="2">
        <v>16918653</v>
      </c>
      <c r="Z33" s="2">
        <v>16919935</v>
      </c>
      <c r="AA33" s="2">
        <v>16921086</v>
      </c>
      <c r="AB33" s="2">
        <v>16921425</v>
      </c>
      <c r="AC33" s="2">
        <v>16935002</v>
      </c>
      <c r="AD33" s="2">
        <v>16939832</v>
      </c>
    </row>
    <row r="34" spans="1:30" x14ac:dyDescent="0.15">
      <c r="C34" s="2">
        <v>16890681</v>
      </c>
      <c r="D34" s="2">
        <v>16891413</v>
      </c>
      <c r="E34" s="2">
        <v>16892302</v>
      </c>
      <c r="F34" s="2">
        <v>16893846</v>
      </c>
      <c r="G34" s="2">
        <v>16894525</v>
      </c>
      <c r="H34" s="2">
        <v>16895731</v>
      </c>
      <c r="I34" s="2">
        <v>16899688</v>
      </c>
      <c r="J34" s="2">
        <v>16901187</v>
      </c>
      <c r="K34" s="2">
        <v>16901724</v>
      </c>
      <c r="L34" s="2">
        <v>16902976</v>
      </c>
      <c r="M34" s="45">
        <v>16903914</v>
      </c>
      <c r="N34" s="2">
        <v>16905897</v>
      </c>
      <c r="O34" s="2">
        <v>16907451</v>
      </c>
      <c r="P34" s="2">
        <v>16907987</v>
      </c>
      <c r="Q34" s="2">
        <v>16909253</v>
      </c>
      <c r="R34" s="2">
        <v>16910191</v>
      </c>
      <c r="S34" s="2">
        <v>16912193</v>
      </c>
      <c r="T34" s="2">
        <v>16913756</v>
      </c>
      <c r="U34" s="2">
        <v>16914292</v>
      </c>
      <c r="V34" s="2">
        <v>16915558</v>
      </c>
      <c r="W34" s="2">
        <v>16916496</v>
      </c>
      <c r="X34" s="2">
        <v>16918551</v>
      </c>
      <c r="Y34" s="2">
        <v>16918808</v>
      </c>
      <c r="Z34" s="2">
        <v>16920062</v>
      </c>
      <c r="AA34" s="2">
        <v>16921156</v>
      </c>
      <c r="AB34" s="2">
        <v>16921504</v>
      </c>
      <c r="AC34" s="2">
        <v>16935274</v>
      </c>
      <c r="AD34" s="2">
        <v>16939982</v>
      </c>
    </row>
    <row r="35" spans="1:30" x14ac:dyDescent="0.15">
      <c r="D35" s="56" t="s">
        <v>8828</v>
      </c>
    </row>
    <row r="36" spans="1:30" x14ac:dyDescent="0.15">
      <c r="A36" s="2" t="s">
        <v>8811</v>
      </c>
      <c r="B36" s="2" t="s">
        <v>8843</v>
      </c>
      <c r="C36" s="2">
        <v>16888921</v>
      </c>
      <c r="D36" s="2">
        <v>16891301</v>
      </c>
      <c r="E36" s="2">
        <v>16892127</v>
      </c>
      <c r="F36" s="3">
        <v>16893673</v>
      </c>
      <c r="G36" s="2">
        <v>16894473</v>
      </c>
      <c r="H36" s="2">
        <v>16895567</v>
      </c>
      <c r="I36" s="2">
        <v>16899636</v>
      </c>
      <c r="J36" s="2">
        <v>16900981</v>
      </c>
      <c r="K36" s="2">
        <v>16901651</v>
      </c>
      <c r="L36" s="2">
        <v>16902761</v>
      </c>
      <c r="M36" s="2">
        <v>16903811</v>
      </c>
      <c r="N36" s="2">
        <v>16905687</v>
      </c>
      <c r="O36" s="2">
        <v>16907239</v>
      </c>
      <c r="P36" s="2">
        <v>16907914</v>
      </c>
      <c r="Q36" s="2">
        <v>16909038</v>
      </c>
      <c r="R36" s="2">
        <v>16910088</v>
      </c>
      <c r="S36" s="2">
        <v>16911983</v>
      </c>
      <c r="T36" s="2">
        <v>16913544</v>
      </c>
      <c r="U36" s="2">
        <v>16914219</v>
      </c>
      <c r="V36" s="2">
        <v>16915343</v>
      </c>
      <c r="W36" s="2">
        <v>16916393</v>
      </c>
      <c r="X36" s="2">
        <v>16918341</v>
      </c>
      <c r="Y36" s="2">
        <v>16918653</v>
      </c>
      <c r="Z36" s="2">
        <v>16919935</v>
      </c>
      <c r="AA36" s="2">
        <v>16921086</v>
      </c>
      <c r="AB36" s="2">
        <v>16921425</v>
      </c>
      <c r="AC36" s="2">
        <v>16935002</v>
      </c>
      <c r="AD36" s="2">
        <v>16939832</v>
      </c>
    </row>
    <row r="37" spans="1:30" x14ac:dyDescent="0.15">
      <c r="C37" s="2">
        <v>16890681</v>
      </c>
      <c r="D37" s="2">
        <v>16891413</v>
      </c>
      <c r="E37" s="3">
        <v>16892304</v>
      </c>
      <c r="F37" s="2">
        <v>16893846</v>
      </c>
      <c r="G37" s="2">
        <v>16894525</v>
      </c>
      <c r="H37" s="2">
        <v>16895731</v>
      </c>
      <c r="I37" s="2">
        <v>16899688</v>
      </c>
      <c r="J37" s="2">
        <v>16901187</v>
      </c>
      <c r="K37" s="2">
        <v>16901724</v>
      </c>
      <c r="L37" s="2">
        <v>16902976</v>
      </c>
      <c r="M37" s="2">
        <v>16903914</v>
      </c>
      <c r="N37" s="2">
        <v>16905897</v>
      </c>
      <c r="O37" s="2">
        <v>16907451</v>
      </c>
      <c r="P37" s="2">
        <v>16907987</v>
      </c>
      <c r="Q37" s="2">
        <v>16909253</v>
      </c>
      <c r="R37" s="2">
        <v>16910191</v>
      </c>
      <c r="S37" s="2">
        <v>16912193</v>
      </c>
      <c r="T37" s="2">
        <v>16913756</v>
      </c>
      <c r="U37" s="2">
        <v>16914292</v>
      </c>
      <c r="V37" s="2">
        <v>16915558</v>
      </c>
      <c r="W37" s="2">
        <v>16916496</v>
      </c>
      <c r="X37" s="2">
        <v>16918551</v>
      </c>
      <c r="Y37" s="2">
        <v>16918808</v>
      </c>
      <c r="Z37" s="2">
        <v>16920062</v>
      </c>
      <c r="AA37" s="2">
        <v>16921156</v>
      </c>
      <c r="AB37" s="2">
        <v>16921504</v>
      </c>
      <c r="AC37" s="2">
        <v>16935274</v>
      </c>
      <c r="AD37" s="2">
        <v>16940100</v>
      </c>
    </row>
    <row r="38" spans="1:30" x14ac:dyDescent="0.15">
      <c r="C38" s="2">
        <f>IF(C33=C36,1,0)</f>
        <v>0</v>
      </c>
      <c r="D38" s="2">
        <f t="shared" ref="D38:AD39" si="4">IF(D33=D36,1,0)</f>
        <v>1</v>
      </c>
      <c r="E38" s="2">
        <f t="shared" si="4"/>
        <v>1</v>
      </c>
      <c r="F38" s="2">
        <f t="shared" si="4"/>
        <v>0</v>
      </c>
      <c r="G38" s="2">
        <f t="shared" si="4"/>
        <v>1</v>
      </c>
      <c r="H38" s="2">
        <f t="shared" si="4"/>
        <v>1</v>
      </c>
      <c r="I38" s="2">
        <f t="shared" si="4"/>
        <v>1</v>
      </c>
      <c r="J38" s="2">
        <f t="shared" si="4"/>
        <v>1</v>
      </c>
      <c r="K38" s="2">
        <f t="shared" si="4"/>
        <v>1</v>
      </c>
      <c r="L38" s="2">
        <f t="shared" si="4"/>
        <v>1</v>
      </c>
      <c r="M38" s="2">
        <f t="shared" si="4"/>
        <v>1</v>
      </c>
      <c r="N38" s="2">
        <f t="shared" si="4"/>
        <v>1</v>
      </c>
      <c r="O38" s="2">
        <f t="shared" si="4"/>
        <v>1</v>
      </c>
      <c r="P38" s="2">
        <f t="shared" si="4"/>
        <v>1</v>
      </c>
      <c r="Q38" s="2">
        <f t="shared" si="4"/>
        <v>1</v>
      </c>
      <c r="R38" s="2">
        <f t="shared" si="4"/>
        <v>1</v>
      </c>
      <c r="S38" s="2">
        <f t="shared" si="4"/>
        <v>1</v>
      </c>
      <c r="T38" s="2">
        <f t="shared" si="4"/>
        <v>1</v>
      </c>
      <c r="U38" s="2">
        <f t="shared" si="4"/>
        <v>1</v>
      </c>
      <c r="V38" s="2">
        <f t="shared" si="4"/>
        <v>1</v>
      </c>
      <c r="W38" s="2">
        <f t="shared" si="4"/>
        <v>1</v>
      </c>
      <c r="X38" s="2">
        <f t="shared" si="4"/>
        <v>1</v>
      </c>
      <c r="Y38" s="2">
        <f t="shared" si="4"/>
        <v>1</v>
      </c>
      <c r="Z38" s="2">
        <f t="shared" si="4"/>
        <v>1</v>
      </c>
      <c r="AA38" s="2">
        <f t="shared" si="4"/>
        <v>1</v>
      </c>
      <c r="AB38" s="2">
        <f t="shared" si="4"/>
        <v>1</v>
      </c>
      <c r="AC38" s="2">
        <f t="shared" si="4"/>
        <v>1</v>
      </c>
      <c r="AD38" s="2">
        <f t="shared" si="4"/>
        <v>1</v>
      </c>
    </row>
    <row r="39" spans="1:30" x14ac:dyDescent="0.15">
      <c r="C39" s="2">
        <f>IF(C34=C37,1,0)</f>
        <v>1</v>
      </c>
      <c r="D39" s="2">
        <f t="shared" si="4"/>
        <v>1</v>
      </c>
      <c r="E39" s="2">
        <f t="shared" si="4"/>
        <v>0</v>
      </c>
      <c r="F39" s="2">
        <f t="shared" si="4"/>
        <v>1</v>
      </c>
      <c r="G39" s="2">
        <f t="shared" si="4"/>
        <v>1</v>
      </c>
      <c r="H39" s="2">
        <f t="shared" si="4"/>
        <v>1</v>
      </c>
      <c r="I39" s="2">
        <f t="shared" si="4"/>
        <v>1</v>
      </c>
      <c r="J39" s="2">
        <f t="shared" si="4"/>
        <v>1</v>
      </c>
      <c r="K39" s="2">
        <f t="shared" si="4"/>
        <v>1</v>
      </c>
      <c r="L39" s="2">
        <f t="shared" si="4"/>
        <v>1</v>
      </c>
      <c r="M39" s="2">
        <f t="shared" si="4"/>
        <v>1</v>
      </c>
      <c r="N39" s="2">
        <f t="shared" si="4"/>
        <v>1</v>
      </c>
      <c r="O39" s="2">
        <f t="shared" si="4"/>
        <v>1</v>
      </c>
      <c r="P39" s="2">
        <f t="shared" si="4"/>
        <v>1</v>
      </c>
      <c r="Q39" s="2">
        <f t="shared" si="4"/>
        <v>1</v>
      </c>
      <c r="R39" s="2">
        <f t="shared" si="4"/>
        <v>1</v>
      </c>
      <c r="S39" s="2">
        <f t="shared" si="4"/>
        <v>1</v>
      </c>
      <c r="T39" s="2">
        <f t="shared" si="4"/>
        <v>1</v>
      </c>
      <c r="U39" s="2">
        <f t="shared" si="4"/>
        <v>1</v>
      </c>
      <c r="V39" s="2">
        <f t="shared" si="4"/>
        <v>1</v>
      </c>
      <c r="W39" s="2">
        <f t="shared" si="4"/>
        <v>1</v>
      </c>
      <c r="X39" s="2">
        <f t="shared" si="4"/>
        <v>1</v>
      </c>
      <c r="Y39" s="2">
        <f t="shared" si="4"/>
        <v>1</v>
      </c>
      <c r="Z39" s="2">
        <f t="shared" si="4"/>
        <v>1</v>
      </c>
      <c r="AA39" s="2">
        <f t="shared" si="4"/>
        <v>1</v>
      </c>
      <c r="AB39" s="2">
        <f t="shared" si="4"/>
        <v>1</v>
      </c>
      <c r="AC39" s="2">
        <f t="shared" si="4"/>
        <v>1</v>
      </c>
      <c r="AD39" s="2">
        <f t="shared" si="4"/>
        <v>0</v>
      </c>
    </row>
    <row r="41" spans="1:30" x14ac:dyDescent="0.15">
      <c r="A41" s="2" t="s">
        <v>3886</v>
      </c>
      <c r="B41" s="2" t="s">
        <v>8845</v>
      </c>
      <c r="C41" s="2">
        <v>144939491</v>
      </c>
      <c r="D41" s="2">
        <v>144940300</v>
      </c>
      <c r="E41" s="54">
        <v>144952605</v>
      </c>
    </row>
    <row r="42" spans="1:30" x14ac:dyDescent="0.15">
      <c r="C42" s="2">
        <v>144940300</v>
      </c>
      <c r="D42" s="2">
        <v>144947466</v>
      </c>
      <c r="E42" s="54">
        <v>144952632</v>
      </c>
    </row>
    <row r="43" spans="1:30" x14ac:dyDescent="0.15">
      <c r="D43" s="54" t="s">
        <v>8835</v>
      </c>
      <c r="E43" s="54">
        <v>144952607</v>
      </c>
      <c r="F43" s="54" t="s">
        <v>8836</v>
      </c>
    </row>
    <row r="44" spans="1:30" x14ac:dyDescent="0.15">
      <c r="B44" s="2" t="s">
        <v>8843</v>
      </c>
      <c r="C44" s="2">
        <v>144939911</v>
      </c>
      <c r="D44" s="2">
        <v>144940566</v>
      </c>
    </row>
    <row r="45" spans="1:30" x14ac:dyDescent="0.15">
      <c r="C45" s="2">
        <v>144940566</v>
      </c>
      <c r="D45" s="2">
        <v>144947434</v>
      </c>
    </row>
    <row r="46" spans="1:30" x14ac:dyDescent="0.15">
      <c r="C46" s="2" t="s">
        <v>8837</v>
      </c>
    </row>
    <row r="47" spans="1:30" x14ac:dyDescent="0.15">
      <c r="C47" s="12" t="s">
        <v>8838</v>
      </c>
    </row>
    <row r="49" spans="1:21" x14ac:dyDescent="0.15">
      <c r="A49" s="2" t="s">
        <v>8840</v>
      </c>
      <c r="B49" s="2" t="s">
        <v>8845</v>
      </c>
      <c r="C49" s="2">
        <v>40086887</v>
      </c>
      <c r="D49" s="2">
        <v>40091469</v>
      </c>
      <c r="E49" s="2">
        <v>40091851</v>
      </c>
      <c r="F49" s="2">
        <v>40092725</v>
      </c>
      <c r="G49" s="2">
        <v>40093014</v>
      </c>
      <c r="H49" s="2">
        <v>40094809</v>
      </c>
      <c r="I49" s="2">
        <v>40095217</v>
      </c>
      <c r="J49" s="2">
        <v>40101389</v>
      </c>
      <c r="K49" s="54">
        <v>40107234</v>
      </c>
      <c r="L49" s="2">
        <v>40113399</v>
      </c>
      <c r="M49" s="2">
        <v>40117010</v>
      </c>
    </row>
    <row r="50" spans="1:21" x14ac:dyDescent="0.15">
      <c r="C50" s="2">
        <v>40087090</v>
      </c>
      <c r="D50" s="2">
        <v>40091601</v>
      </c>
      <c r="E50" s="2">
        <v>40092002</v>
      </c>
      <c r="F50" s="2">
        <v>40092787</v>
      </c>
      <c r="G50" s="2">
        <v>40093180</v>
      </c>
      <c r="H50" s="2">
        <v>40095034</v>
      </c>
      <c r="I50" s="2">
        <v>40095425</v>
      </c>
      <c r="J50" s="3">
        <v>40101479</v>
      </c>
      <c r="K50" s="2">
        <v>40107335</v>
      </c>
      <c r="L50" s="2">
        <v>40113484</v>
      </c>
      <c r="M50" s="2">
        <v>40117669</v>
      </c>
    </row>
    <row r="51" spans="1:21" x14ac:dyDescent="0.15">
      <c r="I51" s="2" t="s">
        <v>8850</v>
      </c>
      <c r="J51" s="3">
        <v>40101477</v>
      </c>
      <c r="K51" s="12" t="s">
        <v>8839</v>
      </c>
      <c r="L51" s="54" t="s">
        <v>8848</v>
      </c>
      <c r="M51" s="54">
        <v>40107233</v>
      </c>
      <c r="N51" s="54" t="s">
        <v>8849</v>
      </c>
    </row>
    <row r="52" spans="1:21" x14ac:dyDescent="0.15">
      <c r="B52" s="2" t="s">
        <v>8843</v>
      </c>
      <c r="C52" s="2">
        <v>40086887</v>
      </c>
      <c r="D52" s="2">
        <v>40091469</v>
      </c>
      <c r="E52" s="2">
        <v>40091851</v>
      </c>
      <c r="F52" s="2">
        <v>40092725</v>
      </c>
      <c r="G52" s="2">
        <v>40093014</v>
      </c>
      <c r="H52" s="2">
        <v>40094809</v>
      </c>
      <c r="I52" s="2">
        <v>40095217</v>
      </c>
      <c r="J52" s="2">
        <v>40101389</v>
      </c>
      <c r="K52" s="2">
        <v>40107236</v>
      </c>
      <c r="L52" s="2">
        <v>40113399</v>
      </c>
      <c r="M52" s="2">
        <v>40117010</v>
      </c>
    </row>
    <row r="53" spans="1:21" x14ac:dyDescent="0.15">
      <c r="C53" s="2">
        <v>40087090</v>
      </c>
      <c r="D53" s="2">
        <v>40091601</v>
      </c>
      <c r="E53" s="2">
        <v>40092002</v>
      </c>
      <c r="F53" s="2">
        <v>40092787</v>
      </c>
      <c r="G53" s="2">
        <v>40093180</v>
      </c>
      <c r="H53" s="2">
        <v>40095034</v>
      </c>
      <c r="I53" s="2">
        <v>40095425</v>
      </c>
      <c r="J53" s="3">
        <v>40101477</v>
      </c>
      <c r="K53" s="2">
        <v>40107335</v>
      </c>
      <c r="L53" s="2">
        <v>40113484</v>
      </c>
      <c r="M53" s="2">
        <v>40117669</v>
      </c>
    </row>
    <row r="54" spans="1:21" x14ac:dyDescent="0.15">
      <c r="C54" s="2">
        <f>IF(C49=C52,1,0)</f>
        <v>1</v>
      </c>
      <c r="D54" s="2">
        <f t="shared" ref="D54:M54" si="5">IF(D49=D52,1,0)</f>
        <v>1</v>
      </c>
      <c r="E54" s="2">
        <f t="shared" si="5"/>
        <v>1</v>
      </c>
      <c r="F54" s="2">
        <f t="shared" si="5"/>
        <v>1</v>
      </c>
      <c r="G54" s="2">
        <f t="shared" si="5"/>
        <v>1</v>
      </c>
      <c r="H54" s="2">
        <f t="shared" si="5"/>
        <v>1</v>
      </c>
      <c r="I54" s="2">
        <f t="shared" si="5"/>
        <v>1</v>
      </c>
      <c r="J54" s="2">
        <f t="shared" si="5"/>
        <v>1</v>
      </c>
      <c r="K54" s="2">
        <f t="shared" si="5"/>
        <v>0</v>
      </c>
      <c r="L54" s="2">
        <f t="shared" si="5"/>
        <v>1</v>
      </c>
      <c r="M54" s="2">
        <f t="shared" si="5"/>
        <v>1</v>
      </c>
    </row>
    <row r="55" spans="1:21" x14ac:dyDescent="0.15">
      <c r="C55" s="2">
        <f>IF(C50=C53,1,0)</f>
        <v>1</v>
      </c>
      <c r="D55" s="2">
        <f t="shared" ref="D55:M55" si="6">IF(D50=D53,1,0)</f>
        <v>1</v>
      </c>
      <c r="E55" s="2">
        <f t="shared" si="6"/>
        <v>1</v>
      </c>
      <c r="F55" s="2">
        <f t="shared" si="6"/>
        <v>1</v>
      </c>
      <c r="G55" s="2">
        <f t="shared" si="6"/>
        <v>1</v>
      </c>
      <c r="H55" s="2">
        <f t="shared" si="6"/>
        <v>1</v>
      </c>
      <c r="I55" s="2">
        <f t="shared" si="6"/>
        <v>1</v>
      </c>
      <c r="J55" s="2">
        <f t="shared" si="6"/>
        <v>0</v>
      </c>
      <c r="K55" s="2">
        <f t="shared" si="6"/>
        <v>1</v>
      </c>
      <c r="L55" s="2">
        <f t="shared" si="6"/>
        <v>1</v>
      </c>
      <c r="M55" s="2">
        <f t="shared" si="6"/>
        <v>1</v>
      </c>
    </row>
    <row r="57" spans="1:21" x14ac:dyDescent="0.15">
      <c r="A57" s="2" t="s">
        <v>3889</v>
      </c>
      <c r="B57" s="2" t="s">
        <v>8845</v>
      </c>
      <c r="C57" s="2">
        <v>1571099</v>
      </c>
      <c r="D57" s="2">
        <v>1571298</v>
      </c>
      <c r="E57" s="2">
        <v>1571694</v>
      </c>
      <c r="F57" s="2">
        <v>1572043</v>
      </c>
      <c r="G57" s="2">
        <v>1572258</v>
      </c>
      <c r="H57" s="2">
        <v>1572442</v>
      </c>
      <c r="I57" s="2">
        <v>1572769</v>
      </c>
      <c r="J57" s="2">
        <v>1573123</v>
      </c>
      <c r="K57" s="2">
        <v>1573861</v>
      </c>
      <c r="L57" s="2">
        <v>1575637</v>
      </c>
      <c r="M57" s="2">
        <v>1576408</v>
      </c>
      <c r="N57" s="2">
        <v>1577022</v>
      </c>
      <c r="O57" s="2">
        <v>1577266</v>
      </c>
      <c r="P57" s="2">
        <v>1577746</v>
      </c>
      <c r="Q57" s="2">
        <v>1580486</v>
      </c>
      <c r="R57" s="2">
        <v>1585960</v>
      </c>
      <c r="S57" s="2">
        <v>1586817</v>
      </c>
      <c r="T57" s="2">
        <v>1588824</v>
      </c>
      <c r="U57" s="2">
        <v>1590374</v>
      </c>
    </row>
    <row r="58" spans="1:21" x14ac:dyDescent="0.15">
      <c r="C58" s="2">
        <v>1571218</v>
      </c>
      <c r="D58" s="2">
        <v>1571488</v>
      </c>
      <c r="E58" s="2">
        <v>1571843</v>
      </c>
      <c r="F58" s="2">
        <v>1572160</v>
      </c>
      <c r="G58" s="2">
        <v>1572366</v>
      </c>
      <c r="H58" s="2">
        <v>1572564</v>
      </c>
      <c r="I58" s="2">
        <v>1572875</v>
      </c>
      <c r="J58" s="2">
        <v>1573245</v>
      </c>
      <c r="K58" s="2">
        <v>1573952</v>
      </c>
      <c r="L58" s="2">
        <v>1575813</v>
      </c>
      <c r="M58" s="2">
        <v>1576474</v>
      </c>
      <c r="N58" s="2">
        <v>1577181</v>
      </c>
      <c r="O58" s="2">
        <v>1577362</v>
      </c>
      <c r="P58" s="2">
        <v>1577869</v>
      </c>
      <c r="Q58" s="54">
        <v>1580623</v>
      </c>
      <c r="R58" s="2">
        <v>1585972</v>
      </c>
      <c r="S58" s="2">
        <v>1586938</v>
      </c>
      <c r="T58" s="2">
        <v>1588948</v>
      </c>
      <c r="U58" s="2">
        <v>1590473</v>
      </c>
    </row>
    <row r="59" spans="1:21" x14ac:dyDescent="0.15">
      <c r="P59" s="54" t="s">
        <v>8854</v>
      </c>
      <c r="Q59" s="54">
        <v>1580626</v>
      </c>
      <c r="R59" s="54" t="s">
        <v>8853</v>
      </c>
      <c r="S59" s="2" t="s">
        <v>8852</v>
      </c>
      <c r="T59" s="2">
        <v>1586817</v>
      </c>
      <c r="U59" s="2" t="s">
        <v>8851</v>
      </c>
    </row>
    <row r="60" spans="1:21" x14ac:dyDescent="0.15">
      <c r="B60" s="2" t="s">
        <v>8843</v>
      </c>
      <c r="C60" s="2">
        <v>1571099</v>
      </c>
      <c r="D60" s="2">
        <v>1571298</v>
      </c>
      <c r="E60" s="2">
        <v>1571694</v>
      </c>
      <c r="F60" s="2">
        <v>1572043</v>
      </c>
      <c r="G60" s="2">
        <v>1572258</v>
      </c>
      <c r="H60" s="2">
        <v>1572442</v>
      </c>
      <c r="I60" s="2">
        <v>1572769</v>
      </c>
      <c r="J60" s="2">
        <v>1573123</v>
      </c>
      <c r="K60" s="2">
        <v>1573861</v>
      </c>
      <c r="L60" s="2">
        <v>1575637</v>
      </c>
      <c r="M60" s="2">
        <v>1576408</v>
      </c>
      <c r="N60" s="2">
        <v>1577022</v>
      </c>
      <c r="O60" s="2">
        <v>1577266</v>
      </c>
      <c r="P60" s="2">
        <v>1577746</v>
      </c>
      <c r="Q60" s="2">
        <v>1580486</v>
      </c>
      <c r="R60" s="3">
        <v>1585961</v>
      </c>
      <c r="S60" s="3">
        <v>1586818</v>
      </c>
      <c r="T60" s="2">
        <v>1588824</v>
      </c>
      <c r="U60" s="2">
        <v>1590374</v>
      </c>
    </row>
    <row r="61" spans="1:21" x14ac:dyDescent="0.15">
      <c r="C61" s="2">
        <v>1571218</v>
      </c>
      <c r="D61" s="2">
        <v>1571488</v>
      </c>
      <c r="E61" s="2">
        <v>1571843</v>
      </c>
      <c r="F61" s="2">
        <v>1572160</v>
      </c>
      <c r="G61" s="2">
        <v>1572366</v>
      </c>
      <c r="H61" s="2">
        <v>1572564</v>
      </c>
      <c r="I61" s="2">
        <v>1572875</v>
      </c>
      <c r="J61" s="2">
        <v>1573245</v>
      </c>
      <c r="K61" s="2">
        <v>1573952</v>
      </c>
      <c r="L61" s="2">
        <v>1575813</v>
      </c>
      <c r="M61" s="2">
        <v>1576474</v>
      </c>
      <c r="N61" s="2">
        <v>1577181</v>
      </c>
      <c r="O61" s="2">
        <v>1577362</v>
      </c>
      <c r="P61" s="2">
        <v>1577869</v>
      </c>
      <c r="Q61" s="3">
        <v>1580622</v>
      </c>
      <c r="R61" s="3">
        <v>1585970</v>
      </c>
      <c r="S61" s="2">
        <v>1586938</v>
      </c>
      <c r="T61" s="2">
        <v>1588948</v>
      </c>
      <c r="U61" s="2">
        <v>1590473</v>
      </c>
    </row>
    <row r="62" spans="1:21" x14ac:dyDescent="0.15">
      <c r="C62" s="2">
        <f>IF(C57=C60,1,0)</f>
        <v>1</v>
      </c>
      <c r="D62" s="2">
        <f t="shared" ref="D62:U62" si="7">IF(D57=D60,1,0)</f>
        <v>1</v>
      </c>
      <c r="E62" s="2">
        <f t="shared" si="7"/>
        <v>1</v>
      </c>
      <c r="F62" s="2">
        <f t="shared" si="7"/>
        <v>1</v>
      </c>
      <c r="G62" s="2">
        <f t="shared" si="7"/>
        <v>1</v>
      </c>
      <c r="H62" s="2">
        <f t="shared" si="7"/>
        <v>1</v>
      </c>
      <c r="I62" s="2">
        <f t="shared" si="7"/>
        <v>1</v>
      </c>
      <c r="J62" s="2">
        <f t="shared" si="7"/>
        <v>1</v>
      </c>
      <c r="K62" s="2">
        <f t="shared" si="7"/>
        <v>1</v>
      </c>
      <c r="L62" s="2">
        <f t="shared" si="7"/>
        <v>1</v>
      </c>
      <c r="M62" s="2">
        <f t="shared" si="7"/>
        <v>1</v>
      </c>
      <c r="N62" s="2">
        <f t="shared" si="7"/>
        <v>1</v>
      </c>
      <c r="O62" s="2">
        <f t="shared" si="7"/>
        <v>1</v>
      </c>
      <c r="P62" s="2">
        <f t="shared" si="7"/>
        <v>1</v>
      </c>
      <c r="Q62" s="2">
        <f t="shared" si="7"/>
        <v>1</v>
      </c>
      <c r="R62" s="2">
        <f t="shared" si="7"/>
        <v>0</v>
      </c>
      <c r="S62" s="2">
        <f t="shared" si="7"/>
        <v>0</v>
      </c>
      <c r="T62" s="2">
        <f t="shared" si="7"/>
        <v>1</v>
      </c>
      <c r="U62" s="2">
        <f t="shared" si="7"/>
        <v>1</v>
      </c>
    </row>
    <row r="63" spans="1:21" x14ac:dyDescent="0.15">
      <c r="C63" s="2">
        <f>IF(C58=C61,1,0)</f>
        <v>1</v>
      </c>
      <c r="D63" s="2">
        <f t="shared" ref="D63:U63" si="8">IF(D58=D61,1,0)</f>
        <v>1</v>
      </c>
      <c r="E63" s="2">
        <f t="shared" si="8"/>
        <v>1</v>
      </c>
      <c r="F63" s="2">
        <f t="shared" si="8"/>
        <v>1</v>
      </c>
      <c r="G63" s="2">
        <f t="shared" si="8"/>
        <v>1</v>
      </c>
      <c r="H63" s="2">
        <f t="shared" si="8"/>
        <v>1</v>
      </c>
      <c r="I63" s="2">
        <f t="shared" si="8"/>
        <v>1</v>
      </c>
      <c r="J63" s="2">
        <f t="shared" si="8"/>
        <v>1</v>
      </c>
      <c r="K63" s="2">
        <f t="shared" si="8"/>
        <v>1</v>
      </c>
      <c r="L63" s="2">
        <f t="shared" si="8"/>
        <v>1</v>
      </c>
      <c r="M63" s="2">
        <f t="shared" si="8"/>
        <v>1</v>
      </c>
      <c r="N63" s="2">
        <f t="shared" si="8"/>
        <v>1</v>
      </c>
      <c r="O63" s="2">
        <f t="shared" si="8"/>
        <v>1</v>
      </c>
      <c r="P63" s="2">
        <f t="shared" si="8"/>
        <v>1</v>
      </c>
      <c r="Q63" s="2">
        <f t="shared" si="8"/>
        <v>0</v>
      </c>
      <c r="R63" s="2">
        <f t="shared" si="8"/>
        <v>0</v>
      </c>
      <c r="S63" s="2">
        <f t="shared" si="8"/>
        <v>1</v>
      </c>
      <c r="T63" s="2">
        <f t="shared" si="8"/>
        <v>1</v>
      </c>
      <c r="U63" s="2">
        <f t="shared" si="8"/>
        <v>1</v>
      </c>
    </row>
    <row r="65" spans="1:22" x14ac:dyDescent="0.15">
      <c r="A65" s="2" t="s">
        <v>8855</v>
      </c>
      <c r="B65" s="2" t="s">
        <v>8845</v>
      </c>
      <c r="C65" s="2">
        <v>1571099</v>
      </c>
      <c r="D65" s="2">
        <v>1571298</v>
      </c>
      <c r="E65" s="2">
        <v>1571694</v>
      </c>
      <c r="F65" s="2">
        <v>1572043</v>
      </c>
      <c r="G65" s="2">
        <v>1572258</v>
      </c>
      <c r="H65" s="2">
        <v>1572442</v>
      </c>
      <c r="I65" s="2">
        <v>1572769</v>
      </c>
      <c r="J65" s="2">
        <v>1573123</v>
      </c>
      <c r="K65" s="2">
        <v>1573861</v>
      </c>
      <c r="L65" s="2">
        <v>1575637</v>
      </c>
      <c r="M65" s="2">
        <v>1576408</v>
      </c>
      <c r="N65" s="2">
        <v>1577022</v>
      </c>
      <c r="O65" s="2">
        <v>1577266</v>
      </c>
      <c r="P65" s="2">
        <v>1577746</v>
      </c>
      <c r="Q65" s="2">
        <v>1580486</v>
      </c>
      <c r="R65" s="2">
        <v>1586817</v>
      </c>
      <c r="S65" s="2">
        <v>1588705</v>
      </c>
      <c r="T65" s="2">
        <v>1588824</v>
      </c>
      <c r="U65" s="2">
        <v>1590374</v>
      </c>
    </row>
    <row r="66" spans="1:22" x14ac:dyDescent="0.15">
      <c r="C66" s="2">
        <v>1571218</v>
      </c>
      <c r="D66" s="2">
        <v>1571488</v>
      </c>
      <c r="E66" s="2">
        <v>1571843</v>
      </c>
      <c r="F66" s="2">
        <v>1572160</v>
      </c>
      <c r="G66" s="2">
        <v>1572366</v>
      </c>
      <c r="H66" s="2">
        <v>1572564</v>
      </c>
      <c r="I66" s="2">
        <v>1572875</v>
      </c>
      <c r="J66" s="2">
        <v>1573245</v>
      </c>
      <c r="K66" s="2">
        <v>1573952</v>
      </c>
      <c r="L66" s="2">
        <v>1575813</v>
      </c>
      <c r="M66" s="2">
        <v>1576474</v>
      </c>
      <c r="N66" s="2">
        <v>1577181</v>
      </c>
      <c r="O66" s="2">
        <v>1577362</v>
      </c>
      <c r="P66" s="2">
        <v>1577869</v>
      </c>
      <c r="Q66" s="2">
        <v>1580623</v>
      </c>
      <c r="R66" s="2">
        <v>1586938</v>
      </c>
      <c r="S66" s="2">
        <v>1588752</v>
      </c>
      <c r="T66" s="2">
        <v>1588948</v>
      </c>
      <c r="U66" s="2">
        <v>1590473</v>
      </c>
    </row>
    <row r="67" spans="1:22" x14ac:dyDescent="0.15">
      <c r="P67" s="54" t="s">
        <v>8854</v>
      </c>
      <c r="Q67" s="54">
        <v>1580626</v>
      </c>
      <c r="R67" s="58" t="s">
        <v>8856</v>
      </c>
    </row>
    <row r="68" spans="1:22" x14ac:dyDescent="0.15">
      <c r="B68" s="2" t="s">
        <v>8843</v>
      </c>
      <c r="C68" s="2">
        <v>1571099</v>
      </c>
      <c r="D68" s="2">
        <v>1571298</v>
      </c>
      <c r="E68" s="2">
        <v>1571694</v>
      </c>
      <c r="F68" s="2">
        <v>1572043</v>
      </c>
      <c r="G68" s="2">
        <v>1572258</v>
      </c>
      <c r="H68" s="2">
        <v>1572442</v>
      </c>
      <c r="I68" s="2">
        <v>1572769</v>
      </c>
      <c r="J68" s="2">
        <v>1573123</v>
      </c>
      <c r="K68" s="2">
        <v>1573861</v>
      </c>
      <c r="L68" s="2">
        <v>1575637</v>
      </c>
      <c r="M68" s="2">
        <v>1576408</v>
      </c>
      <c r="N68" s="2">
        <v>1577022</v>
      </c>
      <c r="O68" s="2">
        <v>1577266</v>
      </c>
      <c r="P68" s="2">
        <v>1577746</v>
      </c>
      <c r="Q68" s="2">
        <v>1580486</v>
      </c>
      <c r="R68" s="3">
        <v>1586818</v>
      </c>
      <c r="S68" s="2">
        <v>1588705</v>
      </c>
      <c r="T68" s="2">
        <v>1588824</v>
      </c>
      <c r="U68" s="2">
        <v>1590374</v>
      </c>
    </row>
    <row r="69" spans="1:22" x14ac:dyDescent="0.15">
      <c r="C69" s="2">
        <v>1571218</v>
      </c>
      <c r="D69" s="2">
        <v>1571488</v>
      </c>
      <c r="E69" s="2">
        <v>1571843</v>
      </c>
      <c r="F69" s="2">
        <v>1572160</v>
      </c>
      <c r="G69" s="2">
        <v>1572366</v>
      </c>
      <c r="H69" s="2">
        <v>1572564</v>
      </c>
      <c r="I69" s="2">
        <v>1572875</v>
      </c>
      <c r="J69" s="2">
        <v>1573245</v>
      </c>
      <c r="K69" s="2">
        <v>1573952</v>
      </c>
      <c r="L69" s="2">
        <v>1575813</v>
      </c>
      <c r="M69" s="2">
        <v>1576474</v>
      </c>
      <c r="N69" s="2">
        <v>1577181</v>
      </c>
      <c r="O69" s="2">
        <v>1577362</v>
      </c>
      <c r="P69" s="2">
        <v>1577869</v>
      </c>
      <c r="Q69" s="3">
        <v>1580622</v>
      </c>
      <c r="R69" s="2">
        <v>1586938</v>
      </c>
      <c r="S69" s="2">
        <v>1588752</v>
      </c>
      <c r="T69" s="2">
        <v>1588948</v>
      </c>
      <c r="U69" s="2">
        <v>1590473</v>
      </c>
    </row>
    <row r="70" spans="1:22" x14ac:dyDescent="0.15">
      <c r="C70" s="2">
        <f>IF(C65=C68,1,0)</f>
        <v>1</v>
      </c>
      <c r="D70" s="2">
        <f t="shared" ref="D70:U70" si="9">IF(D65=D68,1,0)</f>
        <v>1</v>
      </c>
      <c r="E70" s="2">
        <f t="shared" si="9"/>
        <v>1</v>
      </c>
      <c r="F70" s="2">
        <f t="shared" si="9"/>
        <v>1</v>
      </c>
      <c r="G70" s="2">
        <f t="shared" si="9"/>
        <v>1</v>
      </c>
      <c r="H70" s="2">
        <f t="shared" si="9"/>
        <v>1</v>
      </c>
      <c r="I70" s="2">
        <f t="shared" si="9"/>
        <v>1</v>
      </c>
      <c r="J70" s="2">
        <f t="shared" si="9"/>
        <v>1</v>
      </c>
      <c r="K70" s="2">
        <f t="shared" si="9"/>
        <v>1</v>
      </c>
      <c r="L70" s="2">
        <f t="shared" si="9"/>
        <v>1</v>
      </c>
      <c r="M70" s="2">
        <f t="shared" si="9"/>
        <v>1</v>
      </c>
      <c r="N70" s="2">
        <f t="shared" si="9"/>
        <v>1</v>
      </c>
      <c r="O70" s="2">
        <f t="shared" si="9"/>
        <v>1</v>
      </c>
      <c r="P70" s="2">
        <f t="shared" si="9"/>
        <v>1</v>
      </c>
      <c r="Q70" s="2">
        <f t="shared" si="9"/>
        <v>1</v>
      </c>
      <c r="R70" s="2">
        <f t="shared" si="9"/>
        <v>0</v>
      </c>
      <c r="S70" s="2">
        <f t="shared" si="9"/>
        <v>1</v>
      </c>
      <c r="T70" s="2">
        <f t="shared" si="9"/>
        <v>1</v>
      </c>
      <c r="U70" s="2">
        <f t="shared" si="9"/>
        <v>1</v>
      </c>
    </row>
    <row r="71" spans="1:22" x14ac:dyDescent="0.15">
      <c r="C71" s="2">
        <f>IF(C66=C69,1,0)</f>
        <v>1</v>
      </c>
      <c r="D71" s="2">
        <f t="shared" ref="D71:U71" si="10">IF(D66=D69,1,0)</f>
        <v>1</v>
      </c>
      <c r="E71" s="2">
        <f t="shared" si="10"/>
        <v>1</v>
      </c>
      <c r="F71" s="2">
        <f t="shared" si="10"/>
        <v>1</v>
      </c>
      <c r="G71" s="2">
        <f t="shared" si="10"/>
        <v>1</v>
      </c>
      <c r="H71" s="2">
        <f t="shared" si="10"/>
        <v>1</v>
      </c>
      <c r="I71" s="2">
        <f t="shared" si="10"/>
        <v>1</v>
      </c>
      <c r="J71" s="2">
        <f t="shared" si="10"/>
        <v>1</v>
      </c>
      <c r="K71" s="2">
        <f t="shared" si="10"/>
        <v>1</v>
      </c>
      <c r="L71" s="2">
        <f t="shared" si="10"/>
        <v>1</v>
      </c>
      <c r="M71" s="2">
        <f t="shared" si="10"/>
        <v>1</v>
      </c>
      <c r="N71" s="2">
        <f t="shared" si="10"/>
        <v>1</v>
      </c>
      <c r="O71" s="2">
        <f t="shared" si="10"/>
        <v>1</v>
      </c>
      <c r="P71" s="2">
        <f t="shared" si="10"/>
        <v>1</v>
      </c>
      <c r="Q71" s="2">
        <f t="shared" si="10"/>
        <v>0</v>
      </c>
      <c r="R71" s="2">
        <f t="shared" si="10"/>
        <v>1</v>
      </c>
      <c r="S71" s="2">
        <f t="shared" si="10"/>
        <v>1</v>
      </c>
      <c r="T71" s="2">
        <f t="shared" si="10"/>
        <v>1</v>
      </c>
      <c r="U71" s="2">
        <f t="shared" si="10"/>
        <v>1</v>
      </c>
    </row>
    <row r="73" spans="1:22" x14ac:dyDescent="0.15">
      <c r="A73" s="2" t="s">
        <v>3746</v>
      </c>
      <c r="B73" s="2" t="s">
        <v>8845</v>
      </c>
      <c r="C73" s="2">
        <v>1571099</v>
      </c>
      <c r="D73" s="2">
        <v>1571298</v>
      </c>
      <c r="E73" s="2">
        <v>1571694</v>
      </c>
      <c r="F73" s="2">
        <v>1572043</v>
      </c>
      <c r="G73" s="2">
        <v>1572258</v>
      </c>
      <c r="H73" s="2">
        <v>1572442</v>
      </c>
      <c r="I73" s="2">
        <v>1572769</v>
      </c>
      <c r="J73" s="2">
        <v>1573123</v>
      </c>
      <c r="K73" s="2">
        <v>1573861</v>
      </c>
      <c r="L73" s="2">
        <v>1575637</v>
      </c>
      <c r="M73" s="2">
        <v>1576408</v>
      </c>
      <c r="N73" s="2">
        <v>1577022</v>
      </c>
      <c r="O73" s="2">
        <v>1577266</v>
      </c>
      <c r="P73" s="2">
        <v>1577746</v>
      </c>
      <c r="Q73" s="2">
        <v>1580486</v>
      </c>
      <c r="R73" s="2">
        <v>1585960</v>
      </c>
      <c r="S73" s="2">
        <v>1586817</v>
      </c>
      <c r="T73" s="2">
        <v>1588705</v>
      </c>
      <c r="U73" s="2">
        <v>1588824</v>
      </c>
      <c r="V73" s="2">
        <v>1590374</v>
      </c>
    </row>
    <row r="74" spans="1:22" x14ac:dyDescent="0.15">
      <c r="C74" s="2">
        <v>1571218</v>
      </c>
      <c r="D74" s="2">
        <v>1571488</v>
      </c>
      <c r="E74" s="2">
        <v>1571843</v>
      </c>
      <c r="F74" s="2">
        <v>1572160</v>
      </c>
      <c r="G74" s="2">
        <v>1572366</v>
      </c>
      <c r="H74" s="2">
        <v>1572564</v>
      </c>
      <c r="I74" s="2">
        <v>1572875</v>
      </c>
      <c r="J74" s="2">
        <v>1573245</v>
      </c>
      <c r="K74" s="2">
        <v>1573952</v>
      </c>
      <c r="L74" s="2">
        <v>1575813</v>
      </c>
      <c r="M74" s="2">
        <v>1576474</v>
      </c>
      <c r="N74" s="2">
        <v>1577181</v>
      </c>
      <c r="O74" s="2">
        <v>1577362</v>
      </c>
      <c r="P74" s="2">
        <v>1577869</v>
      </c>
      <c r="Q74" s="54">
        <v>1580623</v>
      </c>
      <c r="R74" s="2">
        <v>1585972</v>
      </c>
      <c r="S74" s="2">
        <v>1586938</v>
      </c>
      <c r="T74" s="2">
        <v>1588752</v>
      </c>
      <c r="U74" s="2">
        <v>1588948</v>
      </c>
      <c r="V74" s="2">
        <v>1590473</v>
      </c>
    </row>
    <row r="75" spans="1:22" x14ac:dyDescent="0.15">
      <c r="P75" s="54" t="s">
        <v>8854</v>
      </c>
      <c r="Q75" s="54">
        <v>1580626</v>
      </c>
      <c r="R75" s="54" t="s">
        <v>8857</v>
      </c>
    </row>
    <row r="76" spans="1:22" x14ac:dyDescent="0.15">
      <c r="B76" s="2" t="s">
        <v>8843</v>
      </c>
      <c r="C76" s="2">
        <v>1571099</v>
      </c>
      <c r="D76" s="2">
        <v>1571298</v>
      </c>
      <c r="E76" s="2">
        <v>1571694</v>
      </c>
      <c r="F76" s="2">
        <v>1572043</v>
      </c>
      <c r="G76" s="2">
        <v>1572258</v>
      </c>
      <c r="H76" s="2">
        <v>1572442</v>
      </c>
      <c r="I76" s="2">
        <v>1572769</v>
      </c>
      <c r="J76" s="2">
        <v>1573123</v>
      </c>
      <c r="K76" s="2">
        <v>1573861</v>
      </c>
      <c r="L76" s="2">
        <v>1575637</v>
      </c>
      <c r="M76" s="2">
        <v>1576408</v>
      </c>
      <c r="N76" s="2">
        <v>1577022</v>
      </c>
      <c r="O76" s="2">
        <v>1577266</v>
      </c>
      <c r="P76" s="2">
        <v>1577746</v>
      </c>
      <c r="Q76" s="2">
        <v>1580486</v>
      </c>
      <c r="R76" s="3">
        <v>1585961</v>
      </c>
      <c r="S76" s="3">
        <v>1586818</v>
      </c>
      <c r="T76" s="2">
        <v>1588705</v>
      </c>
      <c r="U76" s="2">
        <v>1588824</v>
      </c>
      <c r="V76" s="2">
        <v>1590374</v>
      </c>
    </row>
    <row r="77" spans="1:22" x14ac:dyDescent="0.15">
      <c r="C77" s="2">
        <v>1571218</v>
      </c>
      <c r="D77" s="2">
        <v>1571488</v>
      </c>
      <c r="E77" s="2">
        <v>1571843</v>
      </c>
      <c r="F77" s="2">
        <v>1572160</v>
      </c>
      <c r="G77" s="2">
        <v>1572366</v>
      </c>
      <c r="H77" s="2">
        <v>1572564</v>
      </c>
      <c r="I77" s="2">
        <v>1572875</v>
      </c>
      <c r="J77" s="2">
        <v>1573245</v>
      </c>
      <c r="K77" s="2">
        <v>1573952</v>
      </c>
      <c r="L77" s="2">
        <v>1575813</v>
      </c>
      <c r="M77" s="2">
        <v>1576474</v>
      </c>
      <c r="N77" s="2">
        <v>1577181</v>
      </c>
      <c r="O77" s="2">
        <v>1577362</v>
      </c>
      <c r="P77" s="2">
        <v>1577869</v>
      </c>
      <c r="Q77" s="3">
        <v>1580622</v>
      </c>
      <c r="R77" s="3">
        <v>1585970</v>
      </c>
      <c r="S77" s="2">
        <v>1586938</v>
      </c>
      <c r="T77" s="2">
        <v>1588752</v>
      </c>
      <c r="U77" s="2">
        <v>1588948</v>
      </c>
      <c r="V77" s="2">
        <v>1590473</v>
      </c>
    </row>
    <row r="78" spans="1:22" x14ac:dyDescent="0.15">
      <c r="C78" s="2">
        <f t="shared" ref="C78:U79" si="11">IF(C73=C76,1,0)</f>
        <v>1</v>
      </c>
      <c r="D78" s="2">
        <f t="shared" si="11"/>
        <v>1</v>
      </c>
      <c r="E78" s="2">
        <f t="shared" si="11"/>
        <v>1</v>
      </c>
      <c r="F78" s="2">
        <f t="shared" si="11"/>
        <v>1</v>
      </c>
      <c r="G78" s="2">
        <f t="shared" si="11"/>
        <v>1</v>
      </c>
      <c r="H78" s="2">
        <f t="shared" si="11"/>
        <v>1</v>
      </c>
      <c r="I78" s="2">
        <f t="shared" si="11"/>
        <v>1</v>
      </c>
      <c r="J78" s="2">
        <f t="shared" si="11"/>
        <v>1</v>
      </c>
      <c r="K78" s="2">
        <f t="shared" si="11"/>
        <v>1</v>
      </c>
      <c r="L78" s="2">
        <f t="shared" si="11"/>
        <v>1</v>
      </c>
      <c r="M78" s="2">
        <f t="shared" si="11"/>
        <v>1</v>
      </c>
      <c r="N78" s="2">
        <f t="shared" si="11"/>
        <v>1</v>
      </c>
      <c r="O78" s="2">
        <f t="shared" si="11"/>
        <v>1</v>
      </c>
      <c r="P78" s="2">
        <f t="shared" si="11"/>
        <v>1</v>
      </c>
      <c r="Q78" s="2">
        <f t="shared" si="11"/>
        <v>1</v>
      </c>
      <c r="R78" s="2">
        <f t="shared" si="11"/>
        <v>0</v>
      </c>
      <c r="S78" s="2">
        <f t="shared" si="11"/>
        <v>0</v>
      </c>
      <c r="T78" s="2">
        <f t="shared" si="11"/>
        <v>1</v>
      </c>
      <c r="U78" s="2">
        <f t="shared" si="11"/>
        <v>1</v>
      </c>
      <c r="V78" s="2">
        <f t="shared" ref="V78" si="12">IF(V73=V76,1,0)</f>
        <v>1</v>
      </c>
    </row>
    <row r="79" spans="1:22" x14ac:dyDescent="0.15">
      <c r="C79" s="2">
        <f t="shared" si="11"/>
        <v>1</v>
      </c>
      <c r="D79" s="2">
        <f t="shared" si="11"/>
        <v>1</v>
      </c>
      <c r="E79" s="2">
        <f t="shared" si="11"/>
        <v>1</v>
      </c>
      <c r="F79" s="2">
        <f t="shared" si="11"/>
        <v>1</v>
      </c>
      <c r="G79" s="2">
        <f t="shared" si="11"/>
        <v>1</v>
      </c>
      <c r="H79" s="2">
        <f t="shared" si="11"/>
        <v>1</v>
      </c>
      <c r="I79" s="2">
        <f t="shared" si="11"/>
        <v>1</v>
      </c>
      <c r="J79" s="2">
        <f t="shared" si="11"/>
        <v>1</v>
      </c>
      <c r="K79" s="2">
        <f t="shared" si="11"/>
        <v>1</v>
      </c>
      <c r="L79" s="2">
        <f t="shared" si="11"/>
        <v>1</v>
      </c>
      <c r="M79" s="2">
        <f t="shared" si="11"/>
        <v>1</v>
      </c>
      <c r="N79" s="2">
        <f t="shared" si="11"/>
        <v>1</v>
      </c>
      <c r="O79" s="2">
        <f t="shared" si="11"/>
        <v>1</v>
      </c>
      <c r="P79" s="2">
        <f t="shared" si="11"/>
        <v>1</v>
      </c>
      <c r="Q79" s="2">
        <f t="shared" si="11"/>
        <v>0</v>
      </c>
      <c r="R79" s="2">
        <f t="shared" si="11"/>
        <v>0</v>
      </c>
      <c r="S79" s="2">
        <f t="shared" si="11"/>
        <v>1</v>
      </c>
      <c r="T79" s="2">
        <f t="shared" si="11"/>
        <v>1</v>
      </c>
      <c r="U79" s="2">
        <f t="shared" si="11"/>
        <v>1</v>
      </c>
      <c r="V79" s="2">
        <f t="shared" ref="V79" si="13">IF(V74=V77,1,0)</f>
        <v>1</v>
      </c>
    </row>
    <row r="81" spans="1:20" x14ac:dyDescent="0.15">
      <c r="A81" s="2" t="s">
        <v>3743</v>
      </c>
      <c r="B81" s="2" t="s">
        <v>8845</v>
      </c>
      <c r="C81" s="2">
        <v>1571099</v>
      </c>
      <c r="D81" s="2">
        <v>1571298</v>
      </c>
      <c r="E81" s="2">
        <v>1571694</v>
      </c>
      <c r="F81" s="2">
        <v>1572043</v>
      </c>
      <c r="G81" s="2">
        <v>1572258</v>
      </c>
      <c r="H81" s="2">
        <v>1572442</v>
      </c>
      <c r="I81" s="2">
        <v>1572769</v>
      </c>
      <c r="J81" s="2">
        <v>1573123</v>
      </c>
      <c r="K81" s="2">
        <v>1573861</v>
      </c>
      <c r="L81" s="2">
        <v>1575637</v>
      </c>
      <c r="M81" s="2">
        <v>1576408</v>
      </c>
      <c r="N81" s="2">
        <v>1577022</v>
      </c>
      <c r="O81" s="2">
        <v>1577266</v>
      </c>
      <c r="P81" s="2">
        <v>1577746</v>
      </c>
      <c r="Q81" s="2">
        <v>1580486</v>
      </c>
      <c r="R81" s="2">
        <v>1586817</v>
      </c>
      <c r="S81" s="2">
        <v>1588824</v>
      </c>
      <c r="T81" s="2">
        <v>1590374</v>
      </c>
    </row>
    <row r="82" spans="1:20" x14ac:dyDescent="0.15">
      <c r="C82" s="2">
        <v>1571218</v>
      </c>
      <c r="D82" s="2">
        <v>1571488</v>
      </c>
      <c r="E82" s="2">
        <v>1571843</v>
      </c>
      <c r="F82" s="2">
        <v>1572160</v>
      </c>
      <c r="G82" s="2">
        <v>1572366</v>
      </c>
      <c r="H82" s="2">
        <v>1572564</v>
      </c>
      <c r="I82" s="2">
        <v>1572875</v>
      </c>
      <c r="J82" s="2">
        <v>1573245</v>
      </c>
      <c r="K82" s="2">
        <v>1573952</v>
      </c>
      <c r="L82" s="2">
        <v>1575813</v>
      </c>
      <c r="M82" s="2">
        <v>1576474</v>
      </c>
      <c r="N82" s="2">
        <v>1577181</v>
      </c>
      <c r="O82" s="2">
        <v>1577362</v>
      </c>
      <c r="P82" s="2">
        <v>1577869</v>
      </c>
      <c r="Q82" s="2">
        <v>1580650</v>
      </c>
      <c r="R82" s="2">
        <v>1586938</v>
      </c>
      <c r="S82" s="2">
        <v>1588948</v>
      </c>
      <c r="T82" s="2">
        <v>1590473</v>
      </c>
    </row>
    <row r="83" spans="1:20" x14ac:dyDescent="0.15">
      <c r="C83" s="56" t="s">
        <v>8858</v>
      </c>
    </row>
    <row r="84" spans="1:20" x14ac:dyDescent="0.15">
      <c r="B84" s="2" t="s">
        <v>8843</v>
      </c>
      <c r="C84" s="2">
        <v>1571099</v>
      </c>
      <c r="D84" s="2">
        <v>1571298</v>
      </c>
      <c r="E84" s="2">
        <v>1571694</v>
      </c>
      <c r="F84" s="2">
        <v>1572043</v>
      </c>
      <c r="G84" s="2">
        <v>1572258</v>
      </c>
      <c r="H84" s="2">
        <v>1572442</v>
      </c>
      <c r="I84" s="2">
        <v>1572769</v>
      </c>
      <c r="J84" s="2">
        <v>1573123</v>
      </c>
      <c r="K84" s="2">
        <v>1573861</v>
      </c>
      <c r="L84" s="2">
        <v>1575637</v>
      </c>
      <c r="M84" s="2">
        <v>1576408</v>
      </c>
      <c r="N84" s="2">
        <v>1577022</v>
      </c>
      <c r="O84" s="2">
        <v>1577266</v>
      </c>
      <c r="P84" s="2">
        <v>1577746</v>
      </c>
      <c r="Q84" s="2">
        <v>1580486</v>
      </c>
      <c r="R84" s="3">
        <v>1586818</v>
      </c>
      <c r="S84" s="2">
        <v>1588824</v>
      </c>
      <c r="T84" s="2">
        <v>1590374</v>
      </c>
    </row>
    <row r="85" spans="1:20" x14ac:dyDescent="0.15">
      <c r="C85" s="2">
        <v>1571218</v>
      </c>
      <c r="D85" s="2">
        <v>1571488</v>
      </c>
      <c r="E85" s="2">
        <v>1571843</v>
      </c>
      <c r="F85" s="2">
        <v>1572160</v>
      </c>
      <c r="G85" s="2">
        <v>1572366</v>
      </c>
      <c r="H85" s="2">
        <v>1572564</v>
      </c>
      <c r="I85" s="2">
        <v>1572875</v>
      </c>
      <c r="J85" s="2">
        <v>1573245</v>
      </c>
      <c r="K85" s="2">
        <v>1573952</v>
      </c>
      <c r="L85" s="2">
        <v>1575813</v>
      </c>
      <c r="M85" s="2">
        <v>1576474</v>
      </c>
      <c r="N85" s="2">
        <v>1577181</v>
      </c>
      <c r="O85" s="2">
        <v>1577362</v>
      </c>
      <c r="P85" s="2">
        <v>1577869</v>
      </c>
      <c r="Q85" s="3">
        <v>1580649</v>
      </c>
      <c r="R85" s="2">
        <v>1586938</v>
      </c>
      <c r="S85" s="2">
        <v>1588948</v>
      </c>
      <c r="T85" s="2">
        <v>1590473</v>
      </c>
    </row>
    <row r="86" spans="1:20" x14ac:dyDescent="0.15">
      <c r="C86" s="2">
        <f t="shared" ref="C86:T86" si="14">IF(C81=C84,1,0)</f>
        <v>1</v>
      </c>
      <c r="D86" s="2">
        <f t="shared" si="14"/>
        <v>1</v>
      </c>
      <c r="E86" s="2">
        <f t="shared" si="14"/>
        <v>1</v>
      </c>
      <c r="F86" s="2">
        <f t="shared" si="14"/>
        <v>1</v>
      </c>
      <c r="G86" s="2">
        <f t="shared" si="14"/>
        <v>1</v>
      </c>
      <c r="H86" s="2">
        <f t="shared" si="14"/>
        <v>1</v>
      </c>
      <c r="I86" s="2">
        <f t="shared" si="14"/>
        <v>1</v>
      </c>
      <c r="J86" s="2">
        <f t="shared" si="14"/>
        <v>1</v>
      </c>
      <c r="K86" s="2">
        <f t="shared" si="14"/>
        <v>1</v>
      </c>
      <c r="L86" s="2">
        <f t="shared" si="14"/>
        <v>1</v>
      </c>
      <c r="M86" s="2">
        <f t="shared" si="14"/>
        <v>1</v>
      </c>
      <c r="N86" s="2">
        <f t="shared" si="14"/>
        <v>1</v>
      </c>
      <c r="O86" s="2">
        <f t="shared" si="14"/>
        <v>1</v>
      </c>
      <c r="P86" s="2">
        <f t="shared" si="14"/>
        <v>1</v>
      </c>
      <c r="Q86" s="2">
        <f t="shared" si="14"/>
        <v>1</v>
      </c>
      <c r="R86" s="2">
        <f t="shared" si="14"/>
        <v>0</v>
      </c>
      <c r="S86" s="2">
        <f t="shared" si="14"/>
        <v>1</v>
      </c>
      <c r="T86" s="2">
        <f t="shared" si="14"/>
        <v>1</v>
      </c>
    </row>
    <row r="87" spans="1:20" x14ac:dyDescent="0.15">
      <c r="C87" s="2">
        <f t="shared" ref="C87:T87" si="15">IF(C82=C85,1,0)</f>
        <v>1</v>
      </c>
      <c r="D87" s="2">
        <f t="shared" si="15"/>
        <v>1</v>
      </c>
      <c r="E87" s="2">
        <f t="shared" si="15"/>
        <v>1</v>
      </c>
      <c r="F87" s="2">
        <f t="shared" si="15"/>
        <v>1</v>
      </c>
      <c r="G87" s="2">
        <f t="shared" si="15"/>
        <v>1</v>
      </c>
      <c r="H87" s="2">
        <f t="shared" si="15"/>
        <v>1</v>
      </c>
      <c r="I87" s="2">
        <f t="shared" si="15"/>
        <v>1</v>
      </c>
      <c r="J87" s="2">
        <f t="shared" si="15"/>
        <v>1</v>
      </c>
      <c r="K87" s="2">
        <f t="shared" si="15"/>
        <v>1</v>
      </c>
      <c r="L87" s="2">
        <f t="shared" si="15"/>
        <v>1</v>
      </c>
      <c r="M87" s="2">
        <f t="shared" si="15"/>
        <v>1</v>
      </c>
      <c r="N87" s="2">
        <f t="shared" si="15"/>
        <v>1</v>
      </c>
      <c r="O87" s="2">
        <f t="shared" si="15"/>
        <v>1</v>
      </c>
      <c r="P87" s="2">
        <f t="shared" si="15"/>
        <v>1</v>
      </c>
      <c r="Q87" s="2">
        <f t="shared" si="15"/>
        <v>0</v>
      </c>
      <c r="R87" s="2">
        <f t="shared" si="15"/>
        <v>1</v>
      </c>
      <c r="S87" s="2">
        <f t="shared" si="15"/>
        <v>1</v>
      </c>
      <c r="T87" s="2">
        <f t="shared" si="15"/>
        <v>1</v>
      </c>
    </row>
    <row r="89" spans="1:20" x14ac:dyDescent="0.15">
      <c r="A89" s="2" t="s">
        <v>8859</v>
      </c>
      <c r="B89" s="2" t="s">
        <v>8845</v>
      </c>
      <c r="C89" s="2">
        <v>1571099</v>
      </c>
      <c r="D89" s="2">
        <v>1571298</v>
      </c>
      <c r="E89" s="2">
        <v>1571694</v>
      </c>
      <c r="F89" s="2">
        <v>1572043</v>
      </c>
      <c r="G89" s="2">
        <v>1572258</v>
      </c>
      <c r="H89" s="2">
        <v>1572442</v>
      </c>
      <c r="I89" s="2">
        <v>1572769</v>
      </c>
      <c r="J89" s="2">
        <v>1573123</v>
      </c>
      <c r="K89" s="2">
        <v>1573861</v>
      </c>
      <c r="L89" s="2">
        <v>1575637</v>
      </c>
      <c r="M89" s="2">
        <v>1576408</v>
      </c>
      <c r="N89" s="2">
        <v>1577022</v>
      </c>
      <c r="O89" s="2">
        <v>1577266</v>
      </c>
      <c r="P89" s="2">
        <v>1577746</v>
      </c>
      <c r="Q89" s="2">
        <v>1580486</v>
      </c>
      <c r="R89" s="2">
        <v>1586817</v>
      </c>
      <c r="S89" s="2">
        <v>1588824</v>
      </c>
      <c r="T89" s="2">
        <v>1590374</v>
      </c>
    </row>
    <row r="90" spans="1:20" x14ac:dyDescent="0.15">
      <c r="C90" s="2">
        <v>1571218</v>
      </c>
      <c r="D90" s="2">
        <v>1571488</v>
      </c>
      <c r="E90" s="2">
        <v>1571843</v>
      </c>
      <c r="F90" s="2">
        <v>1572160</v>
      </c>
      <c r="G90" s="2">
        <v>1572366</v>
      </c>
      <c r="H90" s="2">
        <v>1572564</v>
      </c>
      <c r="I90" s="2">
        <v>1572875</v>
      </c>
      <c r="J90" s="2">
        <v>1573245</v>
      </c>
      <c r="K90" s="2">
        <v>1573952</v>
      </c>
      <c r="L90" s="2">
        <v>1575813</v>
      </c>
      <c r="M90" s="2">
        <v>1576474</v>
      </c>
      <c r="N90" s="2">
        <v>1577181</v>
      </c>
      <c r="O90" s="2">
        <v>1577362</v>
      </c>
      <c r="P90" s="2">
        <v>1577869</v>
      </c>
      <c r="Q90" s="2">
        <v>1580623</v>
      </c>
      <c r="R90" s="2">
        <v>1586938</v>
      </c>
      <c r="S90" s="2">
        <v>1588948</v>
      </c>
      <c r="T90" s="2">
        <v>1590473</v>
      </c>
    </row>
    <row r="91" spans="1:20" x14ac:dyDescent="0.15">
      <c r="C91" s="56" t="s">
        <v>8858</v>
      </c>
    </row>
    <row r="92" spans="1:20" x14ac:dyDescent="0.15">
      <c r="B92" s="2" t="s">
        <v>8843</v>
      </c>
      <c r="C92" s="2">
        <v>1571099</v>
      </c>
      <c r="D92" s="2">
        <v>1571298</v>
      </c>
      <c r="E92" s="2">
        <v>1571694</v>
      </c>
      <c r="F92" s="2">
        <v>1572043</v>
      </c>
      <c r="G92" s="2">
        <v>1572258</v>
      </c>
      <c r="H92" s="2">
        <v>1572442</v>
      </c>
      <c r="I92" s="2">
        <v>1572769</v>
      </c>
      <c r="J92" s="2">
        <v>1573123</v>
      </c>
      <c r="K92" s="2">
        <v>1573861</v>
      </c>
      <c r="L92" s="2">
        <v>1575637</v>
      </c>
      <c r="M92" s="2">
        <v>1576408</v>
      </c>
      <c r="N92" s="2">
        <v>1577022</v>
      </c>
      <c r="O92" s="2">
        <v>1577266</v>
      </c>
      <c r="P92" s="2">
        <v>1577746</v>
      </c>
      <c r="Q92" s="2">
        <v>1580486</v>
      </c>
      <c r="R92" s="3">
        <v>1586818</v>
      </c>
      <c r="S92" s="2">
        <v>1588824</v>
      </c>
      <c r="T92" s="2">
        <v>1590374</v>
      </c>
    </row>
    <row r="93" spans="1:20" x14ac:dyDescent="0.15">
      <c r="C93" s="2">
        <v>1571218</v>
      </c>
      <c r="D93" s="2">
        <v>1571488</v>
      </c>
      <c r="E93" s="2">
        <v>1571843</v>
      </c>
      <c r="F93" s="2">
        <v>1572160</v>
      </c>
      <c r="G93" s="2">
        <v>1572366</v>
      </c>
      <c r="H93" s="2">
        <v>1572564</v>
      </c>
      <c r="I93" s="2">
        <v>1572875</v>
      </c>
      <c r="J93" s="2">
        <v>1573245</v>
      </c>
      <c r="K93" s="2">
        <v>1573952</v>
      </c>
      <c r="L93" s="2">
        <v>1575813</v>
      </c>
      <c r="M93" s="2">
        <v>1576474</v>
      </c>
      <c r="N93" s="2">
        <v>1577181</v>
      </c>
      <c r="O93" s="2">
        <v>1577362</v>
      </c>
      <c r="P93" s="2">
        <v>1577869</v>
      </c>
      <c r="Q93" s="3">
        <v>1580622</v>
      </c>
      <c r="R93" s="2">
        <v>1586938</v>
      </c>
      <c r="S93" s="2">
        <v>1588948</v>
      </c>
      <c r="T93" s="2">
        <v>1590473</v>
      </c>
    </row>
    <row r="94" spans="1:20" x14ac:dyDescent="0.15">
      <c r="C94" s="2">
        <f t="shared" ref="C94:T94" si="16">IF(C89=C92,1,0)</f>
        <v>1</v>
      </c>
      <c r="D94" s="2">
        <f t="shared" si="16"/>
        <v>1</v>
      </c>
      <c r="E94" s="2">
        <f t="shared" si="16"/>
        <v>1</v>
      </c>
      <c r="F94" s="2">
        <f t="shared" si="16"/>
        <v>1</v>
      </c>
      <c r="G94" s="2">
        <f t="shared" si="16"/>
        <v>1</v>
      </c>
      <c r="H94" s="2">
        <f t="shared" si="16"/>
        <v>1</v>
      </c>
      <c r="I94" s="2">
        <f t="shared" si="16"/>
        <v>1</v>
      </c>
      <c r="J94" s="2">
        <f t="shared" si="16"/>
        <v>1</v>
      </c>
      <c r="K94" s="2">
        <f t="shared" si="16"/>
        <v>1</v>
      </c>
      <c r="L94" s="2">
        <f t="shared" si="16"/>
        <v>1</v>
      </c>
      <c r="M94" s="2">
        <f t="shared" si="16"/>
        <v>1</v>
      </c>
      <c r="N94" s="2">
        <f t="shared" si="16"/>
        <v>1</v>
      </c>
      <c r="O94" s="2">
        <f t="shared" si="16"/>
        <v>1</v>
      </c>
      <c r="P94" s="2">
        <f t="shared" si="16"/>
        <v>1</v>
      </c>
      <c r="Q94" s="2">
        <f t="shared" si="16"/>
        <v>1</v>
      </c>
      <c r="R94" s="2">
        <f t="shared" si="16"/>
        <v>0</v>
      </c>
      <c r="S94" s="2">
        <f t="shared" si="16"/>
        <v>1</v>
      </c>
      <c r="T94" s="2">
        <f t="shared" si="16"/>
        <v>1</v>
      </c>
    </row>
    <row r="95" spans="1:20" x14ac:dyDescent="0.15">
      <c r="C95" s="2">
        <f t="shared" ref="C95:T95" si="17">IF(C90=C93,1,0)</f>
        <v>1</v>
      </c>
      <c r="D95" s="2">
        <f t="shared" si="17"/>
        <v>1</v>
      </c>
      <c r="E95" s="2">
        <f t="shared" si="17"/>
        <v>1</v>
      </c>
      <c r="F95" s="2">
        <f t="shared" si="17"/>
        <v>1</v>
      </c>
      <c r="G95" s="2">
        <f t="shared" si="17"/>
        <v>1</v>
      </c>
      <c r="H95" s="2">
        <f t="shared" si="17"/>
        <v>1</v>
      </c>
      <c r="I95" s="2">
        <f t="shared" si="17"/>
        <v>1</v>
      </c>
      <c r="J95" s="2">
        <f t="shared" si="17"/>
        <v>1</v>
      </c>
      <c r="K95" s="2">
        <f t="shared" si="17"/>
        <v>1</v>
      </c>
      <c r="L95" s="2">
        <f t="shared" si="17"/>
        <v>1</v>
      </c>
      <c r="M95" s="2">
        <f t="shared" si="17"/>
        <v>1</v>
      </c>
      <c r="N95" s="2">
        <f t="shared" si="17"/>
        <v>1</v>
      </c>
      <c r="O95" s="2">
        <f t="shared" si="17"/>
        <v>1</v>
      </c>
      <c r="P95" s="2">
        <f t="shared" si="17"/>
        <v>1</v>
      </c>
      <c r="Q95" s="2">
        <f t="shared" si="17"/>
        <v>0</v>
      </c>
      <c r="R95" s="2">
        <f t="shared" si="17"/>
        <v>1</v>
      </c>
      <c r="S95" s="2">
        <f t="shared" si="17"/>
        <v>1</v>
      </c>
      <c r="T95" s="2">
        <f t="shared" si="17"/>
        <v>1</v>
      </c>
    </row>
    <row r="97" spans="1:24" x14ac:dyDescent="0.15">
      <c r="A97" s="2" t="s">
        <v>8813</v>
      </c>
      <c r="B97" s="2" t="s">
        <v>8845</v>
      </c>
      <c r="C97" s="2">
        <v>51113069</v>
      </c>
      <c r="D97" s="2">
        <v>51113475</v>
      </c>
      <c r="E97" s="2">
        <v>51115049</v>
      </c>
      <c r="F97" s="2">
        <v>51117012</v>
      </c>
      <c r="G97" s="2">
        <v>51117196</v>
      </c>
      <c r="H97" s="2">
        <v>51117446</v>
      </c>
      <c r="I97" s="2">
        <v>51117739</v>
      </c>
      <c r="J97" s="2">
        <v>51121767</v>
      </c>
      <c r="K97" s="2">
        <v>51123012</v>
      </c>
      <c r="L97" s="2">
        <v>51133202</v>
      </c>
      <c r="M97" s="2">
        <v>51135984</v>
      </c>
      <c r="N97" s="2">
        <v>51137117</v>
      </c>
      <c r="O97" s="2">
        <v>51142287</v>
      </c>
      <c r="P97" s="2">
        <v>51142593</v>
      </c>
      <c r="Q97" s="2">
        <v>51143165</v>
      </c>
      <c r="R97" s="2">
        <v>51143391</v>
      </c>
      <c r="S97" s="2">
        <v>51144499</v>
      </c>
      <c r="T97" s="2">
        <v>51150042</v>
      </c>
      <c r="U97" s="2">
        <v>51153344</v>
      </c>
      <c r="V97" s="2">
        <v>51154096</v>
      </c>
      <c r="W97" s="2">
        <v>51158611</v>
      </c>
      <c r="X97" s="2">
        <v>51169148</v>
      </c>
    </row>
    <row r="98" spans="1:24" x14ac:dyDescent="0.15">
      <c r="C98" s="2">
        <v>51113132</v>
      </c>
      <c r="D98" s="2">
        <v>51113679</v>
      </c>
      <c r="E98" s="2">
        <v>51115121</v>
      </c>
      <c r="F98" s="2">
        <v>51117121</v>
      </c>
      <c r="G98" s="2">
        <v>51117348</v>
      </c>
      <c r="H98" s="2">
        <v>51117614</v>
      </c>
      <c r="I98" s="2">
        <v>51117856</v>
      </c>
      <c r="J98" s="2">
        <v>51121845</v>
      </c>
      <c r="K98" s="2">
        <v>51123079</v>
      </c>
      <c r="L98" s="54">
        <v>51133476</v>
      </c>
      <c r="M98" s="2">
        <v>51136143</v>
      </c>
      <c r="N98" s="2">
        <v>51137231</v>
      </c>
      <c r="O98" s="2">
        <v>51142363</v>
      </c>
      <c r="P98" s="2">
        <v>51142676</v>
      </c>
      <c r="Q98" s="2">
        <v>51143290</v>
      </c>
      <c r="R98" s="2">
        <v>51143524</v>
      </c>
      <c r="S98" s="2">
        <v>51144580</v>
      </c>
      <c r="T98" s="2">
        <v>51150066</v>
      </c>
      <c r="U98" s="2">
        <v>51153475</v>
      </c>
      <c r="V98" s="2">
        <v>51154181</v>
      </c>
      <c r="W98" s="2">
        <v>51160865</v>
      </c>
      <c r="X98" s="2">
        <v>51171640</v>
      </c>
    </row>
    <row r="99" spans="1:24" x14ac:dyDescent="0.15">
      <c r="K99" s="54" t="s">
        <v>8868</v>
      </c>
      <c r="L99" s="54">
        <v>51133477</v>
      </c>
      <c r="M99" s="54" t="s">
        <v>8829</v>
      </c>
      <c r="N99" s="57"/>
      <c r="O99" s="12"/>
    </row>
    <row r="100" spans="1:24" x14ac:dyDescent="0.15">
      <c r="A100" s="2" t="s">
        <v>8812</v>
      </c>
      <c r="B100" s="2" t="s">
        <v>8843</v>
      </c>
      <c r="C100" s="2">
        <v>51113069</v>
      </c>
      <c r="D100" s="2">
        <v>51113475</v>
      </c>
      <c r="E100" s="2">
        <v>51115049</v>
      </c>
      <c r="F100" s="2">
        <v>51117012</v>
      </c>
      <c r="G100" s="2">
        <v>51117196</v>
      </c>
      <c r="H100" s="2">
        <v>51117446</v>
      </c>
      <c r="I100" s="2">
        <v>51117739</v>
      </c>
      <c r="J100" s="2">
        <v>51121767</v>
      </c>
      <c r="K100" s="2">
        <v>51123012</v>
      </c>
      <c r="L100" s="2">
        <v>51133202</v>
      </c>
      <c r="M100" s="2">
        <v>51135984</v>
      </c>
      <c r="N100" s="2">
        <v>51137117</v>
      </c>
      <c r="O100" s="2">
        <v>51142287</v>
      </c>
      <c r="P100" s="2">
        <v>51142593</v>
      </c>
      <c r="Q100" s="2">
        <v>51143165</v>
      </c>
      <c r="R100" s="2">
        <v>51143391</v>
      </c>
      <c r="S100" s="2">
        <v>51144499</v>
      </c>
      <c r="T100" s="2">
        <v>51150042</v>
      </c>
      <c r="U100" s="2">
        <v>51153344</v>
      </c>
      <c r="V100" s="2">
        <v>51154096</v>
      </c>
      <c r="W100" s="2">
        <v>51158611</v>
      </c>
      <c r="X100" s="2">
        <v>51169148</v>
      </c>
    </row>
    <row r="101" spans="1:24" x14ac:dyDescent="0.15">
      <c r="C101" s="2">
        <v>51113132</v>
      </c>
      <c r="D101" s="2">
        <v>51113679</v>
      </c>
      <c r="E101" s="2">
        <v>51115121</v>
      </c>
      <c r="F101" s="2">
        <v>51117121</v>
      </c>
      <c r="G101" s="2">
        <v>51117348</v>
      </c>
      <c r="H101" s="2">
        <v>51117614</v>
      </c>
      <c r="I101" s="2">
        <v>51117856</v>
      </c>
      <c r="J101" s="2">
        <v>51121845</v>
      </c>
      <c r="K101" s="2">
        <v>51123079</v>
      </c>
      <c r="L101" s="3">
        <v>51133474</v>
      </c>
      <c r="M101" s="2">
        <v>51136143</v>
      </c>
      <c r="N101" s="2">
        <v>51137231</v>
      </c>
      <c r="O101" s="2">
        <v>51142363</v>
      </c>
      <c r="P101" s="2">
        <v>51142676</v>
      </c>
      <c r="Q101" s="2">
        <v>51143290</v>
      </c>
      <c r="R101" s="2">
        <v>51143524</v>
      </c>
      <c r="S101" s="2">
        <v>51144580</v>
      </c>
      <c r="T101" s="2">
        <v>51150066</v>
      </c>
      <c r="U101" s="2">
        <v>51153475</v>
      </c>
      <c r="V101" s="2">
        <v>51154181</v>
      </c>
      <c r="W101" s="2">
        <v>51160865</v>
      </c>
      <c r="X101" s="2">
        <v>51171640</v>
      </c>
    </row>
    <row r="102" spans="1:24" x14ac:dyDescent="0.15">
      <c r="C102" s="2">
        <f>IF(C97=C100,1,0)</f>
        <v>1</v>
      </c>
      <c r="D102" s="2">
        <f t="shared" ref="D102:X103" si="18">IF(D97=D100,1,0)</f>
        <v>1</v>
      </c>
      <c r="E102" s="2">
        <f t="shared" si="18"/>
        <v>1</v>
      </c>
      <c r="F102" s="2">
        <f t="shared" si="18"/>
        <v>1</v>
      </c>
      <c r="G102" s="2">
        <f t="shared" si="18"/>
        <v>1</v>
      </c>
      <c r="H102" s="2">
        <f t="shared" si="18"/>
        <v>1</v>
      </c>
      <c r="I102" s="2">
        <f t="shared" si="18"/>
        <v>1</v>
      </c>
      <c r="J102" s="2">
        <f t="shared" si="18"/>
        <v>1</v>
      </c>
      <c r="K102" s="2">
        <f t="shared" si="18"/>
        <v>1</v>
      </c>
      <c r="L102" s="2">
        <f t="shared" si="18"/>
        <v>1</v>
      </c>
      <c r="M102" s="2">
        <f t="shared" si="18"/>
        <v>1</v>
      </c>
      <c r="N102" s="2">
        <f t="shared" si="18"/>
        <v>1</v>
      </c>
      <c r="O102" s="2">
        <f t="shared" si="18"/>
        <v>1</v>
      </c>
      <c r="P102" s="2">
        <f t="shared" si="18"/>
        <v>1</v>
      </c>
      <c r="Q102" s="2">
        <f t="shared" si="18"/>
        <v>1</v>
      </c>
      <c r="R102" s="2">
        <f t="shared" si="18"/>
        <v>1</v>
      </c>
      <c r="S102" s="2">
        <f t="shared" si="18"/>
        <v>1</v>
      </c>
      <c r="T102" s="2">
        <f t="shared" si="18"/>
        <v>1</v>
      </c>
      <c r="U102" s="2">
        <f t="shared" si="18"/>
        <v>1</v>
      </c>
      <c r="V102" s="2">
        <f t="shared" si="18"/>
        <v>1</v>
      </c>
      <c r="W102" s="2">
        <f t="shared" si="18"/>
        <v>1</v>
      </c>
      <c r="X102" s="2">
        <f t="shared" si="18"/>
        <v>1</v>
      </c>
    </row>
    <row r="103" spans="1:24" x14ac:dyDescent="0.15">
      <c r="C103" s="2">
        <f>IF(C98=C101,1,0)</f>
        <v>1</v>
      </c>
      <c r="D103" s="2">
        <f t="shared" si="18"/>
        <v>1</v>
      </c>
      <c r="E103" s="2">
        <f t="shared" si="18"/>
        <v>1</v>
      </c>
      <c r="F103" s="2">
        <f t="shared" si="18"/>
        <v>1</v>
      </c>
      <c r="G103" s="2">
        <f t="shared" si="18"/>
        <v>1</v>
      </c>
      <c r="H103" s="2">
        <f t="shared" si="18"/>
        <v>1</v>
      </c>
      <c r="I103" s="2">
        <f t="shared" si="18"/>
        <v>1</v>
      </c>
      <c r="J103" s="2">
        <f t="shared" si="18"/>
        <v>1</v>
      </c>
      <c r="K103" s="2">
        <f t="shared" si="18"/>
        <v>1</v>
      </c>
      <c r="L103" s="2">
        <f t="shared" si="18"/>
        <v>0</v>
      </c>
      <c r="M103" s="2">
        <f t="shared" si="18"/>
        <v>1</v>
      </c>
      <c r="N103" s="2">
        <f t="shared" si="18"/>
        <v>1</v>
      </c>
      <c r="O103" s="2">
        <f t="shared" si="18"/>
        <v>1</v>
      </c>
      <c r="P103" s="2">
        <f t="shared" si="18"/>
        <v>1</v>
      </c>
      <c r="Q103" s="2">
        <f t="shared" si="18"/>
        <v>1</v>
      </c>
      <c r="R103" s="2">
        <f t="shared" si="18"/>
        <v>1</v>
      </c>
      <c r="S103" s="2">
        <f t="shared" si="18"/>
        <v>1</v>
      </c>
      <c r="T103" s="2">
        <f t="shared" si="18"/>
        <v>1</v>
      </c>
      <c r="U103" s="2">
        <f t="shared" si="18"/>
        <v>1</v>
      </c>
      <c r="V103" s="2">
        <f t="shared" si="18"/>
        <v>1</v>
      </c>
      <c r="W103" s="2">
        <f t="shared" si="18"/>
        <v>1</v>
      </c>
      <c r="X103" s="2">
        <f t="shared" si="18"/>
        <v>1</v>
      </c>
    </row>
    <row r="105" spans="1:24" x14ac:dyDescent="0.15">
      <c r="A105" s="2" t="s">
        <v>8860</v>
      </c>
      <c r="B105" s="2" t="s">
        <v>8845</v>
      </c>
      <c r="C105" s="2">
        <v>21845888</v>
      </c>
      <c r="D105" s="2">
        <v>21846953</v>
      </c>
      <c r="E105" s="2">
        <v>21848142</v>
      </c>
      <c r="F105" s="2">
        <v>21850425</v>
      </c>
      <c r="G105" s="2">
        <v>21850570</v>
      </c>
      <c r="H105" s="2">
        <v>21854706</v>
      </c>
      <c r="I105" s="2">
        <v>21855014</v>
      </c>
      <c r="J105" s="2">
        <v>21858733</v>
      </c>
      <c r="K105" s="2">
        <v>21868579</v>
      </c>
      <c r="L105" s="2">
        <v>21868900</v>
      </c>
    </row>
    <row r="106" spans="1:24" x14ac:dyDescent="0.15">
      <c r="C106" s="2">
        <v>21846840</v>
      </c>
      <c r="D106" s="2">
        <v>21848004</v>
      </c>
      <c r="E106" s="2">
        <v>21849065</v>
      </c>
      <c r="F106" s="2">
        <v>21850461</v>
      </c>
      <c r="G106" s="2">
        <v>21850631</v>
      </c>
      <c r="H106" s="2">
        <v>21854902</v>
      </c>
      <c r="I106" s="2">
        <v>21855114</v>
      </c>
      <c r="J106" s="2">
        <v>21858862</v>
      </c>
      <c r="K106" s="2">
        <v>21868737</v>
      </c>
      <c r="L106" s="2">
        <v>21869843</v>
      </c>
    </row>
    <row r="107" spans="1:24" x14ac:dyDescent="0.15">
      <c r="L107" s="3" t="s">
        <v>8869</v>
      </c>
      <c r="M107" s="3">
        <v>21876378</v>
      </c>
      <c r="N107" s="56" t="s">
        <v>8862</v>
      </c>
    </row>
    <row r="108" spans="1:24" x14ac:dyDescent="0.15">
      <c r="A108" s="2">
        <v>21846038</v>
      </c>
      <c r="B108" s="2" t="s">
        <v>8843</v>
      </c>
      <c r="C108" s="2">
        <v>21845883</v>
      </c>
      <c r="D108" s="2">
        <v>21846953</v>
      </c>
      <c r="E108" s="2">
        <v>21848142</v>
      </c>
      <c r="F108" s="2">
        <v>21850425</v>
      </c>
      <c r="G108" s="2">
        <v>21850570</v>
      </c>
      <c r="H108" s="2">
        <v>21854706</v>
      </c>
      <c r="I108" s="2">
        <v>21855014</v>
      </c>
      <c r="J108" s="2">
        <v>21858733</v>
      </c>
      <c r="K108" s="2">
        <v>21868579</v>
      </c>
      <c r="L108" s="2">
        <v>21868890</v>
      </c>
      <c r="M108" s="2">
        <v>21876265</v>
      </c>
      <c r="N108" s="2" t="s">
        <v>8861</v>
      </c>
    </row>
    <row r="109" spans="1:24" x14ac:dyDescent="0.15">
      <c r="A109" s="2">
        <v>21868699</v>
      </c>
      <c r="C109" s="2">
        <v>21846840</v>
      </c>
      <c r="D109" s="2">
        <v>21848004</v>
      </c>
      <c r="E109" s="2">
        <v>21849065</v>
      </c>
      <c r="F109" s="2">
        <v>21850461</v>
      </c>
      <c r="G109" s="2">
        <v>21850631</v>
      </c>
      <c r="H109" s="2">
        <v>21854902</v>
      </c>
      <c r="I109" s="2">
        <v>21855114</v>
      </c>
      <c r="J109" s="2">
        <v>21858862</v>
      </c>
      <c r="K109" s="2">
        <v>21868737</v>
      </c>
      <c r="L109" s="2">
        <v>21868979</v>
      </c>
      <c r="M109" s="2">
        <v>21877050</v>
      </c>
    </row>
    <row r="110" spans="1:24" x14ac:dyDescent="0.15">
      <c r="C110" s="3">
        <f>IF(C105=C108,1,0)</f>
        <v>0</v>
      </c>
      <c r="D110" s="2">
        <f t="shared" ref="D110:M110" si="19">IF(D105=D108,1,0)</f>
        <v>1</v>
      </c>
      <c r="E110" s="2">
        <f t="shared" si="19"/>
        <v>1</v>
      </c>
      <c r="F110" s="2">
        <f t="shared" si="19"/>
        <v>1</v>
      </c>
      <c r="G110" s="2">
        <f t="shared" si="19"/>
        <v>1</v>
      </c>
      <c r="H110" s="2">
        <f t="shared" si="19"/>
        <v>1</v>
      </c>
      <c r="I110" s="2">
        <f t="shared" si="19"/>
        <v>1</v>
      </c>
      <c r="J110" s="2">
        <f t="shared" si="19"/>
        <v>1</v>
      </c>
      <c r="K110" s="2">
        <f t="shared" si="19"/>
        <v>1</v>
      </c>
      <c r="L110" s="3">
        <f t="shared" si="19"/>
        <v>0</v>
      </c>
      <c r="M110" s="2">
        <f t="shared" si="19"/>
        <v>0</v>
      </c>
    </row>
    <row r="111" spans="1:24" x14ac:dyDescent="0.15">
      <c r="C111" s="2">
        <f>IF(C106=C109,1,0)</f>
        <v>1</v>
      </c>
      <c r="D111" s="2">
        <f t="shared" ref="D111:M111" si="20">IF(D106=D109,1,0)</f>
        <v>1</v>
      </c>
      <c r="E111" s="2">
        <f t="shared" si="20"/>
        <v>1</v>
      </c>
      <c r="F111" s="2">
        <f t="shared" si="20"/>
        <v>1</v>
      </c>
      <c r="G111" s="2">
        <f t="shared" si="20"/>
        <v>1</v>
      </c>
      <c r="H111" s="2">
        <f t="shared" si="20"/>
        <v>1</v>
      </c>
      <c r="I111" s="2">
        <f t="shared" si="20"/>
        <v>1</v>
      </c>
      <c r="J111" s="2">
        <f t="shared" si="20"/>
        <v>1</v>
      </c>
      <c r="K111" s="2">
        <f t="shared" si="20"/>
        <v>1</v>
      </c>
      <c r="L111" s="3">
        <f t="shared" si="20"/>
        <v>0</v>
      </c>
      <c r="M111" s="2">
        <f t="shared" si="20"/>
        <v>0</v>
      </c>
    </row>
    <row r="113" spans="1:8" x14ac:dyDescent="0.15">
      <c r="A113" s="2" t="s">
        <v>8867</v>
      </c>
      <c r="B113" s="2" t="s">
        <v>8845</v>
      </c>
      <c r="C113" s="2">
        <v>124357</v>
      </c>
      <c r="D113" s="2">
        <v>133619</v>
      </c>
      <c r="E113" s="2">
        <v>137002</v>
      </c>
      <c r="F113" s="54"/>
      <c r="G113" s="2">
        <v>154701</v>
      </c>
    </row>
    <row r="114" spans="1:8" x14ac:dyDescent="0.15">
      <c r="C114" s="2">
        <v>124555</v>
      </c>
      <c r="D114" s="2">
        <v>133634</v>
      </c>
      <c r="E114" s="2">
        <v>137023</v>
      </c>
      <c r="F114" s="54"/>
      <c r="G114" s="2">
        <v>157949</v>
      </c>
    </row>
    <row r="115" spans="1:8" x14ac:dyDescent="0.15">
      <c r="C115" s="3" t="s">
        <v>8863</v>
      </c>
      <c r="D115" s="3">
        <v>133612</v>
      </c>
      <c r="E115" s="43" t="s">
        <v>8864</v>
      </c>
      <c r="F115" s="54" t="s">
        <v>8865</v>
      </c>
      <c r="G115" s="54">
        <v>136737</v>
      </c>
      <c r="H115" s="55" t="s">
        <v>8866</v>
      </c>
    </row>
    <row r="116" spans="1:8" x14ac:dyDescent="0.15">
      <c r="B116" s="2" t="s">
        <v>8843</v>
      </c>
      <c r="C116" s="2">
        <v>124419</v>
      </c>
      <c r="D116" s="3">
        <v>133621</v>
      </c>
      <c r="E116" s="3">
        <v>133710</v>
      </c>
      <c r="F116" s="2">
        <v>136728</v>
      </c>
      <c r="G116" s="3">
        <v>154703</v>
      </c>
    </row>
    <row r="117" spans="1:8" x14ac:dyDescent="0.15">
      <c r="C117" s="2">
        <v>124555</v>
      </c>
      <c r="D117" s="2">
        <v>133634</v>
      </c>
      <c r="E117" s="3">
        <v>133718</v>
      </c>
      <c r="F117" s="2">
        <v>136743</v>
      </c>
      <c r="G117" s="2">
        <v>156491</v>
      </c>
    </row>
    <row r="118" spans="1:8" x14ac:dyDescent="0.15">
      <c r="C118" s="2">
        <f t="shared" ref="C118" si="21">IF(C113=C116,1,0)</f>
        <v>0</v>
      </c>
      <c r="D118" s="2">
        <f t="shared" ref="D118:G118" si="22">IF(D113=D116,1,0)</f>
        <v>0</v>
      </c>
      <c r="E118" s="2">
        <f t="shared" si="22"/>
        <v>0</v>
      </c>
      <c r="F118" s="2">
        <f>IF(G113=F116,1,0)</f>
        <v>0</v>
      </c>
      <c r="G118" s="2">
        <f>IF(H113=G116,1,0)</f>
        <v>0</v>
      </c>
    </row>
    <row r="119" spans="1:8" x14ac:dyDescent="0.15">
      <c r="C119" s="2">
        <f t="shared" ref="C119" si="23">IF(C114=C117,1,0)</f>
        <v>1</v>
      </c>
      <c r="D119" s="2">
        <f t="shared" ref="D119:G119" si="24">IF(D114=D117,1,0)</f>
        <v>1</v>
      </c>
      <c r="E119" s="2">
        <f t="shared" si="24"/>
        <v>0</v>
      </c>
      <c r="F119" s="2">
        <f>IF(G114=F117,1,0)</f>
        <v>0</v>
      </c>
      <c r="G119" s="2">
        <f>IF(H114=G117,1,0)</f>
        <v>0</v>
      </c>
    </row>
    <row r="393" spans="11:11" x14ac:dyDescent="0.15">
      <c r="K393" s="3"/>
    </row>
    <row r="394" spans="11:11" x14ac:dyDescent="0.15">
      <c r="K394" s="3"/>
    </row>
    <row r="395" spans="11:11" x14ac:dyDescent="0.15">
      <c r="K395" s="3"/>
    </row>
    <row r="409" spans="11:15" x14ac:dyDescent="0.15">
      <c r="K409" s="3"/>
    </row>
    <row r="410" spans="11:15" x14ac:dyDescent="0.15">
      <c r="K410" s="3"/>
    </row>
    <row r="411" spans="11:15" x14ac:dyDescent="0.15">
      <c r="K411" s="3"/>
    </row>
    <row r="416" spans="11:15" x14ac:dyDescent="0.15">
      <c r="O416" s="2" t="s">
        <v>2033</v>
      </c>
    </row>
    <row r="417" spans="11:19" x14ac:dyDescent="0.15">
      <c r="K417" s="3"/>
      <c r="O417" s="2" t="s">
        <v>2037</v>
      </c>
    </row>
    <row r="418" spans="11:19" x14ac:dyDescent="0.15">
      <c r="M418" s="2" t="s">
        <v>1418</v>
      </c>
      <c r="O418" s="2" t="s">
        <v>2050</v>
      </c>
    </row>
    <row r="419" spans="11:19" x14ac:dyDescent="0.15">
      <c r="M419" s="2" t="s">
        <v>1417</v>
      </c>
      <c r="O419" s="2" t="s">
        <v>67</v>
      </c>
    </row>
    <row r="420" spans="11:19" x14ac:dyDescent="0.15">
      <c r="M420" s="2" t="s">
        <v>269</v>
      </c>
      <c r="O420" s="2" t="s">
        <v>2055</v>
      </c>
      <c r="P420" s="2" t="s">
        <v>1440</v>
      </c>
      <c r="R420" s="2" t="s">
        <v>1410</v>
      </c>
      <c r="S420" s="2" t="s">
        <v>3719</v>
      </c>
    </row>
    <row r="421" spans="11:19" x14ac:dyDescent="0.15">
      <c r="M421" s="2" t="s">
        <v>1450</v>
      </c>
      <c r="O421" s="2" t="s">
        <v>2034</v>
      </c>
      <c r="P421" s="2" t="s">
        <v>1423</v>
      </c>
      <c r="R421" s="2" t="s">
        <v>3740</v>
      </c>
      <c r="S421" s="2" t="s">
        <v>3932</v>
      </c>
    </row>
    <row r="422" spans="11:19" x14ac:dyDescent="0.15">
      <c r="M422" s="2" t="s">
        <v>1453</v>
      </c>
      <c r="O422" s="2" t="s">
        <v>2026</v>
      </c>
      <c r="P422" s="2" t="s">
        <v>1448</v>
      </c>
      <c r="R422" s="2" t="s">
        <v>2030</v>
      </c>
      <c r="S422" s="2" t="s">
        <v>3732</v>
      </c>
    </row>
    <row r="423" spans="11:19" x14ac:dyDescent="0.15">
      <c r="K423" s="3"/>
      <c r="M423" s="2" t="s">
        <v>1449</v>
      </c>
      <c r="O423" s="2" t="s">
        <v>2047</v>
      </c>
      <c r="P423" s="2" t="s">
        <v>1425</v>
      </c>
      <c r="R423" s="2" t="s">
        <v>2040</v>
      </c>
      <c r="S423" s="2" t="s">
        <v>3731</v>
      </c>
    </row>
    <row r="424" spans="11:19" x14ac:dyDescent="0.15">
      <c r="M424" s="2" t="s">
        <v>1416</v>
      </c>
      <c r="O424" s="2" t="s">
        <v>2041</v>
      </c>
      <c r="P424" s="2" t="s">
        <v>1431</v>
      </c>
      <c r="R424" s="2" t="s">
        <v>2023</v>
      </c>
      <c r="S424" s="2" t="s">
        <v>3720</v>
      </c>
    </row>
    <row r="425" spans="11:19" x14ac:dyDescent="0.15">
      <c r="M425" s="2" t="s">
        <v>1445</v>
      </c>
      <c r="P425" s="2" t="s">
        <v>1413</v>
      </c>
      <c r="R425" s="2" t="s">
        <v>3741</v>
      </c>
      <c r="S425" s="2" t="s">
        <v>3729</v>
      </c>
    </row>
    <row r="426" spans="11:19" x14ac:dyDescent="0.15">
      <c r="M426" s="2" t="s">
        <v>3738</v>
      </c>
      <c r="P426" s="2" t="s">
        <v>1434</v>
      </c>
      <c r="S426" s="2" t="s">
        <v>3931</v>
      </c>
    </row>
    <row r="427" spans="11:19" x14ac:dyDescent="0.15">
      <c r="M427" s="2" t="s">
        <v>1430</v>
      </c>
      <c r="O427" s="2" t="s">
        <v>2</v>
      </c>
      <c r="P427" s="2" t="s">
        <v>1447</v>
      </c>
      <c r="S427" s="2" t="s">
        <v>3930</v>
      </c>
    </row>
    <row r="428" spans="11:19" x14ac:dyDescent="0.15">
      <c r="M428" s="2" t="s">
        <v>1414</v>
      </c>
      <c r="O428" s="2" t="s">
        <v>2038</v>
      </c>
      <c r="P428" s="2" t="s">
        <v>1412</v>
      </c>
      <c r="S428" s="2" t="s">
        <v>3730</v>
      </c>
    </row>
    <row r="429" spans="11:19" x14ac:dyDescent="0.15">
      <c r="M429" s="2" t="s">
        <v>1419</v>
      </c>
      <c r="O429" s="2" t="s">
        <v>278</v>
      </c>
      <c r="P429" s="2" t="s">
        <v>1441</v>
      </c>
      <c r="S429" s="2" t="s">
        <v>3921</v>
      </c>
    </row>
    <row r="430" spans="11:19" x14ac:dyDescent="0.15">
      <c r="M430" s="2" t="s">
        <v>1435</v>
      </c>
      <c r="O430" s="2" t="s">
        <v>300</v>
      </c>
      <c r="S430" s="2" t="s">
        <v>3716</v>
      </c>
    </row>
    <row r="431" spans="11:19" x14ac:dyDescent="0.15">
      <c r="M431" s="2" t="s">
        <v>1452</v>
      </c>
      <c r="O431" s="2" t="s">
        <v>142</v>
      </c>
      <c r="S431" s="2" t="s">
        <v>3718</v>
      </c>
    </row>
    <row r="432" spans="11:19" x14ac:dyDescent="0.15">
      <c r="M432" s="2" t="s">
        <v>1424</v>
      </c>
      <c r="O432" s="2" t="s">
        <v>299</v>
      </c>
      <c r="S432" s="2" t="s">
        <v>3929</v>
      </c>
    </row>
    <row r="433" spans="13:15" x14ac:dyDescent="0.15">
      <c r="M433" s="2" t="s">
        <v>1439</v>
      </c>
      <c r="O433" s="2" t="s">
        <v>276</v>
      </c>
    </row>
    <row r="434" spans="13:15" x14ac:dyDescent="0.15">
      <c r="M434" s="2" t="s">
        <v>1437</v>
      </c>
      <c r="O434" s="2" t="s">
        <v>182</v>
      </c>
    </row>
    <row r="435" spans="13:15" x14ac:dyDescent="0.15">
      <c r="M435" s="2" t="s">
        <v>1428</v>
      </c>
      <c r="O435" s="2" t="s">
        <v>294</v>
      </c>
    </row>
    <row r="436" spans="13:15" x14ac:dyDescent="0.15">
      <c r="M436" s="2" t="s">
        <v>1415</v>
      </c>
      <c r="O436" s="2" t="s">
        <v>275</v>
      </c>
    </row>
    <row r="437" spans="13:15" x14ac:dyDescent="0.15">
      <c r="M437" s="2" t="s">
        <v>1442</v>
      </c>
      <c r="O437" s="2" t="s">
        <v>173</v>
      </c>
    </row>
    <row r="438" spans="13:15" x14ac:dyDescent="0.15">
      <c r="M438" s="2" t="s">
        <v>1420</v>
      </c>
      <c r="O438" s="2" t="s">
        <v>269</v>
      </c>
    </row>
    <row r="439" spans="13:15" x14ac:dyDescent="0.15">
      <c r="M439" s="2" t="s">
        <v>1426</v>
      </c>
      <c r="O439" s="2" t="s">
        <v>67</v>
      </c>
    </row>
    <row r="440" spans="13:15" x14ac:dyDescent="0.15">
      <c r="M440" s="2" t="s">
        <v>1429</v>
      </c>
      <c r="O440" s="2" t="s">
        <v>290</v>
      </c>
    </row>
    <row r="441" spans="13:15" x14ac:dyDescent="0.15">
      <c r="M441" s="2" t="s">
        <v>1456</v>
      </c>
      <c r="O441" s="2" t="s">
        <v>48</v>
      </c>
    </row>
    <row r="442" spans="13:15" x14ac:dyDescent="0.15">
      <c r="M442" s="2" t="s">
        <v>1443</v>
      </c>
      <c r="O442" s="2" t="s">
        <v>97</v>
      </c>
    </row>
    <row r="443" spans="13:15" x14ac:dyDescent="0.15">
      <c r="M443" s="2" t="s">
        <v>1422</v>
      </c>
      <c r="O443" s="2" t="s">
        <v>305</v>
      </c>
    </row>
    <row r="444" spans="13:15" x14ac:dyDescent="0.15">
      <c r="M444" s="2" t="s">
        <v>1454</v>
      </c>
      <c r="O444" s="2" t="s">
        <v>157</v>
      </c>
    </row>
    <row r="445" spans="13:15" x14ac:dyDescent="0.15">
      <c r="M445" s="2" t="s">
        <v>3823</v>
      </c>
      <c r="O445" s="2" t="s">
        <v>34</v>
      </c>
    </row>
    <row r="446" spans="13:15" x14ac:dyDescent="0.15">
      <c r="M446" s="2" t="s">
        <v>1446</v>
      </c>
      <c r="O446" s="2" t="s">
        <v>84</v>
      </c>
    </row>
    <row r="447" spans="13:15" x14ac:dyDescent="0.15">
      <c r="M447" s="2" t="s">
        <v>1451</v>
      </c>
      <c r="O447" s="2" t="s">
        <v>132</v>
      </c>
    </row>
    <row r="448" spans="13:15" x14ac:dyDescent="0.15">
      <c r="M448" s="2" t="s">
        <v>1455</v>
      </c>
      <c r="O448" s="2" t="s">
        <v>56</v>
      </c>
    </row>
    <row r="449" spans="15:15" x14ac:dyDescent="0.15">
      <c r="O449" s="2" t="s">
        <v>45</v>
      </c>
    </row>
    <row r="450" spans="15:15" x14ac:dyDescent="0.15">
      <c r="O450" s="2" t="s">
        <v>301</v>
      </c>
    </row>
    <row r="451" spans="15:15" x14ac:dyDescent="0.15">
      <c r="O451" s="2" t="s">
        <v>71</v>
      </c>
    </row>
    <row r="452" spans="15:15" x14ac:dyDescent="0.15">
      <c r="O452" s="2" t="s">
        <v>89</v>
      </c>
    </row>
    <row r="453" spans="15:15" x14ac:dyDescent="0.15">
      <c r="O453" s="2" t="s">
        <v>77</v>
      </c>
    </row>
    <row r="454" spans="15:15" x14ac:dyDescent="0.15">
      <c r="O454" s="2" t="s">
        <v>2042</v>
      </c>
    </row>
    <row r="455" spans="15:15" x14ac:dyDescent="0.15">
      <c r="O455" s="2" t="s">
        <v>171</v>
      </c>
    </row>
    <row r="456" spans="15:15" x14ac:dyDescent="0.15">
      <c r="O456" s="2" t="s">
        <v>69</v>
      </c>
    </row>
    <row r="457" spans="15:15" x14ac:dyDescent="0.15">
      <c r="O457" s="2" t="s">
        <v>126</v>
      </c>
    </row>
    <row r="458" spans="15:15" x14ac:dyDescent="0.15">
      <c r="O458" s="2" t="s">
        <v>149</v>
      </c>
    </row>
    <row r="459" spans="15:15" x14ac:dyDescent="0.15">
      <c r="O459" s="2" t="s">
        <v>38</v>
      </c>
    </row>
    <row r="460" spans="15:15" x14ac:dyDescent="0.15">
      <c r="O460" s="2" t="s">
        <v>75</v>
      </c>
    </row>
    <row r="461" spans="15:15" x14ac:dyDescent="0.15">
      <c r="O461" s="2" t="s">
        <v>147</v>
      </c>
    </row>
    <row r="462" spans="15:15" x14ac:dyDescent="0.15">
      <c r="O462" s="2" t="s">
        <v>2030</v>
      </c>
    </row>
    <row r="463" spans="15:15" x14ac:dyDescent="0.15">
      <c r="O463" s="2" t="s">
        <v>2051</v>
      </c>
    </row>
    <row r="464" spans="15:15" x14ac:dyDescent="0.15">
      <c r="O464" s="2" t="s">
        <v>137</v>
      </c>
    </row>
    <row r="465" spans="15:15" x14ac:dyDescent="0.15">
      <c r="O465" s="2" t="s">
        <v>82</v>
      </c>
    </row>
    <row r="466" spans="15:15" x14ac:dyDescent="0.15">
      <c r="O466" s="2" t="s">
        <v>270</v>
      </c>
    </row>
    <row r="467" spans="15:15" x14ac:dyDescent="0.15">
      <c r="O467" s="2" t="s">
        <v>95</v>
      </c>
    </row>
    <row r="468" spans="15:15" x14ac:dyDescent="0.15">
      <c r="O468" s="2" t="s">
        <v>287</v>
      </c>
    </row>
    <row r="469" spans="15:15" x14ac:dyDescent="0.15">
      <c r="O469" s="2" t="s">
        <v>111</v>
      </c>
    </row>
    <row r="470" spans="15:15" x14ac:dyDescent="0.15">
      <c r="O470" s="2" t="s">
        <v>2031</v>
      </c>
    </row>
    <row r="471" spans="15:15" x14ac:dyDescent="0.15">
      <c r="O471" s="2" t="s">
        <v>285</v>
      </c>
    </row>
    <row r="472" spans="15:15" x14ac:dyDescent="0.15">
      <c r="O472" s="2" t="s">
        <v>135</v>
      </c>
    </row>
    <row r="473" spans="15:15" x14ac:dyDescent="0.15">
      <c r="O473" s="2" t="s">
        <v>279</v>
      </c>
    </row>
    <row r="474" spans="15:15" x14ac:dyDescent="0.15">
      <c r="O474" s="2" t="s">
        <v>298</v>
      </c>
    </row>
    <row r="475" spans="15:15" x14ac:dyDescent="0.15">
      <c r="O475" s="2" t="s">
        <v>130</v>
      </c>
    </row>
    <row r="476" spans="15:15" x14ac:dyDescent="0.15">
      <c r="O476" s="2" t="s">
        <v>304</v>
      </c>
    </row>
    <row r="477" spans="15:15" x14ac:dyDescent="0.15">
      <c r="O477" s="2" t="s">
        <v>274</v>
      </c>
    </row>
    <row r="478" spans="15:15" x14ac:dyDescent="0.15">
      <c r="O478" s="2" t="s">
        <v>155</v>
      </c>
    </row>
    <row r="479" spans="15:15" x14ac:dyDescent="0.15">
      <c r="O479" s="2" t="s">
        <v>288</v>
      </c>
    </row>
    <row r="480" spans="15:15" x14ac:dyDescent="0.15">
      <c r="O480" s="2" t="s">
        <v>296</v>
      </c>
    </row>
    <row r="481" spans="15:15" x14ac:dyDescent="0.15">
      <c r="O481" s="2" t="s">
        <v>2039</v>
      </c>
    </row>
    <row r="482" spans="15:15" x14ac:dyDescent="0.15">
      <c r="O482" s="2" t="s">
        <v>280</v>
      </c>
    </row>
    <row r="483" spans="15:15" x14ac:dyDescent="0.15">
      <c r="O483" s="2" t="s">
        <v>169</v>
      </c>
    </row>
    <row r="484" spans="15:15" x14ac:dyDescent="0.15">
      <c r="O484" s="2" t="s">
        <v>65</v>
      </c>
    </row>
    <row r="485" spans="15:15" x14ac:dyDescent="0.15">
      <c r="O485" s="2" t="s">
        <v>281</v>
      </c>
    </row>
    <row r="486" spans="15:15" x14ac:dyDescent="0.15">
      <c r="O486" s="2" t="s">
        <v>286</v>
      </c>
    </row>
    <row r="487" spans="15:15" x14ac:dyDescent="0.15">
      <c r="O487" s="2" t="s">
        <v>291</v>
      </c>
    </row>
    <row r="488" spans="15:15" x14ac:dyDescent="0.15">
      <c r="O488" s="2" t="s">
        <v>284</v>
      </c>
    </row>
    <row r="489" spans="15:15" x14ac:dyDescent="0.15">
      <c r="O489" s="2" t="s">
        <v>177</v>
      </c>
    </row>
    <row r="490" spans="15:15" x14ac:dyDescent="0.15">
      <c r="O490" s="2" t="s">
        <v>180</v>
      </c>
    </row>
    <row r="491" spans="15:15" x14ac:dyDescent="0.15">
      <c r="O491" s="2" t="s">
        <v>162</v>
      </c>
    </row>
    <row r="492" spans="15:15" x14ac:dyDescent="0.15">
      <c r="O492" s="2" t="s">
        <v>295</v>
      </c>
    </row>
    <row r="493" spans="15:15" x14ac:dyDescent="0.15">
      <c r="O493" s="2" t="s">
        <v>297</v>
      </c>
    </row>
    <row r="494" spans="15:15" x14ac:dyDescent="0.15">
      <c r="O494" s="2" t="s">
        <v>145</v>
      </c>
    </row>
    <row r="495" spans="15:15" x14ac:dyDescent="0.15">
      <c r="O495" s="2" t="s">
        <v>310</v>
      </c>
    </row>
    <row r="496" spans="15:15" x14ac:dyDescent="0.15">
      <c r="O496" s="2" t="s">
        <v>63</v>
      </c>
    </row>
    <row r="497" spans="15:15" x14ac:dyDescent="0.15">
      <c r="O497" s="2" t="s">
        <v>61</v>
      </c>
    </row>
    <row r="498" spans="15:15" x14ac:dyDescent="0.15">
      <c r="O498" s="2" t="s">
        <v>109</v>
      </c>
    </row>
    <row r="499" spans="15:15" x14ac:dyDescent="0.15">
      <c r="O499" s="2" t="s">
        <v>2043</v>
      </c>
    </row>
    <row r="500" spans="15:15" x14ac:dyDescent="0.15">
      <c r="O500" s="2" t="s">
        <v>293</v>
      </c>
    </row>
    <row r="501" spans="15:15" x14ac:dyDescent="0.15">
      <c r="O501" s="2" t="s">
        <v>31</v>
      </c>
    </row>
    <row r="502" spans="15:15" x14ac:dyDescent="0.15">
      <c r="O502" s="2" t="s">
        <v>124</v>
      </c>
    </row>
    <row r="503" spans="15:15" x14ac:dyDescent="0.15">
      <c r="O503" s="2" t="s">
        <v>307</v>
      </c>
    </row>
    <row r="504" spans="15:15" x14ac:dyDescent="0.15">
      <c r="O504" s="2" t="s">
        <v>167</v>
      </c>
    </row>
    <row r="505" spans="15:15" x14ac:dyDescent="0.15">
      <c r="O505" s="2" t="s">
        <v>104</v>
      </c>
    </row>
    <row r="506" spans="15:15" x14ac:dyDescent="0.15">
      <c r="O506" s="2" t="s">
        <v>271</v>
      </c>
    </row>
    <row r="507" spans="15:15" x14ac:dyDescent="0.15">
      <c r="O507" s="2" t="s">
        <v>107</v>
      </c>
    </row>
    <row r="508" spans="15:15" x14ac:dyDescent="0.15">
      <c r="O508" s="2" t="s">
        <v>41</v>
      </c>
    </row>
    <row r="509" spans="15:15" x14ac:dyDescent="0.15">
      <c r="O509" s="2" t="s">
        <v>306</v>
      </c>
    </row>
    <row r="510" spans="15:15" x14ac:dyDescent="0.15">
      <c r="O510" s="2" t="s">
        <v>165</v>
      </c>
    </row>
    <row r="511" spans="15:15" x14ac:dyDescent="0.15">
      <c r="O511" s="2" t="s">
        <v>303</v>
      </c>
    </row>
    <row r="512" spans="15:15" x14ac:dyDescent="0.15">
      <c r="O512" s="2" t="s">
        <v>302</v>
      </c>
    </row>
    <row r="513" spans="15:15" x14ac:dyDescent="0.15">
      <c r="O513" s="2" t="s">
        <v>282</v>
      </c>
    </row>
    <row r="514" spans="15:15" x14ac:dyDescent="0.15">
      <c r="O514" s="2" t="s">
        <v>2052</v>
      </c>
    </row>
    <row r="515" spans="15:15" x14ac:dyDescent="0.15">
      <c r="O515" s="2" t="s">
        <v>87</v>
      </c>
    </row>
    <row r="516" spans="15:15" x14ac:dyDescent="0.15">
      <c r="O516" s="2" t="s">
        <v>273</v>
      </c>
    </row>
    <row r="517" spans="15:15" x14ac:dyDescent="0.15">
      <c r="O517" s="2" t="s">
        <v>101</v>
      </c>
    </row>
    <row r="518" spans="15:15" x14ac:dyDescent="0.15">
      <c r="O518" s="2" t="s">
        <v>119</v>
      </c>
    </row>
    <row r="519" spans="15:15" x14ac:dyDescent="0.15">
      <c r="O519" s="2" t="s">
        <v>2046</v>
      </c>
    </row>
    <row r="520" spans="15:15" x14ac:dyDescent="0.15">
      <c r="O520" s="2" t="s">
        <v>122</v>
      </c>
    </row>
    <row r="521" spans="15:15" x14ac:dyDescent="0.15">
      <c r="O521" s="2" t="s">
        <v>277</v>
      </c>
    </row>
    <row r="522" spans="15:15" x14ac:dyDescent="0.15">
      <c r="O522" s="2" t="s">
        <v>79</v>
      </c>
    </row>
    <row r="523" spans="15:15" x14ac:dyDescent="0.15">
      <c r="O523" s="2" t="s">
        <v>51</v>
      </c>
    </row>
    <row r="524" spans="15:15" x14ac:dyDescent="0.15">
      <c r="O524" s="2" t="s">
        <v>309</v>
      </c>
    </row>
    <row r="525" spans="15:15" x14ac:dyDescent="0.15">
      <c r="O525" s="2" t="s">
        <v>272</v>
      </c>
    </row>
    <row r="526" spans="15:15" x14ac:dyDescent="0.15">
      <c r="O526" s="2" t="s">
        <v>2032</v>
      </c>
    </row>
    <row r="527" spans="15:15" x14ac:dyDescent="0.15">
      <c r="O527" s="2" t="s">
        <v>311</v>
      </c>
    </row>
    <row r="528" spans="15:15" x14ac:dyDescent="0.15">
      <c r="O528" s="2" t="s">
        <v>289</v>
      </c>
    </row>
    <row r="529" spans="15:15" x14ac:dyDescent="0.15">
      <c r="O529" s="2" t="s">
        <v>2048</v>
      </c>
    </row>
    <row r="530" spans="15:15" x14ac:dyDescent="0.15">
      <c r="O530" s="2" t="s">
        <v>283</v>
      </c>
    </row>
    <row r="531" spans="15:15" x14ac:dyDescent="0.15">
      <c r="O531" s="2" t="s">
        <v>2027</v>
      </c>
    </row>
    <row r="532" spans="15:15" x14ac:dyDescent="0.15">
      <c r="O532" s="2" t="s">
        <v>160</v>
      </c>
    </row>
    <row r="533" spans="15:15" x14ac:dyDescent="0.15">
      <c r="O533" s="2" t="s">
        <v>308</v>
      </c>
    </row>
    <row r="534" spans="15:15" x14ac:dyDescent="0.15">
      <c r="O534" s="2" t="s">
        <v>292</v>
      </c>
    </row>
    <row r="535" spans="15:15" x14ac:dyDescent="0.15">
      <c r="O535" s="2" t="s">
        <v>2054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I26" sqref="I26"/>
    </sheetView>
  </sheetViews>
  <sheetFormatPr defaultRowHeight="13.5" x14ac:dyDescent="0.15"/>
  <cols>
    <col min="1" max="1" width="13.875" bestFit="1" customWidth="1"/>
  </cols>
  <sheetData>
    <row r="1" spans="1:2" ht="15" x14ac:dyDescent="0.25">
      <c r="A1" s="40" t="s">
        <v>3973</v>
      </c>
      <c r="B1" s="40" t="s">
        <v>5760</v>
      </c>
    </row>
    <row r="2" spans="1:2" ht="15" x14ac:dyDescent="0.25">
      <c r="A2" s="40" t="s">
        <v>4124</v>
      </c>
      <c r="B2" s="40" t="s">
        <v>1</v>
      </c>
    </row>
    <row r="3" spans="1:2" ht="15" x14ac:dyDescent="0.25">
      <c r="A3" s="40" t="s">
        <v>3978</v>
      </c>
      <c r="B3" s="40" t="s">
        <v>86</v>
      </c>
    </row>
    <row r="4" spans="1:2" ht="15" x14ac:dyDescent="0.25">
      <c r="A4" s="40" t="s">
        <v>3954</v>
      </c>
      <c r="B4" s="40" t="s">
        <v>569</v>
      </c>
    </row>
    <row r="5" spans="1:2" ht="15" x14ac:dyDescent="0.25">
      <c r="A5" s="40" t="s">
        <v>3942</v>
      </c>
      <c r="B5" s="40" t="s">
        <v>186</v>
      </c>
    </row>
    <row r="6" spans="1:2" ht="15" x14ac:dyDescent="0.25">
      <c r="A6" s="40" t="s">
        <v>4059</v>
      </c>
      <c r="B6" s="40" t="s">
        <v>175</v>
      </c>
    </row>
    <row r="7" spans="1:2" ht="15" x14ac:dyDescent="0.25">
      <c r="A7" s="40" t="s">
        <v>3948</v>
      </c>
      <c r="B7" s="40" t="s">
        <v>40</v>
      </c>
    </row>
    <row r="8" spans="1:2" ht="15" x14ac:dyDescent="0.25">
      <c r="A8" s="40" t="s">
        <v>4004</v>
      </c>
      <c r="B8" s="40" t="s">
        <v>103</v>
      </c>
    </row>
    <row r="9" spans="1:2" ht="15" x14ac:dyDescent="0.25">
      <c r="A9" s="40" t="s">
        <v>4115</v>
      </c>
      <c r="B9" s="40" t="s">
        <v>33</v>
      </c>
    </row>
    <row r="10" spans="1:2" ht="15" x14ac:dyDescent="0.25">
      <c r="A10" s="40" t="s">
        <v>4052</v>
      </c>
      <c r="B10" s="40" t="s">
        <v>93</v>
      </c>
    </row>
    <row r="11" spans="1:2" ht="15" x14ac:dyDescent="0.25">
      <c r="A11" s="40" t="s">
        <v>3957</v>
      </c>
      <c r="B11" s="40" t="s">
        <v>36</v>
      </c>
    </row>
    <row r="12" spans="1:2" ht="15" x14ac:dyDescent="0.25">
      <c r="A12" s="40" t="s">
        <v>4055</v>
      </c>
      <c r="B12" s="40" t="s">
        <v>212</v>
      </c>
    </row>
    <row r="13" spans="1:2" ht="15" x14ac:dyDescent="0.25">
      <c r="A13" s="40" t="s">
        <v>4035</v>
      </c>
      <c r="B13" s="40" t="s">
        <v>106</v>
      </c>
    </row>
    <row r="14" spans="1:2" ht="15" x14ac:dyDescent="0.25">
      <c r="A14" s="40" t="s">
        <v>4030</v>
      </c>
      <c r="B14" s="40" t="s">
        <v>81</v>
      </c>
    </row>
    <row r="15" spans="1:2" ht="15" x14ac:dyDescent="0.25">
      <c r="A15" s="40" t="s">
        <v>4042</v>
      </c>
      <c r="B15" s="40" t="s">
        <v>113</v>
      </c>
    </row>
    <row r="16" spans="1:2" ht="15" x14ac:dyDescent="0.25">
      <c r="A16" s="40" t="s">
        <v>4012</v>
      </c>
      <c r="B16" s="40" t="s">
        <v>121</v>
      </c>
    </row>
    <row r="17" spans="1:2" ht="15" x14ac:dyDescent="0.25">
      <c r="A17" s="40" t="s">
        <v>3946</v>
      </c>
      <c r="B17" s="40" t="s">
        <v>47</v>
      </c>
    </row>
    <row r="18" spans="1:2" ht="15" x14ac:dyDescent="0.25">
      <c r="A18" s="40" t="s">
        <v>4069</v>
      </c>
      <c r="B18" s="40" t="s">
        <v>179</v>
      </c>
    </row>
    <row r="19" spans="1:2" ht="15" x14ac:dyDescent="0.25">
      <c r="A19" s="40" t="s">
        <v>3986</v>
      </c>
      <c r="B19" s="40" t="s">
        <v>50</v>
      </c>
    </row>
    <row r="20" spans="1:2" ht="15" x14ac:dyDescent="0.25">
      <c r="A20" s="40" t="s">
        <v>3962</v>
      </c>
      <c r="B20" s="40" t="s">
        <v>53</v>
      </c>
    </row>
    <row r="21" spans="1:2" ht="15" x14ac:dyDescent="0.25">
      <c r="A21" s="40" t="s">
        <v>4018</v>
      </c>
      <c r="B21" s="40" t="s">
        <v>241</v>
      </c>
    </row>
    <row r="22" spans="1:2" ht="15" x14ac:dyDescent="0.25">
      <c r="A22" s="40" t="s">
        <v>3966</v>
      </c>
      <c r="B22" s="40" t="s">
        <v>43</v>
      </c>
    </row>
    <row r="23" spans="1:2" ht="15" x14ac:dyDescent="0.25">
      <c r="A23" s="40" t="s">
        <v>3939</v>
      </c>
      <c r="B23" s="40" t="s">
        <v>5761</v>
      </c>
    </row>
    <row r="24" spans="1:2" ht="15" x14ac:dyDescent="0.25">
      <c r="A24" s="40" t="s">
        <v>4047</v>
      </c>
      <c r="B24" s="40" t="s">
        <v>5762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0"/>
  <sheetViews>
    <sheetView topLeftCell="A196" workbookViewId="0">
      <selection activeCell="I200" sqref="I200:I215"/>
    </sheetView>
  </sheetViews>
  <sheetFormatPr defaultRowHeight="13.5" x14ac:dyDescent="0.15"/>
  <cols>
    <col min="1" max="1" width="11.875" bestFit="1" customWidth="1"/>
    <col min="2" max="2" width="5.125" bestFit="1" customWidth="1"/>
    <col min="3" max="3" width="8.25" bestFit="1" customWidth="1"/>
    <col min="4" max="4" width="19.75" bestFit="1" customWidth="1"/>
    <col min="5" max="5" width="56" bestFit="1" customWidth="1"/>
    <col min="6" max="6" width="9" style="2"/>
    <col min="7" max="7" width="12.375" style="2" bestFit="1" customWidth="1"/>
    <col min="8" max="8" width="9" style="2"/>
    <col min="9" max="12" width="9.5" style="2" bestFit="1" customWidth="1"/>
    <col min="13" max="13" width="9" style="2"/>
    <col min="14" max="15" width="9.5" style="2" bestFit="1" customWidth="1"/>
    <col min="16" max="16384" width="9" style="2"/>
  </cols>
  <sheetData>
    <row r="1" spans="1:5" ht="12.75" x14ac:dyDescent="0.2">
      <c r="A1" s="1" t="s">
        <v>421</v>
      </c>
      <c r="B1" s="1" t="s">
        <v>1</v>
      </c>
      <c r="C1" s="1">
        <v>38294745</v>
      </c>
      <c r="D1" s="1" t="s">
        <v>2393</v>
      </c>
      <c r="E1" s="1" t="s">
        <v>3766</v>
      </c>
    </row>
    <row r="2" spans="1:5" ht="12.75" x14ac:dyDescent="0.2">
      <c r="A2" s="1" t="s">
        <v>533</v>
      </c>
      <c r="B2" s="1" t="s">
        <v>86</v>
      </c>
      <c r="C2" s="1">
        <v>81538849</v>
      </c>
      <c r="D2" s="1" t="s">
        <v>2484</v>
      </c>
      <c r="E2" s="1" t="s">
        <v>3766</v>
      </c>
    </row>
    <row r="3" spans="1:5" ht="12.75" x14ac:dyDescent="0.2">
      <c r="A3" s="1" t="s">
        <v>892</v>
      </c>
      <c r="B3" s="1" t="s">
        <v>93</v>
      </c>
      <c r="C3" s="1">
        <v>102505467</v>
      </c>
      <c r="D3" s="1" t="s">
        <v>3305</v>
      </c>
      <c r="E3" s="1" t="s">
        <v>3767</v>
      </c>
    </row>
    <row r="4" spans="1:5" ht="12.75" x14ac:dyDescent="0.2">
      <c r="A4" s="1" t="s">
        <v>0</v>
      </c>
      <c r="B4" s="1" t="s">
        <v>1</v>
      </c>
      <c r="C4" s="1">
        <v>31749655</v>
      </c>
      <c r="D4" s="1" t="s">
        <v>2144</v>
      </c>
      <c r="E4" s="1" t="s">
        <v>3768</v>
      </c>
    </row>
    <row r="5" spans="1:5" ht="12.75" x14ac:dyDescent="0.2">
      <c r="A5" s="1" t="s">
        <v>1192</v>
      </c>
      <c r="B5" s="1" t="s">
        <v>47</v>
      </c>
      <c r="C5" s="1">
        <v>62396774</v>
      </c>
      <c r="D5" s="1" t="s">
        <v>2279</v>
      </c>
      <c r="E5" s="1" t="s">
        <v>3769</v>
      </c>
    </row>
    <row r="6" spans="1:5" ht="12.75" x14ac:dyDescent="0.2">
      <c r="A6" s="1" t="s">
        <v>672</v>
      </c>
      <c r="B6" s="1" t="s">
        <v>175</v>
      </c>
      <c r="C6" s="1">
        <v>32793186</v>
      </c>
      <c r="D6" s="1" t="s">
        <v>3234</v>
      </c>
      <c r="E6" s="1" t="s">
        <v>3766</v>
      </c>
    </row>
    <row r="7" spans="1:5" ht="12.75" x14ac:dyDescent="0.2">
      <c r="A7" s="1" t="s">
        <v>475</v>
      </c>
      <c r="B7" s="1" t="s">
        <v>1</v>
      </c>
      <c r="C7" s="1">
        <v>217498126</v>
      </c>
      <c r="D7" s="1" t="s">
        <v>2233</v>
      </c>
      <c r="E7" s="1" t="s">
        <v>3770</v>
      </c>
    </row>
    <row r="8" spans="1:5" ht="12.75" x14ac:dyDescent="0.2">
      <c r="A8" s="1" t="s">
        <v>983</v>
      </c>
      <c r="B8" s="1" t="s">
        <v>36</v>
      </c>
      <c r="C8" s="1">
        <v>112831968</v>
      </c>
      <c r="D8" s="1" t="s">
        <v>3363</v>
      </c>
      <c r="E8" s="1" t="s">
        <v>3768</v>
      </c>
    </row>
    <row r="9" spans="1:5" ht="12.75" x14ac:dyDescent="0.2">
      <c r="A9" s="1" t="s">
        <v>432</v>
      </c>
      <c r="B9" s="1" t="s">
        <v>1</v>
      </c>
      <c r="C9" s="1">
        <v>96778622</v>
      </c>
      <c r="D9" s="1" t="s">
        <v>2231</v>
      </c>
      <c r="E9" s="1" t="s">
        <v>3766</v>
      </c>
    </row>
    <row r="10" spans="1:5" ht="12.75" x14ac:dyDescent="0.2">
      <c r="A10" s="1" t="s">
        <v>959</v>
      </c>
      <c r="B10" s="1" t="s">
        <v>36</v>
      </c>
      <c r="C10" s="1">
        <v>67777789</v>
      </c>
      <c r="D10" s="1" t="s">
        <v>2268</v>
      </c>
      <c r="E10" s="1" t="s">
        <v>3768</v>
      </c>
    </row>
    <row r="11" spans="1:5" ht="12.75" x14ac:dyDescent="0.2">
      <c r="A11" s="1" t="s">
        <v>184</v>
      </c>
      <c r="B11" s="1" t="s">
        <v>36</v>
      </c>
      <c r="C11" s="1">
        <v>71846770</v>
      </c>
      <c r="D11" s="1" t="s">
        <v>2166</v>
      </c>
      <c r="E11" s="1" t="s">
        <v>3768</v>
      </c>
    </row>
    <row r="12" spans="1:5" ht="12.75" x14ac:dyDescent="0.2">
      <c r="A12" s="1" t="s">
        <v>1394</v>
      </c>
      <c r="B12" s="1" t="s">
        <v>73</v>
      </c>
      <c r="C12" s="1">
        <v>122318095</v>
      </c>
      <c r="D12" s="1" t="s">
        <v>3196</v>
      </c>
      <c r="E12" s="1" t="s">
        <v>3766</v>
      </c>
    </row>
    <row r="13" spans="1:5" ht="12.75" x14ac:dyDescent="0.2">
      <c r="A13" s="1" t="s">
        <v>185</v>
      </c>
      <c r="B13" s="1" t="s">
        <v>186</v>
      </c>
      <c r="C13" s="1">
        <v>135468535</v>
      </c>
      <c r="D13" s="1" t="s">
        <v>2195</v>
      </c>
      <c r="E13" s="1" t="s">
        <v>3768</v>
      </c>
    </row>
    <row r="14" spans="1:5" ht="12.75" x14ac:dyDescent="0.2">
      <c r="A14" s="1" t="s">
        <v>187</v>
      </c>
      <c r="B14" s="1" t="s">
        <v>186</v>
      </c>
      <c r="C14" s="1">
        <v>135468535</v>
      </c>
      <c r="D14" s="1" t="s">
        <v>2196</v>
      </c>
      <c r="E14" s="1" t="s">
        <v>3768</v>
      </c>
    </row>
    <row r="15" spans="1:5" ht="12.75" x14ac:dyDescent="0.2">
      <c r="A15" s="1" t="s">
        <v>1227</v>
      </c>
      <c r="B15" s="1" t="s">
        <v>50</v>
      </c>
      <c r="C15" s="1">
        <v>4472254</v>
      </c>
      <c r="D15" s="1" t="s">
        <v>2283</v>
      </c>
      <c r="E15" s="1" t="s">
        <v>3771</v>
      </c>
    </row>
    <row r="16" spans="1:5" ht="12.75" x14ac:dyDescent="0.2">
      <c r="A16" s="1" t="s">
        <v>1288</v>
      </c>
      <c r="B16" s="1" t="s">
        <v>50</v>
      </c>
      <c r="C16" s="1">
        <v>56598731</v>
      </c>
      <c r="D16" s="1" t="s">
        <v>2289</v>
      </c>
      <c r="E16" s="1" t="s">
        <v>3772</v>
      </c>
    </row>
    <row r="17" spans="1:15" ht="12.75" x14ac:dyDescent="0.2">
      <c r="A17" s="1" t="s">
        <v>143</v>
      </c>
      <c r="B17" s="1" t="s">
        <v>86</v>
      </c>
      <c r="C17" s="1">
        <v>133875977</v>
      </c>
      <c r="D17" s="1" t="s">
        <v>2132</v>
      </c>
      <c r="E17" s="1" t="s">
        <v>3768</v>
      </c>
    </row>
    <row r="18" spans="1:15" ht="12.75" x14ac:dyDescent="0.2">
      <c r="A18" s="1" t="s">
        <v>188</v>
      </c>
      <c r="B18" s="1" t="s">
        <v>86</v>
      </c>
      <c r="C18" s="1">
        <v>50305039</v>
      </c>
      <c r="D18" s="1" t="s">
        <v>2193</v>
      </c>
      <c r="E18" s="1" t="s">
        <v>3768</v>
      </c>
    </row>
    <row r="19" spans="1:15" ht="12.75" x14ac:dyDescent="0.2">
      <c r="A19" s="1" t="s">
        <v>997</v>
      </c>
      <c r="B19" s="1" t="s">
        <v>36</v>
      </c>
      <c r="C19" s="1">
        <v>125439297</v>
      </c>
      <c r="D19" s="1" t="s">
        <v>3366</v>
      </c>
      <c r="E19" s="1" t="s">
        <v>3768</v>
      </c>
      <c r="J19" s="3"/>
    </row>
    <row r="20" spans="1:15" ht="12.75" x14ac:dyDescent="0.2">
      <c r="A20" s="1" t="s">
        <v>1213</v>
      </c>
      <c r="B20" s="1" t="s">
        <v>179</v>
      </c>
      <c r="C20" s="1">
        <v>43753987</v>
      </c>
      <c r="D20" s="1" t="s">
        <v>2282</v>
      </c>
      <c r="E20" s="1" t="s">
        <v>3773</v>
      </c>
      <c r="J20" s="3"/>
    </row>
    <row r="21" spans="1:15" ht="12.75" x14ac:dyDescent="0.2">
      <c r="A21" s="1" t="s">
        <v>183</v>
      </c>
      <c r="B21" s="1" t="s">
        <v>50</v>
      </c>
      <c r="C21" s="1">
        <v>53935226</v>
      </c>
      <c r="D21" s="1" t="s">
        <v>2156</v>
      </c>
      <c r="E21" s="1" t="s">
        <v>3768</v>
      </c>
      <c r="J21" s="3"/>
    </row>
    <row r="22" spans="1:15" ht="12.75" x14ac:dyDescent="0.2">
      <c r="A22" s="1" t="s">
        <v>189</v>
      </c>
      <c r="B22" s="1" t="s">
        <v>47</v>
      </c>
      <c r="C22" s="1">
        <v>8706054</v>
      </c>
      <c r="D22" s="1" t="s">
        <v>2188</v>
      </c>
      <c r="E22" s="1" t="s">
        <v>3768</v>
      </c>
      <c r="J22" s="3"/>
    </row>
    <row r="23" spans="1:15" ht="12.75" x14ac:dyDescent="0.2">
      <c r="A23" s="1" t="s">
        <v>1361</v>
      </c>
      <c r="B23" s="1" t="s">
        <v>73</v>
      </c>
      <c r="C23" s="1">
        <v>1314868</v>
      </c>
      <c r="D23" s="1" t="s">
        <v>3300</v>
      </c>
      <c r="E23" s="1" t="s">
        <v>3774</v>
      </c>
      <c r="J23" s="3"/>
    </row>
    <row r="24" spans="1:15" ht="12.75" x14ac:dyDescent="0.2">
      <c r="A24" s="1" t="s">
        <v>1361</v>
      </c>
      <c r="B24" s="1" t="s">
        <v>1409</v>
      </c>
      <c r="C24" s="1">
        <v>1264868</v>
      </c>
      <c r="D24" s="1" t="s">
        <v>3301</v>
      </c>
      <c r="E24" s="1" t="s">
        <v>3775</v>
      </c>
      <c r="J24" s="3"/>
    </row>
    <row r="25" spans="1:15" ht="12.75" x14ac:dyDescent="0.2">
      <c r="A25" s="1" t="s">
        <v>190</v>
      </c>
      <c r="B25" s="1" t="s">
        <v>73</v>
      </c>
      <c r="C25" s="1">
        <v>50111878</v>
      </c>
      <c r="D25" s="1" t="s">
        <v>2163</v>
      </c>
      <c r="E25" s="1" t="s">
        <v>3768</v>
      </c>
      <c r="H25" s="3"/>
      <c r="I25" s="3"/>
      <c r="J25" s="3"/>
      <c r="K25" s="3"/>
      <c r="L25" s="3"/>
      <c r="M25" s="3"/>
      <c r="N25" s="3"/>
      <c r="O25" s="3"/>
    </row>
    <row r="26" spans="1:15" ht="12.75" x14ac:dyDescent="0.2">
      <c r="A26" s="1" t="s">
        <v>431</v>
      </c>
      <c r="B26" s="1" t="s">
        <v>1</v>
      </c>
      <c r="C26" s="1">
        <v>95831182</v>
      </c>
      <c r="D26" s="1" t="s">
        <v>2230</v>
      </c>
      <c r="E26" s="1" t="s">
        <v>3776</v>
      </c>
      <c r="H26" s="3"/>
      <c r="I26" s="3"/>
      <c r="J26" s="3"/>
      <c r="K26" s="3"/>
      <c r="L26" s="3"/>
      <c r="M26" s="3"/>
      <c r="N26" s="3"/>
      <c r="O26" s="3"/>
    </row>
    <row r="27" spans="1:15" ht="12.75" x14ac:dyDescent="0.2">
      <c r="A27" s="1" t="s">
        <v>244</v>
      </c>
      <c r="B27" s="1" t="s">
        <v>1</v>
      </c>
      <c r="C27" s="1">
        <v>234054794</v>
      </c>
      <c r="D27" s="1" t="s">
        <v>2214</v>
      </c>
      <c r="E27" s="1" t="s">
        <v>3766</v>
      </c>
    </row>
    <row r="28" spans="1:15" ht="12.75" x14ac:dyDescent="0.2">
      <c r="A28" s="1" t="s">
        <v>174</v>
      </c>
      <c r="B28" s="1" t="s">
        <v>175</v>
      </c>
      <c r="C28" s="1">
        <v>28234787</v>
      </c>
      <c r="D28" s="1" t="s">
        <v>2152</v>
      </c>
      <c r="E28" s="1" t="s">
        <v>3768</v>
      </c>
    </row>
    <row r="29" spans="1:15" ht="12.75" x14ac:dyDescent="0.2">
      <c r="A29" s="1" t="s">
        <v>191</v>
      </c>
      <c r="B29" s="1" t="s">
        <v>36</v>
      </c>
      <c r="C29" s="1">
        <v>67777789</v>
      </c>
      <c r="D29" s="1" t="s">
        <v>2157</v>
      </c>
      <c r="E29" s="1" t="s">
        <v>3768</v>
      </c>
    </row>
    <row r="30" spans="1:15" ht="12.75" x14ac:dyDescent="0.2">
      <c r="A30" s="1" t="s">
        <v>245</v>
      </c>
      <c r="B30" s="1" t="s">
        <v>40</v>
      </c>
      <c r="C30" s="1">
        <v>153584418</v>
      </c>
      <c r="D30" s="1" t="s">
        <v>2252</v>
      </c>
      <c r="E30" s="1" t="s">
        <v>3768</v>
      </c>
    </row>
    <row r="31" spans="1:15" ht="12.75" x14ac:dyDescent="0.2">
      <c r="A31" s="1" t="s">
        <v>192</v>
      </c>
      <c r="B31" s="1" t="s">
        <v>121</v>
      </c>
      <c r="C31" s="1">
        <v>135799</v>
      </c>
      <c r="D31" s="1" t="s">
        <v>2179</v>
      </c>
      <c r="E31" s="1" t="s">
        <v>3768</v>
      </c>
    </row>
    <row r="32" spans="1:15" ht="12.75" x14ac:dyDescent="0.2">
      <c r="A32" s="1" t="s">
        <v>49</v>
      </c>
      <c r="B32" s="1" t="s">
        <v>50</v>
      </c>
      <c r="C32" s="1">
        <v>36249043</v>
      </c>
      <c r="D32" s="1" t="s">
        <v>2080</v>
      </c>
      <c r="E32" s="1" t="s">
        <v>3768</v>
      </c>
      <c r="F32" s="3"/>
    </row>
    <row r="33" spans="1:5" ht="12.75" x14ac:dyDescent="0.2">
      <c r="A33" s="1" t="s">
        <v>98</v>
      </c>
      <c r="B33" s="1" t="s">
        <v>50</v>
      </c>
      <c r="C33" s="1">
        <v>41103140</v>
      </c>
      <c r="D33" s="1" t="s">
        <v>2105</v>
      </c>
      <c r="E33" s="1" t="s">
        <v>3768</v>
      </c>
    </row>
    <row r="34" spans="1:5" ht="12.75" x14ac:dyDescent="0.2">
      <c r="A34" s="1" t="s">
        <v>99</v>
      </c>
      <c r="B34" s="1" t="s">
        <v>50</v>
      </c>
      <c r="C34" s="1">
        <v>41107276</v>
      </c>
      <c r="D34" s="1" t="s">
        <v>2106</v>
      </c>
      <c r="E34" s="1" t="s">
        <v>3768</v>
      </c>
    </row>
    <row r="35" spans="1:5" ht="12.75" x14ac:dyDescent="0.2">
      <c r="A35" s="1" t="s">
        <v>193</v>
      </c>
      <c r="B35" s="1" t="s">
        <v>50</v>
      </c>
      <c r="C35" s="1">
        <v>4909509</v>
      </c>
      <c r="D35" s="1" t="s">
        <v>2202</v>
      </c>
      <c r="E35" s="1" t="s">
        <v>3768</v>
      </c>
    </row>
    <row r="36" spans="1:5" ht="12.75" x14ac:dyDescent="0.2">
      <c r="A36" s="1" t="s">
        <v>1071</v>
      </c>
      <c r="B36" s="1" t="s">
        <v>81</v>
      </c>
      <c r="C36" s="1">
        <v>24641233</v>
      </c>
      <c r="D36" s="1" t="s">
        <v>2275</v>
      </c>
      <c r="E36" s="1" t="s">
        <v>3777</v>
      </c>
    </row>
    <row r="37" spans="1:5" ht="12.75" x14ac:dyDescent="0.2">
      <c r="A37" s="1" t="s">
        <v>984</v>
      </c>
      <c r="B37" s="1" t="s">
        <v>36</v>
      </c>
      <c r="C37" s="1">
        <v>112831968</v>
      </c>
      <c r="D37" s="1" t="s">
        <v>3364</v>
      </c>
      <c r="E37" s="1" t="s">
        <v>3768</v>
      </c>
    </row>
    <row r="38" spans="1:5" ht="12.75" x14ac:dyDescent="0.2">
      <c r="A38" s="1" t="s">
        <v>158</v>
      </c>
      <c r="B38" s="1" t="s">
        <v>50</v>
      </c>
      <c r="C38" s="1">
        <v>2328628</v>
      </c>
      <c r="D38" s="1" t="s">
        <v>2142</v>
      </c>
      <c r="E38" s="1" t="s">
        <v>3768</v>
      </c>
    </row>
    <row r="39" spans="1:5" ht="12.75" x14ac:dyDescent="0.2">
      <c r="A39" s="1" t="s">
        <v>194</v>
      </c>
      <c r="B39" s="1" t="s">
        <v>121</v>
      </c>
      <c r="C39" s="1">
        <v>135799</v>
      </c>
      <c r="D39" s="1" t="s">
        <v>2180</v>
      </c>
      <c r="E39" s="1" t="s">
        <v>3768</v>
      </c>
    </row>
    <row r="40" spans="1:5" ht="12.75" x14ac:dyDescent="0.2">
      <c r="A40" s="1" t="s">
        <v>35</v>
      </c>
      <c r="B40" s="1" t="s">
        <v>36</v>
      </c>
      <c r="C40" s="1">
        <v>111652918</v>
      </c>
      <c r="D40" s="1" t="s">
        <v>2074</v>
      </c>
      <c r="E40" s="1" t="s">
        <v>3766</v>
      </c>
    </row>
    <row r="41" spans="1:5" ht="12.75" x14ac:dyDescent="0.2">
      <c r="A41" s="1" t="s">
        <v>85</v>
      </c>
      <c r="B41" s="1" t="s">
        <v>86</v>
      </c>
      <c r="C41" s="1">
        <v>14530618</v>
      </c>
      <c r="D41" s="1" t="s">
        <v>2099</v>
      </c>
      <c r="E41" s="1" t="s">
        <v>3768</v>
      </c>
    </row>
    <row r="42" spans="1:5" ht="12.75" x14ac:dyDescent="0.2">
      <c r="A42" s="1" t="s">
        <v>133</v>
      </c>
      <c r="B42" s="1" t="s">
        <v>103</v>
      </c>
      <c r="C42" s="1">
        <v>48685668</v>
      </c>
      <c r="D42" s="1" t="s">
        <v>2126</v>
      </c>
      <c r="E42" s="1" t="s">
        <v>3768</v>
      </c>
    </row>
    <row r="43" spans="1:5" ht="12.75" x14ac:dyDescent="0.2">
      <c r="A43" s="1" t="s">
        <v>406</v>
      </c>
      <c r="B43" s="1" t="s">
        <v>139</v>
      </c>
      <c r="C43" s="1">
        <v>248902715</v>
      </c>
      <c r="D43" s="1" t="s">
        <v>3312</v>
      </c>
      <c r="E43" s="1" t="s">
        <v>3766</v>
      </c>
    </row>
    <row r="44" spans="1:5" ht="12.75" x14ac:dyDescent="0.2">
      <c r="A44" s="1" t="s">
        <v>247</v>
      </c>
      <c r="B44" s="1" t="s">
        <v>1</v>
      </c>
      <c r="C44" s="1">
        <v>109745996</v>
      </c>
      <c r="D44" s="1" t="s">
        <v>3313</v>
      </c>
      <c r="E44" s="1" t="s">
        <v>3766</v>
      </c>
    </row>
    <row r="45" spans="1:5" ht="12.75" x14ac:dyDescent="0.2">
      <c r="A45" s="1" t="s">
        <v>247</v>
      </c>
      <c r="B45" s="1" t="s">
        <v>1</v>
      </c>
      <c r="C45" s="1">
        <v>110259066</v>
      </c>
      <c r="D45" s="1" t="s">
        <v>3314</v>
      </c>
      <c r="E45" s="1" t="s">
        <v>3778</v>
      </c>
    </row>
    <row r="46" spans="1:5" ht="12.75" x14ac:dyDescent="0.2">
      <c r="A46" s="1" t="s">
        <v>788</v>
      </c>
      <c r="B46" s="1" t="s">
        <v>103</v>
      </c>
      <c r="C46" s="1">
        <v>86126287</v>
      </c>
      <c r="D46" s="1" t="s">
        <v>2219</v>
      </c>
      <c r="E46" s="1" t="s">
        <v>3766</v>
      </c>
    </row>
    <row r="47" spans="1:5" ht="12.75" x14ac:dyDescent="0.2">
      <c r="A47" s="1" t="s">
        <v>786</v>
      </c>
      <c r="B47" s="1" t="s">
        <v>103</v>
      </c>
      <c r="C47" s="1">
        <v>86126287</v>
      </c>
      <c r="D47" s="1" t="s">
        <v>2217</v>
      </c>
      <c r="E47" s="1" t="s">
        <v>3766</v>
      </c>
    </row>
    <row r="48" spans="1:5" ht="12.75" x14ac:dyDescent="0.2">
      <c r="A48" s="1" t="s">
        <v>787</v>
      </c>
      <c r="B48" s="1" t="s">
        <v>103</v>
      </c>
      <c r="C48" s="1">
        <v>86126287</v>
      </c>
      <c r="D48" s="1" t="s">
        <v>2218</v>
      </c>
      <c r="E48" s="1" t="s">
        <v>3766</v>
      </c>
    </row>
    <row r="49" spans="1:12" ht="12.75" x14ac:dyDescent="0.2">
      <c r="A49" s="1" t="s">
        <v>785</v>
      </c>
      <c r="B49" s="1" t="s">
        <v>103</v>
      </c>
      <c r="C49" s="1">
        <v>86126287</v>
      </c>
      <c r="D49" s="1" t="s">
        <v>2216</v>
      </c>
      <c r="E49" s="1" t="s">
        <v>3766</v>
      </c>
    </row>
    <row r="50" spans="1:12" ht="12.75" x14ac:dyDescent="0.2">
      <c r="A50" s="1" t="s">
        <v>57</v>
      </c>
      <c r="B50" s="1" t="s">
        <v>50</v>
      </c>
      <c r="C50" s="1">
        <v>45010210</v>
      </c>
      <c r="D50" s="1" t="s">
        <v>2084</v>
      </c>
      <c r="E50" s="1" t="s">
        <v>3768</v>
      </c>
    </row>
    <row r="51" spans="1:12" ht="12.75" x14ac:dyDescent="0.2">
      <c r="A51" s="1" t="s">
        <v>58</v>
      </c>
      <c r="B51" s="1" t="s">
        <v>50</v>
      </c>
      <c r="C51" s="1">
        <v>45010210</v>
      </c>
      <c r="D51" s="1" t="s">
        <v>2085</v>
      </c>
      <c r="E51" s="1" t="s">
        <v>3768</v>
      </c>
      <c r="L51" s="3"/>
    </row>
    <row r="52" spans="1:12" ht="12.75" x14ac:dyDescent="0.2">
      <c r="A52" s="1" t="s">
        <v>59</v>
      </c>
      <c r="B52" s="1" t="s">
        <v>50</v>
      </c>
      <c r="C52" s="1">
        <v>45010210</v>
      </c>
      <c r="D52" s="1" t="s">
        <v>2086</v>
      </c>
      <c r="E52" s="1" t="s">
        <v>3768</v>
      </c>
    </row>
    <row r="53" spans="1:12" ht="12.75" x14ac:dyDescent="0.2">
      <c r="A53" s="1" t="s">
        <v>60</v>
      </c>
      <c r="B53" s="1" t="s">
        <v>50</v>
      </c>
      <c r="C53" s="1">
        <v>45010210</v>
      </c>
      <c r="D53" s="1" t="s">
        <v>2087</v>
      </c>
      <c r="E53" s="1" t="s">
        <v>3768</v>
      </c>
    </row>
    <row r="54" spans="1:12" ht="12.75" x14ac:dyDescent="0.2">
      <c r="A54" s="1" t="s">
        <v>46</v>
      </c>
      <c r="B54" s="1" t="s">
        <v>47</v>
      </c>
      <c r="C54" s="1">
        <v>6555058</v>
      </c>
      <c r="D54" s="1" t="s">
        <v>2079</v>
      </c>
      <c r="E54" s="1" t="s">
        <v>3768</v>
      </c>
    </row>
    <row r="55" spans="1:12" ht="12.75" x14ac:dyDescent="0.2">
      <c r="A55" s="1" t="s">
        <v>195</v>
      </c>
      <c r="B55" s="1" t="s">
        <v>40</v>
      </c>
      <c r="C55" s="1">
        <v>75831215</v>
      </c>
      <c r="D55" s="1" t="s">
        <v>2198</v>
      </c>
      <c r="E55" s="1" t="s">
        <v>3768</v>
      </c>
    </row>
    <row r="56" spans="1:12" ht="12.75" x14ac:dyDescent="0.2">
      <c r="A56" s="1" t="s">
        <v>176</v>
      </c>
      <c r="B56" s="1" t="s">
        <v>175</v>
      </c>
      <c r="C56" s="1">
        <v>28234787</v>
      </c>
      <c r="D56" s="1" t="s">
        <v>2153</v>
      </c>
      <c r="E56" s="1" t="s">
        <v>3768</v>
      </c>
    </row>
    <row r="57" spans="1:12" ht="12.75" x14ac:dyDescent="0.2">
      <c r="A57" s="1" t="s">
        <v>249</v>
      </c>
      <c r="B57" s="1" t="s">
        <v>212</v>
      </c>
      <c r="C57" s="1">
        <v>132680916</v>
      </c>
      <c r="D57" s="1" t="s">
        <v>2272</v>
      </c>
      <c r="E57" s="1" t="s">
        <v>3766</v>
      </c>
    </row>
    <row r="58" spans="1:12" ht="12.75" x14ac:dyDescent="0.2">
      <c r="A58" s="1" t="s">
        <v>90</v>
      </c>
      <c r="B58" s="1" t="s">
        <v>86</v>
      </c>
      <c r="C58" s="1">
        <v>12938541</v>
      </c>
      <c r="D58" s="1" t="s">
        <v>2101</v>
      </c>
      <c r="E58" s="1" t="s">
        <v>3766</v>
      </c>
    </row>
    <row r="59" spans="1:12" ht="12.75" x14ac:dyDescent="0.2">
      <c r="A59" s="1" t="s">
        <v>78</v>
      </c>
      <c r="B59" s="1" t="s">
        <v>1</v>
      </c>
      <c r="C59" s="1">
        <v>88747725</v>
      </c>
      <c r="D59" s="1" t="s">
        <v>2096</v>
      </c>
      <c r="E59" s="1" t="s">
        <v>3768</v>
      </c>
    </row>
    <row r="60" spans="1:12" ht="12.75" x14ac:dyDescent="0.2">
      <c r="A60" s="1" t="s">
        <v>756</v>
      </c>
      <c r="B60" s="1" t="s">
        <v>40</v>
      </c>
      <c r="C60" s="1">
        <v>128516918</v>
      </c>
      <c r="D60" s="1" t="s">
        <v>2247</v>
      </c>
      <c r="E60" s="1" t="s">
        <v>3779</v>
      </c>
    </row>
    <row r="61" spans="1:12" ht="12.75" x14ac:dyDescent="0.2">
      <c r="A61" s="1" t="s">
        <v>924</v>
      </c>
      <c r="B61" s="1" t="s">
        <v>36</v>
      </c>
      <c r="C61" s="1">
        <v>20409075</v>
      </c>
      <c r="D61" s="1" t="s">
        <v>2824</v>
      </c>
      <c r="E61" s="1" t="s">
        <v>3766</v>
      </c>
    </row>
    <row r="62" spans="1:12" ht="12.75" x14ac:dyDescent="0.2">
      <c r="A62" s="1" t="s">
        <v>923</v>
      </c>
      <c r="B62" s="1" t="s">
        <v>36</v>
      </c>
      <c r="C62" s="1">
        <v>20409075</v>
      </c>
      <c r="D62" s="1" t="s">
        <v>2823</v>
      </c>
      <c r="E62" s="1" t="s">
        <v>3766</v>
      </c>
    </row>
    <row r="63" spans="1:12" ht="12.75" x14ac:dyDescent="0.2">
      <c r="A63" s="1" t="s">
        <v>172</v>
      </c>
      <c r="B63" s="1" t="s">
        <v>40</v>
      </c>
      <c r="C63" s="1">
        <v>72039491</v>
      </c>
      <c r="D63" s="1" t="s">
        <v>2151</v>
      </c>
      <c r="E63" s="1" t="s">
        <v>3768</v>
      </c>
    </row>
    <row r="64" spans="1:12" ht="12.75" x14ac:dyDescent="0.2">
      <c r="A64" s="1" t="s">
        <v>740</v>
      </c>
      <c r="B64" s="1" t="s">
        <v>40</v>
      </c>
      <c r="C64" s="1">
        <v>72023728</v>
      </c>
      <c r="D64" s="1" t="s">
        <v>3346</v>
      </c>
      <c r="E64" s="1" t="s">
        <v>3768</v>
      </c>
    </row>
    <row r="65" spans="1:6" ht="12.75" x14ac:dyDescent="0.2">
      <c r="A65" s="1" t="s">
        <v>70</v>
      </c>
      <c r="B65" s="1" t="s">
        <v>1</v>
      </c>
      <c r="C65" s="1">
        <v>24346349</v>
      </c>
      <c r="D65" s="1" t="s">
        <v>2092</v>
      </c>
      <c r="E65" s="1" t="s">
        <v>3768</v>
      </c>
    </row>
    <row r="66" spans="1:6" ht="12.75" x14ac:dyDescent="0.2">
      <c r="A66" s="1" t="s">
        <v>958</v>
      </c>
      <c r="B66" s="1" t="s">
        <v>36</v>
      </c>
      <c r="C66" s="1">
        <v>67776047</v>
      </c>
      <c r="D66" s="1" t="s">
        <v>2267</v>
      </c>
      <c r="E66" s="1" t="s">
        <v>3768</v>
      </c>
    </row>
    <row r="67" spans="1:6" ht="12.75" x14ac:dyDescent="0.2">
      <c r="A67" s="1" t="s">
        <v>127</v>
      </c>
      <c r="B67" s="1" t="s">
        <v>53</v>
      </c>
      <c r="C67" s="1">
        <v>21106623</v>
      </c>
      <c r="D67" s="1" t="s">
        <v>2122</v>
      </c>
      <c r="E67" s="1" t="s">
        <v>3768</v>
      </c>
    </row>
    <row r="68" spans="1:6" ht="12.75" x14ac:dyDescent="0.2">
      <c r="A68" s="1" t="s">
        <v>128</v>
      </c>
      <c r="B68" s="1" t="s">
        <v>53</v>
      </c>
      <c r="C68" s="1">
        <v>21106623</v>
      </c>
      <c r="D68" s="1" t="s">
        <v>2123</v>
      </c>
      <c r="E68" s="1" t="s">
        <v>3768</v>
      </c>
    </row>
    <row r="69" spans="1:6" ht="12.75" x14ac:dyDescent="0.2">
      <c r="A69" s="1" t="s">
        <v>150</v>
      </c>
      <c r="B69" s="1" t="s">
        <v>36</v>
      </c>
      <c r="C69" s="1">
        <v>118895060</v>
      </c>
      <c r="D69" s="1" t="s">
        <v>2136</v>
      </c>
      <c r="E69" s="1" t="s">
        <v>3768</v>
      </c>
    </row>
    <row r="70" spans="1:6" ht="12.75" x14ac:dyDescent="0.2">
      <c r="A70" s="1" t="s">
        <v>151</v>
      </c>
      <c r="B70" s="1" t="s">
        <v>36</v>
      </c>
      <c r="C70" s="1">
        <v>118895060</v>
      </c>
      <c r="D70" s="1" t="s">
        <v>2137</v>
      </c>
      <c r="E70" s="1" t="s">
        <v>3768</v>
      </c>
    </row>
    <row r="71" spans="1:6" ht="12.75" x14ac:dyDescent="0.2">
      <c r="A71" s="1" t="s">
        <v>152</v>
      </c>
      <c r="B71" s="1" t="s">
        <v>36</v>
      </c>
      <c r="C71" s="1">
        <v>118895060</v>
      </c>
      <c r="D71" s="1" t="s">
        <v>2138</v>
      </c>
      <c r="E71" s="1" t="s">
        <v>3768</v>
      </c>
    </row>
    <row r="72" spans="1:6" ht="12.75" x14ac:dyDescent="0.2">
      <c r="A72" s="1" t="s">
        <v>153</v>
      </c>
      <c r="B72" s="1" t="s">
        <v>36</v>
      </c>
      <c r="C72" s="1">
        <v>118895060</v>
      </c>
      <c r="D72" s="1" t="s">
        <v>2139</v>
      </c>
      <c r="E72" s="1" t="s">
        <v>3768</v>
      </c>
    </row>
    <row r="73" spans="1:6" ht="12.75" x14ac:dyDescent="0.2">
      <c r="A73" s="1" t="s">
        <v>526</v>
      </c>
      <c r="B73" s="1" t="s">
        <v>86</v>
      </c>
      <c r="C73" s="1">
        <v>51433297</v>
      </c>
      <c r="D73" s="1" t="s">
        <v>2234</v>
      </c>
      <c r="E73" s="1" t="s">
        <v>3780</v>
      </c>
    </row>
    <row r="74" spans="1:6" ht="12.75" x14ac:dyDescent="0.2">
      <c r="A74" s="1" t="s">
        <v>1399</v>
      </c>
      <c r="B74" s="1" t="s">
        <v>73</v>
      </c>
      <c r="C74" s="1">
        <v>148622518</v>
      </c>
      <c r="D74" s="1" t="s">
        <v>3201</v>
      </c>
      <c r="E74" s="1" t="s">
        <v>3766</v>
      </c>
    </row>
    <row r="75" spans="1:6" ht="12.75" x14ac:dyDescent="0.2">
      <c r="A75" s="1" t="s">
        <v>1401</v>
      </c>
      <c r="B75" s="1" t="s">
        <v>73</v>
      </c>
      <c r="C75" s="1">
        <v>148622518</v>
      </c>
      <c r="D75" s="1" t="s">
        <v>3203</v>
      </c>
      <c r="E75" s="1" t="s">
        <v>3766</v>
      </c>
    </row>
    <row r="76" spans="1:6" ht="12.75" x14ac:dyDescent="0.2">
      <c r="A76" s="1" t="s">
        <v>670</v>
      </c>
      <c r="B76" s="1" t="s">
        <v>175</v>
      </c>
      <c r="C76" s="1">
        <v>31132113</v>
      </c>
      <c r="D76" s="1" t="s">
        <v>2607</v>
      </c>
      <c r="E76" s="1" t="s">
        <v>3766</v>
      </c>
    </row>
    <row r="77" spans="1:6" ht="12.75" x14ac:dyDescent="0.2">
      <c r="A77" s="1" t="s">
        <v>39</v>
      </c>
      <c r="B77" s="1" t="s">
        <v>40</v>
      </c>
      <c r="C77" s="1">
        <v>36552548</v>
      </c>
      <c r="D77" s="1" t="s">
        <v>2076</v>
      </c>
      <c r="E77" s="1" t="s">
        <v>3768</v>
      </c>
      <c r="F77" s="3"/>
    </row>
    <row r="78" spans="1:6" ht="12.75" x14ac:dyDescent="0.2">
      <c r="A78" s="1" t="s">
        <v>76</v>
      </c>
      <c r="B78" s="1" t="s">
        <v>50</v>
      </c>
      <c r="C78" s="1">
        <v>7933604</v>
      </c>
      <c r="D78" s="1" t="s">
        <v>2095</v>
      </c>
      <c r="E78" s="1" t="s">
        <v>3766</v>
      </c>
    </row>
    <row r="79" spans="1:6" ht="12.75" x14ac:dyDescent="0.2">
      <c r="A79" s="1" t="s">
        <v>822</v>
      </c>
      <c r="B79" s="1" t="s">
        <v>33</v>
      </c>
      <c r="C79" s="1">
        <v>95218486</v>
      </c>
      <c r="D79" s="1" t="s">
        <v>2259</v>
      </c>
      <c r="E79" s="1" t="s">
        <v>3781</v>
      </c>
    </row>
    <row r="80" spans="1:6" ht="12.75" x14ac:dyDescent="0.2">
      <c r="A80" s="1" t="s">
        <v>1182</v>
      </c>
      <c r="B80" s="1" t="s">
        <v>47</v>
      </c>
      <c r="C80" s="1">
        <v>44107281</v>
      </c>
      <c r="D80" s="1" t="s">
        <v>3035</v>
      </c>
      <c r="E80" s="1" t="s">
        <v>3766</v>
      </c>
    </row>
    <row r="81" spans="1:6" ht="12.75" x14ac:dyDescent="0.2">
      <c r="A81" s="1" t="s">
        <v>1184</v>
      </c>
      <c r="B81" s="1" t="s">
        <v>47</v>
      </c>
      <c r="C81" s="1">
        <v>44107281</v>
      </c>
      <c r="D81" s="1" t="s">
        <v>3037</v>
      </c>
      <c r="E81" s="1" t="s">
        <v>3766</v>
      </c>
    </row>
    <row r="82" spans="1:6" ht="12.75" x14ac:dyDescent="0.2">
      <c r="A82" s="1" t="s">
        <v>148</v>
      </c>
      <c r="B82" s="1" t="s">
        <v>50</v>
      </c>
      <c r="C82" s="1">
        <v>56052022</v>
      </c>
      <c r="D82" s="1" t="s">
        <v>2135</v>
      </c>
      <c r="E82" s="1" t="s">
        <v>3768</v>
      </c>
    </row>
    <row r="83" spans="1:6" ht="12.75" x14ac:dyDescent="0.2">
      <c r="A83" s="1" t="s">
        <v>541</v>
      </c>
      <c r="B83" s="1" t="s">
        <v>86</v>
      </c>
      <c r="C83" s="1">
        <v>121774208</v>
      </c>
      <c r="D83" s="1" t="s">
        <v>2492</v>
      </c>
      <c r="E83" s="1" t="s">
        <v>3766</v>
      </c>
    </row>
    <row r="84" spans="1:6" ht="12.75" x14ac:dyDescent="0.2">
      <c r="A84" s="1" t="s">
        <v>542</v>
      </c>
      <c r="B84" s="1" t="s">
        <v>86</v>
      </c>
      <c r="C84" s="1">
        <v>121774208</v>
      </c>
      <c r="D84" s="1" t="s">
        <v>2493</v>
      </c>
      <c r="E84" s="1" t="s">
        <v>3766</v>
      </c>
    </row>
    <row r="85" spans="1:6" ht="12.75" x14ac:dyDescent="0.2">
      <c r="A85" s="1" t="s">
        <v>250</v>
      </c>
      <c r="B85" s="1" t="s">
        <v>40</v>
      </c>
      <c r="C85" s="1">
        <v>50344377</v>
      </c>
      <c r="D85" s="1" t="s">
        <v>3328</v>
      </c>
      <c r="E85" s="1" t="s">
        <v>3766</v>
      </c>
    </row>
    <row r="86" spans="1:6" ht="12.75" x14ac:dyDescent="0.2">
      <c r="A86" s="1" t="s">
        <v>250</v>
      </c>
      <c r="B86" s="1" t="s">
        <v>40</v>
      </c>
      <c r="C86" s="1">
        <v>50444230</v>
      </c>
      <c r="D86" s="1" t="s">
        <v>3331</v>
      </c>
      <c r="E86" s="1" t="s">
        <v>3782</v>
      </c>
    </row>
    <row r="87" spans="1:6" ht="12.75" x14ac:dyDescent="0.2">
      <c r="A87" s="1" t="s">
        <v>251</v>
      </c>
      <c r="B87" s="1" t="s">
        <v>40</v>
      </c>
      <c r="C87" s="1">
        <v>50450237</v>
      </c>
      <c r="D87" s="1" t="s">
        <v>3334</v>
      </c>
      <c r="E87" s="1" t="s">
        <v>3782</v>
      </c>
    </row>
    <row r="88" spans="1:6" ht="12.75" x14ac:dyDescent="0.2">
      <c r="A88" s="1" t="s">
        <v>252</v>
      </c>
      <c r="B88" s="1" t="s">
        <v>40</v>
      </c>
      <c r="C88" s="1">
        <v>50450237</v>
      </c>
      <c r="D88" s="1" t="s">
        <v>3335</v>
      </c>
      <c r="E88" s="1" t="s">
        <v>3782</v>
      </c>
    </row>
    <row r="89" spans="1:6" ht="12.75" x14ac:dyDescent="0.2">
      <c r="A89" s="1" t="s">
        <v>253</v>
      </c>
      <c r="B89" s="1" t="s">
        <v>40</v>
      </c>
      <c r="C89" s="1">
        <v>50344377</v>
      </c>
      <c r="D89" s="1" t="s">
        <v>3327</v>
      </c>
      <c r="E89" s="1" t="s">
        <v>3766</v>
      </c>
      <c r="F89" s="3"/>
    </row>
    <row r="90" spans="1:6" ht="12.75" x14ac:dyDescent="0.2">
      <c r="A90" s="1" t="s">
        <v>253</v>
      </c>
      <c r="B90" s="1" t="s">
        <v>40</v>
      </c>
      <c r="C90" s="1">
        <v>50444230</v>
      </c>
      <c r="D90" s="1" t="s">
        <v>3332</v>
      </c>
      <c r="E90" s="1" t="s">
        <v>3782</v>
      </c>
    </row>
    <row r="91" spans="1:6" ht="12.75" x14ac:dyDescent="0.2">
      <c r="A91" s="1" t="s">
        <v>254</v>
      </c>
      <c r="B91" s="1" t="s">
        <v>40</v>
      </c>
      <c r="C91" s="1">
        <v>50450237</v>
      </c>
      <c r="D91" s="1" t="s">
        <v>3336</v>
      </c>
      <c r="E91" s="1" t="s">
        <v>3782</v>
      </c>
    </row>
    <row r="92" spans="1:6" ht="12.75" x14ac:dyDescent="0.2">
      <c r="A92" s="1" t="s">
        <v>255</v>
      </c>
      <c r="B92" s="1" t="s">
        <v>40</v>
      </c>
      <c r="C92" s="1">
        <v>50450237</v>
      </c>
      <c r="D92" s="1" t="s">
        <v>3337</v>
      </c>
      <c r="E92" s="1" t="s">
        <v>3782</v>
      </c>
    </row>
    <row r="93" spans="1:6" ht="12.75" x14ac:dyDescent="0.2">
      <c r="A93" s="1" t="s">
        <v>256</v>
      </c>
      <c r="B93" s="1" t="s">
        <v>40</v>
      </c>
      <c r="C93" s="1">
        <v>50344377</v>
      </c>
      <c r="D93" s="1" t="s">
        <v>3329</v>
      </c>
      <c r="E93" s="1" t="s">
        <v>3766</v>
      </c>
    </row>
    <row r="94" spans="1:6" ht="12.75" x14ac:dyDescent="0.2">
      <c r="A94" s="1" t="s">
        <v>256</v>
      </c>
      <c r="B94" s="1" t="s">
        <v>40</v>
      </c>
      <c r="C94" s="1">
        <v>50444230</v>
      </c>
      <c r="D94" s="1" t="s">
        <v>3333</v>
      </c>
      <c r="E94" s="1" t="s">
        <v>3782</v>
      </c>
    </row>
    <row r="95" spans="1:6" ht="12.75" x14ac:dyDescent="0.2">
      <c r="A95" s="1" t="s">
        <v>723</v>
      </c>
      <c r="B95" s="1" t="s">
        <v>40</v>
      </c>
      <c r="C95" s="1">
        <v>50455031</v>
      </c>
      <c r="D95" s="1" t="s">
        <v>3338</v>
      </c>
      <c r="E95" s="1" t="s">
        <v>3768</v>
      </c>
    </row>
    <row r="96" spans="1:6" ht="12.75" x14ac:dyDescent="0.2">
      <c r="A96" s="1" t="s">
        <v>724</v>
      </c>
      <c r="B96" s="1" t="s">
        <v>40</v>
      </c>
      <c r="C96" s="1">
        <v>50455031</v>
      </c>
      <c r="D96" s="1" t="s">
        <v>3339</v>
      </c>
      <c r="E96" s="1" t="s">
        <v>3768</v>
      </c>
    </row>
    <row r="97" spans="1:6" ht="12.75" x14ac:dyDescent="0.2">
      <c r="A97" s="1" t="s">
        <v>1164</v>
      </c>
      <c r="B97" s="1" t="s">
        <v>47</v>
      </c>
      <c r="C97" s="1">
        <v>26721660</v>
      </c>
      <c r="D97" s="1" t="s">
        <v>3386</v>
      </c>
      <c r="E97" s="1" t="s">
        <v>3768</v>
      </c>
    </row>
    <row r="98" spans="1:6" ht="12.75" x14ac:dyDescent="0.2">
      <c r="A98" s="1" t="s">
        <v>981</v>
      </c>
      <c r="B98" s="1" t="s">
        <v>36</v>
      </c>
      <c r="C98" s="1">
        <v>112831968</v>
      </c>
      <c r="D98" s="1" t="s">
        <v>3361</v>
      </c>
      <c r="E98" s="1" t="s">
        <v>3768</v>
      </c>
    </row>
    <row r="99" spans="1:6" ht="12.75" x14ac:dyDescent="0.2">
      <c r="A99" s="1" t="s">
        <v>985</v>
      </c>
      <c r="B99" s="1" t="s">
        <v>36</v>
      </c>
      <c r="C99" s="1">
        <v>112831968</v>
      </c>
      <c r="D99" s="1" t="s">
        <v>3365</v>
      </c>
      <c r="E99" s="1" t="s">
        <v>3768</v>
      </c>
      <c r="F99" s="3"/>
    </row>
    <row r="100" spans="1:6" ht="12.75" x14ac:dyDescent="0.2">
      <c r="A100" s="1" t="s">
        <v>197</v>
      </c>
      <c r="B100" s="1" t="s">
        <v>121</v>
      </c>
      <c r="C100" s="1">
        <v>135799</v>
      </c>
      <c r="D100" s="1" t="s">
        <v>2181</v>
      </c>
      <c r="E100" s="1" t="s">
        <v>3768</v>
      </c>
    </row>
    <row r="101" spans="1:6" ht="12.75" x14ac:dyDescent="0.2">
      <c r="A101" s="1" t="s">
        <v>198</v>
      </c>
      <c r="B101" s="1" t="s">
        <v>121</v>
      </c>
      <c r="C101" s="1">
        <v>135799</v>
      </c>
      <c r="D101" s="1" t="s">
        <v>2182</v>
      </c>
      <c r="E101" s="1" t="s">
        <v>3768</v>
      </c>
    </row>
    <row r="102" spans="1:6" ht="12.75" x14ac:dyDescent="0.2">
      <c r="A102" s="1" t="s">
        <v>199</v>
      </c>
      <c r="B102" s="1" t="s">
        <v>121</v>
      </c>
      <c r="C102" s="1">
        <v>135799</v>
      </c>
      <c r="D102" s="1" t="s">
        <v>2183</v>
      </c>
      <c r="E102" s="1" t="s">
        <v>3768</v>
      </c>
    </row>
    <row r="103" spans="1:6" ht="12.75" x14ac:dyDescent="0.2">
      <c r="A103" s="1" t="s">
        <v>1275</v>
      </c>
      <c r="B103" s="1" t="s">
        <v>50</v>
      </c>
      <c r="C103" s="1">
        <v>50922194</v>
      </c>
      <c r="D103" s="1" t="s">
        <v>3105</v>
      </c>
      <c r="E103" s="1" t="s">
        <v>3766</v>
      </c>
    </row>
    <row r="104" spans="1:6" ht="12.75" x14ac:dyDescent="0.2">
      <c r="A104" s="1" t="s">
        <v>138</v>
      </c>
      <c r="B104" s="1" t="s">
        <v>139</v>
      </c>
      <c r="C104" s="1">
        <v>156338979</v>
      </c>
      <c r="D104" s="1" t="s">
        <v>2129</v>
      </c>
      <c r="E104" s="1" t="s">
        <v>3768</v>
      </c>
    </row>
    <row r="105" spans="1:6" ht="12.75" x14ac:dyDescent="0.2">
      <c r="A105" s="1" t="s">
        <v>140</v>
      </c>
      <c r="B105" s="1" t="s">
        <v>139</v>
      </c>
      <c r="C105" s="1">
        <v>156338979</v>
      </c>
      <c r="D105" s="1" t="s">
        <v>2130</v>
      </c>
      <c r="E105" s="1" t="s">
        <v>3768</v>
      </c>
    </row>
    <row r="106" spans="1:6" ht="12.75" x14ac:dyDescent="0.2">
      <c r="A106" s="1" t="s">
        <v>1274</v>
      </c>
      <c r="B106" s="1" t="s">
        <v>50</v>
      </c>
      <c r="C106" s="1">
        <v>50879679</v>
      </c>
      <c r="D106" s="1" t="s">
        <v>2288</v>
      </c>
      <c r="E106" s="1" t="s">
        <v>3783</v>
      </c>
    </row>
    <row r="107" spans="1:6" ht="12.75" x14ac:dyDescent="0.2">
      <c r="A107" s="1" t="s">
        <v>83</v>
      </c>
      <c r="B107" s="1" t="s">
        <v>73</v>
      </c>
      <c r="C107" s="1">
        <v>122318095</v>
      </c>
      <c r="D107" s="1" t="s">
        <v>2098</v>
      </c>
      <c r="E107" s="1" t="s">
        <v>3768</v>
      </c>
    </row>
    <row r="108" spans="1:6" ht="12.75" x14ac:dyDescent="0.2">
      <c r="A108" s="1" t="s">
        <v>669</v>
      </c>
      <c r="B108" s="1" t="s">
        <v>175</v>
      </c>
      <c r="C108" s="1">
        <v>31082864</v>
      </c>
      <c r="D108" s="1" t="s">
        <v>2606</v>
      </c>
      <c r="E108" s="1" t="s">
        <v>3766</v>
      </c>
    </row>
    <row r="109" spans="1:6" ht="12.75" x14ac:dyDescent="0.2">
      <c r="A109" s="1" t="s">
        <v>200</v>
      </c>
      <c r="B109" s="1" t="s">
        <v>1</v>
      </c>
      <c r="C109" s="1">
        <v>232063293</v>
      </c>
      <c r="D109" s="1" t="s">
        <v>2158</v>
      </c>
      <c r="E109" s="1" t="s">
        <v>3768</v>
      </c>
    </row>
    <row r="110" spans="1:6" ht="12.75" x14ac:dyDescent="0.2">
      <c r="A110" s="1" t="s">
        <v>154</v>
      </c>
      <c r="B110" s="1" t="s">
        <v>36</v>
      </c>
      <c r="C110" s="1">
        <v>118895060</v>
      </c>
      <c r="D110" s="1" t="s">
        <v>2140</v>
      </c>
      <c r="E110" s="1" t="s">
        <v>3768</v>
      </c>
    </row>
    <row r="111" spans="1:6" ht="12.75" x14ac:dyDescent="0.2">
      <c r="A111" s="1" t="s">
        <v>257</v>
      </c>
      <c r="B111" s="1" t="s">
        <v>40</v>
      </c>
      <c r="C111" s="1">
        <v>154002346</v>
      </c>
      <c r="D111" s="1" t="s">
        <v>2254</v>
      </c>
      <c r="E111" s="1" t="s">
        <v>3768</v>
      </c>
    </row>
    <row r="112" spans="1:6" ht="12.75" x14ac:dyDescent="0.2">
      <c r="A112" s="1" t="s">
        <v>257</v>
      </c>
      <c r="B112" s="1" t="s">
        <v>40</v>
      </c>
      <c r="C112" s="1">
        <v>154429530</v>
      </c>
      <c r="D112" s="1" t="s">
        <v>2257</v>
      </c>
      <c r="E112" s="1" t="s">
        <v>3784</v>
      </c>
    </row>
    <row r="113" spans="1:5" ht="12.75" x14ac:dyDescent="0.2">
      <c r="A113" s="1" t="s">
        <v>579</v>
      </c>
      <c r="B113" s="1" t="s">
        <v>569</v>
      </c>
      <c r="C113" s="1">
        <v>3076407</v>
      </c>
      <c r="D113" s="1" t="s">
        <v>2240</v>
      </c>
      <c r="E113" s="1" t="s">
        <v>3785</v>
      </c>
    </row>
    <row r="114" spans="1:5" ht="12.75" x14ac:dyDescent="0.2">
      <c r="A114" s="1" t="s">
        <v>96</v>
      </c>
      <c r="B114" s="1" t="s">
        <v>50</v>
      </c>
      <c r="C114" s="1">
        <v>55315066</v>
      </c>
      <c r="D114" s="1" t="s">
        <v>2104</v>
      </c>
      <c r="E114" s="1" t="s">
        <v>3784</v>
      </c>
    </row>
    <row r="115" spans="1:5" ht="12.75" x14ac:dyDescent="0.2">
      <c r="A115" s="1" t="s">
        <v>201</v>
      </c>
      <c r="B115" s="1" t="s">
        <v>36</v>
      </c>
      <c r="C115" s="1">
        <v>102733463</v>
      </c>
      <c r="D115" s="1" t="s">
        <v>2176</v>
      </c>
      <c r="E115" s="1" t="s">
        <v>3768</v>
      </c>
    </row>
    <row r="116" spans="1:5" ht="12.75" x14ac:dyDescent="0.2">
      <c r="A116" s="1" t="s">
        <v>112</v>
      </c>
      <c r="B116" s="1" t="s">
        <v>113</v>
      </c>
      <c r="C116" s="1">
        <v>101844132</v>
      </c>
      <c r="D116" s="1" t="s">
        <v>2113</v>
      </c>
      <c r="E116" s="1" t="s">
        <v>3766</v>
      </c>
    </row>
    <row r="117" spans="1:5" ht="12.75" x14ac:dyDescent="0.2">
      <c r="A117" s="1" t="s">
        <v>258</v>
      </c>
      <c r="B117" s="1" t="s">
        <v>106</v>
      </c>
      <c r="C117" s="1">
        <v>114321593</v>
      </c>
      <c r="D117" s="1" t="s">
        <v>2273</v>
      </c>
      <c r="E117" s="1" t="s">
        <v>3766</v>
      </c>
    </row>
    <row r="118" spans="1:5" ht="12.75" x14ac:dyDescent="0.2">
      <c r="A118" s="1" t="s">
        <v>258</v>
      </c>
      <c r="B118" s="1" t="s">
        <v>106</v>
      </c>
      <c r="C118" s="1">
        <v>114426045</v>
      </c>
      <c r="D118" s="1" t="s">
        <v>2274</v>
      </c>
      <c r="E118" s="1" t="s">
        <v>3766</v>
      </c>
    </row>
    <row r="119" spans="1:5" ht="12.75" x14ac:dyDescent="0.2">
      <c r="A119" s="1" t="s">
        <v>144</v>
      </c>
      <c r="B119" s="1" t="s">
        <v>86</v>
      </c>
      <c r="C119" s="1">
        <v>133875977</v>
      </c>
      <c r="D119" s="1" t="s">
        <v>2133</v>
      </c>
      <c r="E119" s="1" t="s">
        <v>3768</v>
      </c>
    </row>
    <row r="120" spans="1:5" ht="12.75" x14ac:dyDescent="0.2">
      <c r="A120" s="1" t="s">
        <v>748</v>
      </c>
      <c r="B120" s="1" t="s">
        <v>40</v>
      </c>
      <c r="C120" s="1">
        <v>100331248</v>
      </c>
      <c r="D120" s="1" t="s">
        <v>3351</v>
      </c>
      <c r="E120" s="1" t="s">
        <v>3768</v>
      </c>
    </row>
    <row r="121" spans="1:5" ht="12.75" x14ac:dyDescent="0.2">
      <c r="A121" s="1" t="s">
        <v>100</v>
      </c>
      <c r="B121" s="1" t="s">
        <v>50</v>
      </c>
      <c r="C121" s="1">
        <v>41099071</v>
      </c>
      <c r="D121" s="1" t="s">
        <v>2107</v>
      </c>
      <c r="E121" s="1" t="s">
        <v>3768</v>
      </c>
    </row>
    <row r="122" spans="1:5" ht="12.75" x14ac:dyDescent="0.2">
      <c r="A122" s="1" t="s">
        <v>868</v>
      </c>
      <c r="B122" s="1" t="s">
        <v>93</v>
      </c>
      <c r="C122" s="1">
        <v>51026324</v>
      </c>
      <c r="D122" s="1" t="s">
        <v>2261</v>
      </c>
      <c r="E122" s="1" t="s">
        <v>3766</v>
      </c>
    </row>
    <row r="123" spans="1:5" ht="12.75" x14ac:dyDescent="0.2">
      <c r="A123" s="1" t="s">
        <v>202</v>
      </c>
      <c r="B123" s="1" t="s">
        <v>47</v>
      </c>
      <c r="C123" s="1">
        <v>43340487</v>
      </c>
      <c r="D123" s="1" t="s">
        <v>2174</v>
      </c>
      <c r="E123" s="1" t="s">
        <v>3768</v>
      </c>
    </row>
    <row r="124" spans="1:5" ht="12.75" x14ac:dyDescent="0.2">
      <c r="A124" s="1" t="s">
        <v>890</v>
      </c>
      <c r="B124" s="1" t="s">
        <v>93</v>
      </c>
      <c r="C124" s="1">
        <v>102505467</v>
      </c>
      <c r="D124" s="1" t="s">
        <v>3304</v>
      </c>
      <c r="E124" s="1" t="s">
        <v>3767</v>
      </c>
    </row>
    <row r="125" spans="1:5" ht="12.75" x14ac:dyDescent="0.2">
      <c r="A125" s="1" t="s">
        <v>893</v>
      </c>
      <c r="B125" s="1" t="s">
        <v>93</v>
      </c>
      <c r="C125" s="1">
        <v>102505467</v>
      </c>
      <c r="D125" s="1" t="s">
        <v>2263</v>
      </c>
      <c r="E125" s="1" t="s">
        <v>3767</v>
      </c>
    </row>
    <row r="126" spans="1:5" ht="12.75" x14ac:dyDescent="0.2">
      <c r="A126" s="1" t="s">
        <v>891</v>
      </c>
      <c r="B126" s="1" t="s">
        <v>93</v>
      </c>
      <c r="C126" s="1">
        <v>102505467</v>
      </c>
      <c r="D126" s="1" t="s">
        <v>2262</v>
      </c>
      <c r="E126" s="1" t="s">
        <v>3767</v>
      </c>
    </row>
    <row r="127" spans="1:5" ht="12.75" x14ac:dyDescent="0.2">
      <c r="A127" s="1" t="s">
        <v>136</v>
      </c>
      <c r="B127" s="1" t="s">
        <v>103</v>
      </c>
      <c r="C127" s="1">
        <v>145736666</v>
      </c>
      <c r="D127" s="1" t="s">
        <v>2128</v>
      </c>
      <c r="E127" s="1" t="s">
        <v>3786</v>
      </c>
    </row>
    <row r="128" spans="1:5" ht="12.75" x14ac:dyDescent="0.2">
      <c r="A128" s="1" t="s">
        <v>203</v>
      </c>
      <c r="B128" s="1" t="s">
        <v>186</v>
      </c>
      <c r="C128" s="1">
        <v>72742082</v>
      </c>
      <c r="D128" s="1" t="s">
        <v>2167</v>
      </c>
      <c r="E128" s="1" t="s">
        <v>3768</v>
      </c>
    </row>
    <row r="129" spans="1:5" ht="12.75" x14ac:dyDescent="0.2">
      <c r="A129" s="1" t="s">
        <v>204</v>
      </c>
      <c r="B129" s="1" t="s">
        <v>86</v>
      </c>
      <c r="C129" s="1">
        <v>50305039</v>
      </c>
      <c r="D129" s="1" t="s">
        <v>2194</v>
      </c>
      <c r="E129" s="1" t="s">
        <v>3768</v>
      </c>
    </row>
    <row r="130" spans="1:5" ht="12.75" x14ac:dyDescent="0.2">
      <c r="A130" s="1" t="s">
        <v>205</v>
      </c>
      <c r="B130" s="1" t="s">
        <v>186</v>
      </c>
      <c r="C130" s="1">
        <v>77656338</v>
      </c>
      <c r="D130" s="1" t="s">
        <v>2192</v>
      </c>
      <c r="E130" s="1" t="s">
        <v>3768</v>
      </c>
    </row>
    <row r="131" spans="1:5" ht="12.75" x14ac:dyDescent="0.2">
      <c r="A131" s="1" t="s">
        <v>206</v>
      </c>
      <c r="B131" s="1" t="s">
        <v>36</v>
      </c>
      <c r="C131" s="1">
        <v>125439297</v>
      </c>
      <c r="D131" s="1" t="s">
        <v>2164</v>
      </c>
      <c r="E131" s="1" t="s">
        <v>3768</v>
      </c>
    </row>
    <row r="132" spans="1:5" ht="12.75" x14ac:dyDescent="0.2">
      <c r="A132" s="1" t="s">
        <v>1072</v>
      </c>
      <c r="B132" s="1" t="s">
        <v>81</v>
      </c>
      <c r="C132" s="1">
        <v>24641233</v>
      </c>
      <c r="D132" s="1" t="s">
        <v>2276</v>
      </c>
      <c r="E132" s="1" t="s">
        <v>3777</v>
      </c>
    </row>
    <row r="133" spans="1:5" ht="12.75" x14ac:dyDescent="0.2">
      <c r="A133" s="1" t="s">
        <v>131</v>
      </c>
      <c r="B133" s="1" t="s">
        <v>93</v>
      </c>
      <c r="C133" s="1">
        <v>118380464</v>
      </c>
      <c r="D133" s="1" t="s">
        <v>2125</v>
      </c>
      <c r="E133" s="1" t="s">
        <v>3768</v>
      </c>
    </row>
    <row r="134" spans="1:5" ht="12.75" x14ac:dyDescent="0.2">
      <c r="A134" s="1" t="s">
        <v>260</v>
      </c>
      <c r="B134" s="1" t="s">
        <v>1</v>
      </c>
      <c r="C134" s="1">
        <v>234054794</v>
      </c>
      <c r="D134" s="1" t="s">
        <v>2215</v>
      </c>
      <c r="E134" s="1" t="s">
        <v>3766</v>
      </c>
    </row>
    <row r="135" spans="1:5" ht="12.75" x14ac:dyDescent="0.2">
      <c r="A135" s="1" t="s">
        <v>207</v>
      </c>
      <c r="B135" s="1" t="s">
        <v>103</v>
      </c>
      <c r="C135" s="1">
        <v>30601689</v>
      </c>
      <c r="D135" s="1" t="s">
        <v>2201</v>
      </c>
      <c r="E135" s="1" t="s">
        <v>3768</v>
      </c>
    </row>
    <row r="136" spans="1:5" ht="12.75" x14ac:dyDescent="0.2">
      <c r="A136" s="1" t="s">
        <v>922</v>
      </c>
      <c r="B136" s="1" t="s">
        <v>36</v>
      </c>
      <c r="C136" s="1">
        <v>20409075</v>
      </c>
      <c r="D136" s="1" t="s">
        <v>2822</v>
      </c>
      <c r="E136" s="1" t="s">
        <v>3766</v>
      </c>
    </row>
    <row r="137" spans="1:5" ht="12.75" x14ac:dyDescent="0.2">
      <c r="A137" s="1" t="s">
        <v>209</v>
      </c>
      <c r="B137" s="1" t="s">
        <v>186</v>
      </c>
      <c r="C137" s="1">
        <v>135468535</v>
      </c>
      <c r="D137" s="1" t="s">
        <v>2197</v>
      </c>
      <c r="E137" s="1" t="s">
        <v>3768</v>
      </c>
    </row>
    <row r="138" spans="1:5" ht="12.75" x14ac:dyDescent="0.2">
      <c r="A138" s="1" t="s">
        <v>261</v>
      </c>
      <c r="B138" s="1" t="s">
        <v>40</v>
      </c>
      <c r="C138" s="1">
        <v>50344377</v>
      </c>
      <c r="D138" s="1" t="s">
        <v>3326</v>
      </c>
      <c r="E138" s="1" t="s">
        <v>3766</v>
      </c>
    </row>
    <row r="139" spans="1:5" ht="12.75" x14ac:dyDescent="0.2">
      <c r="A139" s="1" t="s">
        <v>261</v>
      </c>
      <c r="B139" s="1" t="s">
        <v>40</v>
      </c>
      <c r="C139" s="1">
        <v>50444230</v>
      </c>
      <c r="D139" s="1" t="s">
        <v>3330</v>
      </c>
      <c r="E139" s="1" t="s">
        <v>3787</v>
      </c>
    </row>
    <row r="140" spans="1:5" ht="12.75" x14ac:dyDescent="0.2">
      <c r="A140" s="1" t="s">
        <v>156</v>
      </c>
      <c r="B140" s="1" t="s">
        <v>36</v>
      </c>
      <c r="C140" s="1">
        <v>13984183</v>
      </c>
      <c r="D140" s="1" t="s">
        <v>2141</v>
      </c>
      <c r="E140" s="1" t="s">
        <v>3768</v>
      </c>
    </row>
    <row r="141" spans="1:5" ht="12.75" x14ac:dyDescent="0.2">
      <c r="A141" s="1" t="s">
        <v>211</v>
      </c>
      <c r="B141" s="1" t="s">
        <v>212</v>
      </c>
      <c r="C141" s="1">
        <v>11418856</v>
      </c>
      <c r="D141" s="1" t="s">
        <v>2190</v>
      </c>
      <c r="E141" s="1" t="s">
        <v>3768</v>
      </c>
    </row>
    <row r="142" spans="1:5" ht="12.75" x14ac:dyDescent="0.2">
      <c r="A142" s="1" t="s">
        <v>1004</v>
      </c>
      <c r="B142" s="1" t="s">
        <v>212</v>
      </c>
      <c r="C142" s="1">
        <v>7079943</v>
      </c>
      <c r="D142" s="1" t="s">
        <v>3367</v>
      </c>
      <c r="E142" s="1" t="s">
        <v>3768</v>
      </c>
    </row>
    <row r="143" spans="1:5" ht="12.75" x14ac:dyDescent="0.2">
      <c r="A143" s="1" t="s">
        <v>543</v>
      </c>
      <c r="B143" s="1" t="s">
        <v>86</v>
      </c>
      <c r="C143" s="1">
        <v>121796695</v>
      </c>
      <c r="D143" s="1" t="s">
        <v>2494</v>
      </c>
      <c r="E143" s="1" t="s">
        <v>3766</v>
      </c>
    </row>
    <row r="144" spans="1:5" ht="12.75" x14ac:dyDescent="0.2">
      <c r="A144" s="1" t="s">
        <v>134</v>
      </c>
      <c r="B144" s="1" t="s">
        <v>103</v>
      </c>
      <c r="C144" s="1">
        <v>48685668</v>
      </c>
      <c r="D144" s="1" t="s">
        <v>2127</v>
      </c>
      <c r="E144" s="1" t="s">
        <v>3768</v>
      </c>
    </row>
    <row r="145" spans="1:5" ht="12.75" x14ac:dyDescent="0.2">
      <c r="A145" s="1" t="s">
        <v>1273</v>
      </c>
      <c r="B145" s="1" t="s">
        <v>50</v>
      </c>
      <c r="C145" s="1">
        <v>50879679</v>
      </c>
      <c r="D145" s="1" t="s">
        <v>2287</v>
      </c>
      <c r="E145" s="1" t="s">
        <v>3783</v>
      </c>
    </row>
    <row r="146" spans="1:5" ht="12.75" x14ac:dyDescent="0.2">
      <c r="A146" s="1" t="s">
        <v>170</v>
      </c>
      <c r="B146" s="1" t="s">
        <v>36</v>
      </c>
      <c r="C146" s="1">
        <v>118528941</v>
      </c>
      <c r="D146" s="1" t="s">
        <v>2150</v>
      </c>
      <c r="E146" s="1" t="s">
        <v>3768</v>
      </c>
    </row>
    <row r="147" spans="1:5" ht="12.75" x14ac:dyDescent="0.2">
      <c r="A147" s="1" t="s">
        <v>66</v>
      </c>
      <c r="B147" s="1" t="s">
        <v>50</v>
      </c>
      <c r="C147" s="1">
        <v>15726028</v>
      </c>
      <c r="D147" s="1" t="s">
        <v>2090</v>
      </c>
      <c r="E147" s="1" t="s">
        <v>3768</v>
      </c>
    </row>
    <row r="148" spans="1:5" ht="12.75" x14ac:dyDescent="0.2">
      <c r="A148" s="1" t="s">
        <v>1395</v>
      </c>
      <c r="B148" s="1" t="s">
        <v>73</v>
      </c>
      <c r="C148" s="1">
        <v>122318095</v>
      </c>
      <c r="D148" s="1" t="s">
        <v>3197</v>
      </c>
      <c r="E148" s="1" t="s">
        <v>3766</v>
      </c>
    </row>
    <row r="149" spans="1:5" ht="12.75" x14ac:dyDescent="0.2">
      <c r="A149" s="1" t="s">
        <v>214</v>
      </c>
      <c r="B149" s="1" t="s">
        <v>50</v>
      </c>
      <c r="C149" s="1">
        <v>55344173</v>
      </c>
      <c r="D149" s="1" t="s">
        <v>2170</v>
      </c>
      <c r="E149" s="1" t="s">
        <v>3780</v>
      </c>
    </row>
    <row r="150" spans="1:5" ht="12.75" x14ac:dyDescent="0.2">
      <c r="A150" s="1" t="s">
        <v>215</v>
      </c>
      <c r="B150" s="1" t="s">
        <v>43</v>
      </c>
      <c r="C150" s="1">
        <v>51039130</v>
      </c>
      <c r="D150" s="1" t="s">
        <v>2175</v>
      </c>
      <c r="E150" s="1" t="s">
        <v>3768</v>
      </c>
    </row>
    <row r="151" spans="1:5" ht="12.75" x14ac:dyDescent="0.2">
      <c r="A151" s="1" t="s">
        <v>216</v>
      </c>
      <c r="B151" s="1" t="s">
        <v>50</v>
      </c>
      <c r="C151" s="1">
        <v>4910565</v>
      </c>
      <c r="D151" s="1" t="s">
        <v>2203</v>
      </c>
      <c r="E151" s="1" t="s">
        <v>3768</v>
      </c>
    </row>
    <row r="152" spans="1:5" ht="12.75" x14ac:dyDescent="0.2">
      <c r="A152" s="1" t="s">
        <v>218</v>
      </c>
      <c r="B152" s="1" t="s">
        <v>212</v>
      </c>
      <c r="C152" s="1">
        <v>6937571</v>
      </c>
      <c r="D152" s="1" t="s">
        <v>2173</v>
      </c>
      <c r="E152" s="1" t="s">
        <v>3768</v>
      </c>
    </row>
    <row r="153" spans="1:5" ht="12.75" x14ac:dyDescent="0.2">
      <c r="A153" s="1" t="s">
        <v>178</v>
      </c>
      <c r="B153" s="1" t="s">
        <v>179</v>
      </c>
      <c r="C153" s="1">
        <v>74069636</v>
      </c>
      <c r="D153" s="1" t="s">
        <v>2154</v>
      </c>
      <c r="E153" s="1" t="s">
        <v>3768</v>
      </c>
    </row>
    <row r="154" spans="1:5" ht="12.75" x14ac:dyDescent="0.2">
      <c r="A154" s="1" t="s">
        <v>527</v>
      </c>
      <c r="B154" s="1" t="s">
        <v>86</v>
      </c>
      <c r="C154" s="1">
        <v>51433297</v>
      </c>
      <c r="D154" s="1" t="s">
        <v>2235</v>
      </c>
      <c r="E154" s="1" t="s">
        <v>3780</v>
      </c>
    </row>
    <row r="155" spans="1:5" ht="12.75" x14ac:dyDescent="0.2">
      <c r="A155" s="1" t="s">
        <v>181</v>
      </c>
      <c r="B155" s="1" t="s">
        <v>93</v>
      </c>
      <c r="C155" s="1">
        <v>97889471</v>
      </c>
      <c r="D155" s="1" t="s">
        <v>2155</v>
      </c>
      <c r="E155" s="1" t="s">
        <v>3768</v>
      </c>
    </row>
    <row r="156" spans="1:5" ht="12.75" x14ac:dyDescent="0.2">
      <c r="A156" s="1" t="s">
        <v>721</v>
      </c>
      <c r="B156" s="1" t="s">
        <v>40</v>
      </c>
      <c r="C156" s="1">
        <v>28992973</v>
      </c>
      <c r="D156" s="1" t="s">
        <v>2245</v>
      </c>
      <c r="E156" s="1" t="s">
        <v>3766</v>
      </c>
    </row>
    <row r="157" spans="1:5" ht="12.75" x14ac:dyDescent="0.2">
      <c r="A157" s="1" t="s">
        <v>426</v>
      </c>
      <c r="B157" s="1" t="s">
        <v>1</v>
      </c>
      <c r="C157" s="1">
        <v>73612885</v>
      </c>
      <c r="D157" s="1" t="s">
        <v>2227</v>
      </c>
      <c r="E157" s="1" t="s">
        <v>3788</v>
      </c>
    </row>
    <row r="158" spans="1:5" ht="12.75" x14ac:dyDescent="0.2">
      <c r="A158" s="1" t="s">
        <v>163</v>
      </c>
      <c r="B158" s="1" t="s">
        <v>113</v>
      </c>
      <c r="C158" s="1">
        <v>99645285</v>
      </c>
      <c r="D158" s="1" t="s">
        <v>2146</v>
      </c>
      <c r="E158" s="1" t="s">
        <v>3768</v>
      </c>
    </row>
    <row r="159" spans="1:5" ht="12.75" x14ac:dyDescent="0.2">
      <c r="A159" s="1" t="s">
        <v>1183</v>
      </c>
      <c r="B159" s="1" t="s">
        <v>47</v>
      </c>
      <c r="C159" s="1">
        <v>44107281</v>
      </c>
      <c r="D159" s="1" t="s">
        <v>3036</v>
      </c>
      <c r="E159" s="1" t="s">
        <v>3766</v>
      </c>
    </row>
    <row r="160" spans="1:5" ht="12.75" x14ac:dyDescent="0.2">
      <c r="A160" s="1" t="s">
        <v>220</v>
      </c>
      <c r="B160" s="1" t="s">
        <v>47</v>
      </c>
      <c r="C160" s="1">
        <v>26673658</v>
      </c>
      <c r="D160" s="1" t="s">
        <v>2189</v>
      </c>
      <c r="E160" s="1" t="s">
        <v>3789</v>
      </c>
    </row>
    <row r="161" spans="1:5" ht="12.75" x14ac:dyDescent="0.2">
      <c r="A161" s="1" t="s">
        <v>146</v>
      </c>
      <c r="B161" s="1" t="s">
        <v>47</v>
      </c>
      <c r="C161" s="1">
        <v>7465308</v>
      </c>
      <c r="D161" s="1" t="s">
        <v>2134</v>
      </c>
      <c r="E161" s="1" t="s">
        <v>3768</v>
      </c>
    </row>
    <row r="162" spans="1:5" ht="12.75" x14ac:dyDescent="0.2">
      <c r="A162" s="1" t="s">
        <v>64</v>
      </c>
      <c r="B162" s="1" t="s">
        <v>36</v>
      </c>
      <c r="C162" s="1">
        <v>94695786</v>
      </c>
      <c r="D162" s="1" t="s">
        <v>2089</v>
      </c>
      <c r="E162" s="1" t="s">
        <v>3768</v>
      </c>
    </row>
    <row r="163" spans="1:5" ht="12.75" x14ac:dyDescent="0.2">
      <c r="A163" s="1" t="s">
        <v>62</v>
      </c>
      <c r="B163" s="1" t="s">
        <v>47</v>
      </c>
      <c r="C163" s="1">
        <v>46103532</v>
      </c>
      <c r="D163" s="1" t="s">
        <v>2088</v>
      </c>
      <c r="E163" s="1" t="s">
        <v>3790</v>
      </c>
    </row>
    <row r="164" spans="1:5" ht="12.75" x14ac:dyDescent="0.2">
      <c r="A164" s="1" t="s">
        <v>1359</v>
      </c>
      <c r="B164" s="1" t="s">
        <v>43</v>
      </c>
      <c r="C164" s="1">
        <v>51041561</v>
      </c>
      <c r="D164" s="1" t="s">
        <v>3392</v>
      </c>
      <c r="E164" s="1" t="s">
        <v>3768</v>
      </c>
    </row>
    <row r="165" spans="1:5" ht="12.75" x14ac:dyDescent="0.2">
      <c r="A165" s="1" t="s">
        <v>1008</v>
      </c>
      <c r="B165" s="1" t="s">
        <v>212</v>
      </c>
      <c r="C165" s="1">
        <v>9980076</v>
      </c>
      <c r="D165" s="1" t="s">
        <v>2270</v>
      </c>
      <c r="E165" s="1" t="s">
        <v>3791</v>
      </c>
    </row>
    <row r="166" spans="1:5" ht="12.75" x14ac:dyDescent="0.2">
      <c r="A166" s="1" t="s">
        <v>110</v>
      </c>
      <c r="B166" s="1" t="s">
        <v>103</v>
      </c>
      <c r="C166" s="1">
        <v>145106166</v>
      </c>
      <c r="D166" s="1" t="s">
        <v>2112</v>
      </c>
      <c r="E166" s="1" t="s">
        <v>3768</v>
      </c>
    </row>
    <row r="167" spans="1:5" ht="12.75" x14ac:dyDescent="0.2">
      <c r="A167" s="1" t="s">
        <v>823</v>
      </c>
      <c r="B167" s="1" t="s">
        <v>33</v>
      </c>
      <c r="C167" s="1">
        <v>95218486</v>
      </c>
      <c r="D167" s="1" t="s">
        <v>2260</v>
      </c>
      <c r="E167" s="1" t="s">
        <v>3792</v>
      </c>
    </row>
    <row r="168" spans="1:5" ht="12.75" x14ac:dyDescent="0.2">
      <c r="A168" s="1" t="s">
        <v>531</v>
      </c>
      <c r="B168" s="1" t="s">
        <v>86</v>
      </c>
      <c r="C168" s="1">
        <v>53317442</v>
      </c>
      <c r="D168" s="1" t="s">
        <v>2236</v>
      </c>
      <c r="E168" s="1" t="s">
        <v>3793</v>
      </c>
    </row>
    <row r="169" spans="1:5" ht="12.75" x14ac:dyDescent="0.2">
      <c r="A169" s="1" t="s">
        <v>129</v>
      </c>
      <c r="B169" s="1" t="s">
        <v>53</v>
      </c>
      <c r="C169" s="1">
        <v>21106623</v>
      </c>
      <c r="D169" s="1" t="s">
        <v>2124</v>
      </c>
      <c r="E169" s="1" t="s">
        <v>3768</v>
      </c>
    </row>
    <row r="170" spans="1:5" ht="12.75" x14ac:dyDescent="0.2">
      <c r="A170" s="1" t="s">
        <v>1044</v>
      </c>
      <c r="B170" s="1" t="s">
        <v>212</v>
      </c>
      <c r="C170" s="1">
        <v>109304657</v>
      </c>
      <c r="D170" s="1" t="s">
        <v>3372</v>
      </c>
      <c r="E170" s="1" t="s">
        <v>3768</v>
      </c>
    </row>
    <row r="171" spans="1:5" ht="12.75" x14ac:dyDescent="0.2">
      <c r="A171" s="1" t="s">
        <v>625</v>
      </c>
      <c r="B171" s="1" t="s">
        <v>569</v>
      </c>
      <c r="C171" s="1">
        <v>140637544</v>
      </c>
      <c r="D171" s="1" t="s">
        <v>2242</v>
      </c>
      <c r="E171" s="1" t="s">
        <v>3794</v>
      </c>
    </row>
    <row r="172" spans="1:5" ht="12.75" x14ac:dyDescent="0.2">
      <c r="A172" s="1" t="s">
        <v>225</v>
      </c>
      <c r="B172" s="1" t="s">
        <v>186</v>
      </c>
      <c r="C172" s="1">
        <v>140566892</v>
      </c>
      <c r="D172" s="1" t="s">
        <v>2187</v>
      </c>
      <c r="E172" s="1" t="s">
        <v>3784</v>
      </c>
    </row>
    <row r="173" spans="1:5" ht="12.75" x14ac:dyDescent="0.2">
      <c r="A173" s="1" t="s">
        <v>141</v>
      </c>
      <c r="B173" s="1" t="s">
        <v>139</v>
      </c>
      <c r="C173" s="1">
        <v>156338979</v>
      </c>
      <c r="D173" s="1" t="s">
        <v>2131</v>
      </c>
      <c r="E173" s="1" t="s">
        <v>3768</v>
      </c>
    </row>
    <row r="174" spans="1:5" ht="12.75" x14ac:dyDescent="0.2">
      <c r="A174" s="1" t="s">
        <v>32</v>
      </c>
      <c r="B174" s="1" t="s">
        <v>33</v>
      </c>
      <c r="C174" s="1">
        <v>136130562</v>
      </c>
      <c r="D174" s="1" t="s">
        <v>2073</v>
      </c>
      <c r="E174" s="1" t="s">
        <v>3768</v>
      </c>
    </row>
    <row r="175" spans="1:5" ht="12.75" x14ac:dyDescent="0.2">
      <c r="A175" s="1" t="s">
        <v>430</v>
      </c>
      <c r="B175" s="1" t="s">
        <v>1</v>
      </c>
      <c r="C175" s="1">
        <v>95831182</v>
      </c>
      <c r="D175" s="1" t="s">
        <v>2229</v>
      </c>
      <c r="E175" s="1" t="s">
        <v>3776</v>
      </c>
    </row>
    <row r="176" spans="1:5" ht="12.75" x14ac:dyDescent="0.2">
      <c r="A176" s="1" t="s">
        <v>125</v>
      </c>
      <c r="B176" s="1" t="s">
        <v>103</v>
      </c>
      <c r="C176" s="1">
        <v>38758752</v>
      </c>
      <c r="D176" s="1" t="s">
        <v>2121</v>
      </c>
      <c r="E176" s="1" t="s">
        <v>3768</v>
      </c>
    </row>
    <row r="177" spans="1:5" ht="12.75" x14ac:dyDescent="0.2">
      <c r="A177" s="1" t="s">
        <v>226</v>
      </c>
      <c r="B177" s="1" t="s">
        <v>36</v>
      </c>
      <c r="C177" s="1">
        <v>118938492</v>
      </c>
      <c r="D177" s="1" t="s">
        <v>2205</v>
      </c>
      <c r="E177" s="1" t="s">
        <v>3768</v>
      </c>
    </row>
    <row r="178" spans="1:5" ht="12.75" x14ac:dyDescent="0.2">
      <c r="A178" s="1" t="s">
        <v>168</v>
      </c>
      <c r="B178" s="1" t="s">
        <v>121</v>
      </c>
      <c r="C178" s="1">
        <v>1278335</v>
      </c>
      <c r="D178" s="1" t="s">
        <v>2149</v>
      </c>
      <c r="E178" s="1" t="s">
        <v>3768</v>
      </c>
    </row>
    <row r="179" spans="1:5" ht="12.75" x14ac:dyDescent="0.2">
      <c r="A179" s="1" t="s">
        <v>105</v>
      </c>
      <c r="B179" s="1" t="s">
        <v>47</v>
      </c>
      <c r="C179" s="1">
        <v>34092875</v>
      </c>
      <c r="D179" s="1" t="s">
        <v>2109</v>
      </c>
      <c r="E179" s="1" t="s">
        <v>3768</v>
      </c>
    </row>
    <row r="180" spans="1:5" ht="12.75" x14ac:dyDescent="0.2">
      <c r="A180" s="1" t="s">
        <v>846</v>
      </c>
      <c r="B180" s="1" t="s">
        <v>93</v>
      </c>
      <c r="C180" s="1">
        <v>11784355</v>
      </c>
      <c r="D180" s="1" t="s">
        <v>3242</v>
      </c>
      <c r="E180" s="1" t="s">
        <v>3766</v>
      </c>
    </row>
    <row r="181" spans="1:5" ht="12.75" x14ac:dyDescent="0.2">
      <c r="A181" s="1" t="s">
        <v>37</v>
      </c>
      <c r="B181" s="1" t="s">
        <v>36</v>
      </c>
      <c r="C181" s="1">
        <v>111652918</v>
      </c>
      <c r="D181" s="1" t="s">
        <v>2075</v>
      </c>
      <c r="E181" s="1" t="s">
        <v>3766</v>
      </c>
    </row>
    <row r="182" spans="1:5" ht="12.75" x14ac:dyDescent="0.2">
      <c r="A182" s="1" t="s">
        <v>108</v>
      </c>
      <c r="B182" s="1" t="s">
        <v>103</v>
      </c>
      <c r="C182" s="1">
        <v>21964382</v>
      </c>
      <c r="D182" s="1" t="s">
        <v>2111</v>
      </c>
      <c r="E182" s="1" t="s">
        <v>3766</v>
      </c>
    </row>
    <row r="183" spans="1:5" ht="12.75" x14ac:dyDescent="0.2">
      <c r="A183" s="1" t="s">
        <v>92</v>
      </c>
      <c r="B183" s="1" t="s">
        <v>93</v>
      </c>
      <c r="C183" s="1">
        <v>7601231</v>
      </c>
      <c r="D183" s="1" t="s">
        <v>2102</v>
      </c>
      <c r="E183" s="1" t="s">
        <v>3766</v>
      </c>
    </row>
    <row r="184" spans="1:5" ht="12.75" x14ac:dyDescent="0.2">
      <c r="A184" s="1" t="s">
        <v>1331</v>
      </c>
      <c r="B184" s="1" t="s">
        <v>241</v>
      </c>
      <c r="C184" s="1">
        <v>46875423</v>
      </c>
      <c r="D184" s="1" t="s">
        <v>2293</v>
      </c>
      <c r="E184" s="1" t="s">
        <v>3795</v>
      </c>
    </row>
    <row r="185" spans="1:5" ht="12.75" x14ac:dyDescent="0.2">
      <c r="A185" s="1" t="s">
        <v>42</v>
      </c>
      <c r="B185" s="1" t="s">
        <v>43</v>
      </c>
      <c r="C185" s="1">
        <v>36585175</v>
      </c>
      <c r="D185" s="1" t="s">
        <v>2077</v>
      </c>
      <c r="E185" s="1" t="s">
        <v>3766</v>
      </c>
    </row>
    <row r="186" spans="1:5" ht="12.75" x14ac:dyDescent="0.2">
      <c r="A186" s="1" t="s">
        <v>228</v>
      </c>
      <c r="B186" s="1" t="s">
        <v>36</v>
      </c>
      <c r="C186" s="1">
        <v>67758574</v>
      </c>
      <c r="D186" s="1" t="s">
        <v>2204</v>
      </c>
      <c r="E186" s="1" t="s">
        <v>3768</v>
      </c>
    </row>
    <row r="187" spans="1:5" ht="12.75" x14ac:dyDescent="0.2">
      <c r="A187" s="1" t="s">
        <v>166</v>
      </c>
      <c r="B187" s="1" t="s">
        <v>73</v>
      </c>
      <c r="C187" s="1">
        <v>104463610</v>
      </c>
      <c r="D187" s="1" t="s">
        <v>2148</v>
      </c>
      <c r="E187" s="1" t="s">
        <v>3768</v>
      </c>
    </row>
    <row r="188" spans="1:5" ht="12.75" x14ac:dyDescent="0.2">
      <c r="A188" s="1" t="s">
        <v>229</v>
      </c>
      <c r="B188" s="1" t="s">
        <v>47</v>
      </c>
      <c r="C188" s="1">
        <v>79609348</v>
      </c>
      <c r="D188" s="1" t="s">
        <v>2200</v>
      </c>
      <c r="E188" s="1" t="s">
        <v>3768</v>
      </c>
    </row>
    <row r="189" spans="1:5" ht="12.75" x14ac:dyDescent="0.2">
      <c r="A189" s="1" t="s">
        <v>805</v>
      </c>
      <c r="B189" s="1" t="s">
        <v>103</v>
      </c>
      <c r="C189" s="1">
        <v>145202918</v>
      </c>
      <c r="D189" s="1" t="s">
        <v>2718</v>
      </c>
      <c r="E189" s="1" t="s">
        <v>3766</v>
      </c>
    </row>
    <row r="190" spans="1:5" ht="12.75" x14ac:dyDescent="0.2">
      <c r="A190" s="1" t="s">
        <v>231</v>
      </c>
      <c r="B190" s="1" t="s">
        <v>40</v>
      </c>
      <c r="C190" s="1">
        <v>149412147</v>
      </c>
      <c r="D190" s="1" t="s">
        <v>2171</v>
      </c>
      <c r="E190" s="1" t="s">
        <v>3768</v>
      </c>
    </row>
    <row r="191" spans="1:5" ht="12.75" x14ac:dyDescent="0.2">
      <c r="A191" s="1" t="s">
        <v>1187</v>
      </c>
      <c r="B191" s="1" t="s">
        <v>47</v>
      </c>
      <c r="C191" s="1">
        <v>48211100</v>
      </c>
      <c r="D191" s="1" t="s">
        <v>3388</v>
      </c>
      <c r="E191" s="1" t="s">
        <v>3768</v>
      </c>
    </row>
    <row r="192" spans="1:5" ht="12.75" x14ac:dyDescent="0.2">
      <c r="A192" s="1" t="s">
        <v>1228</v>
      </c>
      <c r="B192" s="1" t="s">
        <v>50</v>
      </c>
      <c r="C192" s="1">
        <v>4472254</v>
      </c>
      <c r="D192" s="1" t="s">
        <v>2284</v>
      </c>
      <c r="E192" s="1" t="s">
        <v>3796</v>
      </c>
    </row>
    <row r="193" spans="1:9" ht="12.75" x14ac:dyDescent="0.2">
      <c r="A193" s="1" t="s">
        <v>1048</v>
      </c>
      <c r="B193" s="1" t="s">
        <v>212</v>
      </c>
      <c r="C193" s="1">
        <v>122064454</v>
      </c>
      <c r="D193" s="1" t="s">
        <v>2271</v>
      </c>
      <c r="E193" s="1" t="s">
        <v>3797</v>
      </c>
    </row>
    <row r="194" spans="1:9" ht="12.75" x14ac:dyDescent="0.2">
      <c r="A194" s="1" t="s">
        <v>94</v>
      </c>
      <c r="B194" s="1" t="s">
        <v>93</v>
      </c>
      <c r="C194" s="1">
        <v>7601231</v>
      </c>
      <c r="D194" s="1" t="s">
        <v>2103</v>
      </c>
      <c r="E194" s="1" t="s">
        <v>3766</v>
      </c>
    </row>
    <row r="195" spans="1:9" ht="12.75" x14ac:dyDescent="0.2">
      <c r="A195" s="1" t="s">
        <v>88</v>
      </c>
      <c r="B195" s="1" t="s">
        <v>50</v>
      </c>
      <c r="C195" s="1">
        <v>16244837</v>
      </c>
      <c r="D195" s="1" t="s">
        <v>2100</v>
      </c>
      <c r="E195" s="1" t="s">
        <v>3768</v>
      </c>
    </row>
    <row r="196" spans="1:9" ht="12.75" x14ac:dyDescent="0.2">
      <c r="A196" s="1" t="s">
        <v>547</v>
      </c>
      <c r="B196" s="1" t="s">
        <v>86</v>
      </c>
      <c r="C196" s="1">
        <v>124624288</v>
      </c>
      <c r="D196" s="1" t="s">
        <v>2238</v>
      </c>
      <c r="E196" s="1" t="s">
        <v>3798</v>
      </c>
    </row>
    <row r="197" spans="1:9" ht="12.75" x14ac:dyDescent="0.2">
      <c r="A197" s="1" t="s">
        <v>1172</v>
      </c>
      <c r="B197" s="1" t="s">
        <v>47</v>
      </c>
      <c r="C197" s="1">
        <v>39340351</v>
      </c>
      <c r="D197" s="1" t="s">
        <v>3298</v>
      </c>
      <c r="E197" s="1" t="s">
        <v>3766</v>
      </c>
    </row>
    <row r="198" spans="1:9" ht="12.75" x14ac:dyDescent="0.2">
      <c r="A198" s="1" t="s">
        <v>1291</v>
      </c>
      <c r="B198" s="1" t="s">
        <v>53</v>
      </c>
      <c r="C198" s="1">
        <v>278203</v>
      </c>
      <c r="D198" s="1" t="s">
        <v>2290</v>
      </c>
      <c r="E198" s="1" t="s">
        <v>3799</v>
      </c>
    </row>
    <row r="199" spans="1:9" ht="12.75" x14ac:dyDescent="0.2">
      <c r="A199" s="1" t="s">
        <v>232</v>
      </c>
      <c r="B199" s="1" t="s">
        <v>121</v>
      </c>
      <c r="C199" s="1">
        <v>76311175</v>
      </c>
      <c r="D199" s="1" t="s">
        <v>2161</v>
      </c>
      <c r="E199" s="1" t="s">
        <v>3768</v>
      </c>
    </row>
    <row r="200" spans="1:9" ht="12.75" x14ac:dyDescent="0.2">
      <c r="A200" s="1" t="s">
        <v>102</v>
      </c>
      <c r="B200" s="1" t="s">
        <v>103</v>
      </c>
      <c r="C200" s="1">
        <v>120220609</v>
      </c>
      <c r="D200" s="1" t="s">
        <v>2108</v>
      </c>
      <c r="E200" s="1" t="s">
        <v>3768</v>
      </c>
      <c r="G200" s="1" t="s">
        <v>1410</v>
      </c>
      <c r="I200" s="1" t="s">
        <v>2019</v>
      </c>
    </row>
    <row r="201" spans="1:9" ht="12.75" x14ac:dyDescent="0.2">
      <c r="A201" s="1" t="s">
        <v>120</v>
      </c>
      <c r="B201" s="1" t="s">
        <v>121</v>
      </c>
      <c r="C201" s="1">
        <v>81134483</v>
      </c>
      <c r="D201" s="1" t="s">
        <v>2119</v>
      </c>
      <c r="E201" s="1" t="s">
        <v>3768</v>
      </c>
      <c r="G201" s="1" t="s">
        <v>3715</v>
      </c>
      <c r="I201" s="1" t="s">
        <v>8808</v>
      </c>
    </row>
    <row r="202" spans="1:9" ht="12.75" x14ac:dyDescent="0.2">
      <c r="A202" s="1" t="s">
        <v>1165</v>
      </c>
      <c r="B202" s="1" t="s">
        <v>47</v>
      </c>
      <c r="C202" s="1">
        <v>26721660</v>
      </c>
      <c r="D202" s="1" t="s">
        <v>3387</v>
      </c>
      <c r="E202" s="1" t="s">
        <v>3768</v>
      </c>
      <c r="G202" s="1" t="s">
        <v>3740</v>
      </c>
      <c r="I202" s="1" t="s">
        <v>2022</v>
      </c>
    </row>
    <row r="203" spans="1:9" ht="12.75" x14ac:dyDescent="0.2">
      <c r="A203" s="1" t="s">
        <v>1330</v>
      </c>
      <c r="B203" s="1" t="s">
        <v>241</v>
      </c>
      <c r="C203" s="1">
        <v>46825096</v>
      </c>
      <c r="D203" s="1" t="s">
        <v>2292</v>
      </c>
      <c r="E203" s="1" t="s">
        <v>3800</v>
      </c>
      <c r="G203" s="1" t="s">
        <v>3736</v>
      </c>
      <c r="I203" s="1" t="s">
        <v>2025</v>
      </c>
    </row>
    <row r="204" spans="1:9" ht="12.75" x14ac:dyDescent="0.2">
      <c r="A204" s="1" t="s">
        <v>1124</v>
      </c>
      <c r="B204" s="1" t="s">
        <v>121</v>
      </c>
      <c r="C204" s="1">
        <v>21413454</v>
      </c>
      <c r="D204" s="1" t="s">
        <v>3381</v>
      </c>
      <c r="E204" s="1" t="s">
        <v>3768</v>
      </c>
      <c r="G204" s="1" t="s">
        <v>2030</v>
      </c>
      <c r="I204" s="1" t="s">
        <v>2045</v>
      </c>
    </row>
    <row r="205" spans="1:9" ht="12.75" x14ac:dyDescent="0.2">
      <c r="A205" s="1" t="s">
        <v>264</v>
      </c>
      <c r="B205" s="1" t="s">
        <v>40</v>
      </c>
      <c r="C205" s="1">
        <v>153749776</v>
      </c>
      <c r="D205" s="1" t="s">
        <v>2253</v>
      </c>
      <c r="E205" s="1" t="s">
        <v>3801</v>
      </c>
      <c r="G205" s="1" t="s">
        <v>2040</v>
      </c>
      <c r="I205" s="1" t="s">
        <v>2021</v>
      </c>
    </row>
    <row r="206" spans="1:9" ht="12.75" x14ac:dyDescent="0.2">
      <c r="A206" s="1" t="s">
        <v>264</v>
      </c>
      <c r="B206" s="1" t="s">
        <v>40</v>
      </c>
      <c r="C206" s="1">
        <v>154429530</v>
      </c>
      <c r="D206" s="1" t="s">
        <v>2256</v>
      </c>
      <c r="E206" s="1" t="s">
        <v>3784</v>
      </c>
      <c r="G206" s="1" t="s">
        <v>2023</v>
      </c>
      <c r="I206" s="1" t="s">
        <v>2024</v>
      </c>
    </row>
    <row r="207" spans="1:9" ht="12.75" x14ac:dyDescent="0.2">
      <c r="A207" s="1" t="s">
        <v>123</v>
      </c>
      <c r="B207" s="1" t="s">
        <v>47</v>
      </c>
      <c r="C207" s="1">
        <v>43189007</v>
      </c>
      <c r="D207" s="1" t="s">
        <v>2120</v>
      </c>
      <c r="E207" s="1" t="s">
        <v>3768</v>
      </c>
      <c r="G207" s="1" t="s">
        <v>3741</v>
      </c>
      <c r="I207" s="1" t="s">
        <v>2057</v>
      </c>
    </row>
    <row r="208" spans="1:9" ht="14.25" x14ac:dyDescent="0.2">
      <c r="A208" s="1" t="s">
        <v>114</v>
      </c>
      <c r="B208" s="1" t="s">
        <v>113</v>
      </c>
      <c r="C208" s="1">
        <v>101844132</v>
      </c>
      <c r="D208" s="1" t="s">
        <v>2114</v>
      </c>
      <c r="E208" s="1" t="s">
        <v>3766</v>
      </c>
      <c r="G208"/>
      <c r="I208" s="1" t="s">
        <v>2056</v>
      </c>
    </row>
    <row r="209" spans="1:9" ht="14.25" x14ac:dyDescent="0.2">
      <c r="A209" s="1" t="s">
        <v>1108</v>
      </c>
      <c r="B209" s="1" t="s">
        <v>113</v>
      </c>
      <c r="C209" s="1">
        <v>101853221</v>
      </c>
      <c r="D209" s="1" t="s">
        <v>3379</v>
      </c>
      <c r="E209" s="1" t="s">
        <v>3766</v>
      </c>
      <c r="G209"/>
      <c r="I209" s="1" t="s">
        <v>2035</v>
      </c>
    </row>
    <row r="210" spans="1:9" ht="14.25" x14ac:dyDescent="0.2">
      <c r="A210" s="1" t="s">
        <v>1107</v>
      </c>
      <c r="B210" s="1" t="s">
        <v>113</v>
      </c>
      <c r="C210" s="1">
        <v>101853221</v>
      </c>
      <c r="D210" s="1" t="s">
        <v>3378</v>
      </c>
      <c r="E210" s="1" t="s">
        <v>3766</v>
      </c>
      <c r="G210"/>
      <c r="I210" s="1" t="s">
        <v>2036</v>
      </c>
    </row>
    <row r="211" spans="1:9" ht="14.25" x14ac:dyDescent="0.2">
      <c r="A211" s="1" t="s">
        <v>115</v>
      </c>
      <c r="B211" s="1" t="s">
        <v>113</v>
      </c>
      <c r="C211" s="1">
        <v>101923952</v>
      </c>
      <c r="D211" s="1" t="s">
        <v>2115</v>
      </c>
      <c r="E211" s="1" t="s">
        <v>3766</v>
      </c>
      <c r="G211"/>
      <c r="I211" s="1" t="s">
        <v>2049</v>
      </c>
    </row>
    <row r="212" spans="1:9" ht="14.25" x14ac:dyDescent="0.2">
      <c r="A212" s="1" t="s">
        <v>116</v>
      </c>
      <c r="B212" s="1" t="s">
        <v>113</v>
      </c>
      <c r="C212" s="1">
        <v>101886946</v>
      </c>
      <c r="D212" s="1" t="s">
        <v>2116</v>
      </c>
      <c r="E212" s="1" t="s">
        <v>3766</v>
      </c>
      <c r="G212"/>
      <c r="I212" s="1" t="s">
        <v>2018</v>
      </c>
    </row>
    <row r="213" spans="1:9" ht="14.25" x14ac:dyDescent="0.2">
      <c r="A213" s="1" t="s">
        <v>117</v>
      </c>
      <c r="B213" s="1" t="s">
        <v>113</v>
      </c>
      <c r="C213" s="1">
        <v>101886946</v>
      </c>
      <c r="D213" s="1" t="s">
        <v>2117</v>
      </c>
      <c r="E213" s="1" t="s">
        <v>3766</v>
      </c>
      <c r="G213"/>
      <c r="I213" s="1" t="s">
        <v>2029</v>
      </c>
    </row>
    <row r="214" spans="1:9" ht="14.25" x14ac:dyDescent="0.2">
      <c r="A214" s="1" t="s">
        <v>118</v>
      </c>
      <c r="B214" s="1" t="s">
        <v>113</v>
      </c>
      <c r="C214" s="1">
        <v>101905078</v>
      </c>
      <c r="D214" s="1" t="s">
        <v>2118</v>
      </c>
      <c r="E214" s="1" t="s">
        <v>3766</v>
      </c>
      <c r="G214"/>
      <c r="I214"/>
    </row>
    <row r="215" spans="1:9" ht="14.25" x14ac:dyDescent="0.2">
      <c r="A215" s="1" t="s">
        <v>1236</v>
      </c>
      <c r="B215" s="1" t="s">
        <v>50</v>
      </c>
      <c r="C215" s="1">
        <v>14199228</v>
      </c>
      <c r="D215" s="1" t="s">
        <v>2285</v>
      </c>
      <c r="E215" s="1" t="s">
        <v>3784</v>
      </c>
      <c r="G215"/>
      <c r="I215"/>
    </row>
    <row r="216" spans="1:9" ht="14.25" x14ac:dyDescent="0.2">
      <c r="A216" s="1" t="s">
        <v>1212</v>
      </c>
      <c r="B216" s="1" t="s">
        <v>179</v>
      </c>
      <c r="C216" s="1">
        <v>43753987</v>
      </c>
      <c r="D216" s="1" t="s">
        <v>2281</v>
      </c>
      <c r="E216" s="1" t="s">
        <v>3773</v>
      </c>
      <c r="G216"/>
    </row>
    <row r="217" spans="1:9" ht="14.25" x14ac:dyDescent="0.2">
      <c r="A217" s="1" t="s">
        <v>80</v>
      </c>
      <c r="B217" s="1" t="s">
        <v>81</v>
      </c>
      <c r="C217" s="1">
        <v>63779548</v>
      </c>
      <c r="D217" s="1" t="s">
        <v>2097</v>
      </c>
      <c r="E217" s="1" t="s">
        <v>3768</v>
      </c>
      <c r="G217"/>
    </row>
    <row r="218" spans="1:9" ht="14.25" x14ac:dyDescent="0.2">
      <c r="A218" s="1" t="s">
        <v>44</v>
      </c>
      <c r="B218" s="1" t="s">
        <v>43</v>
      </c>
      <c r="C218" s="1">
        <v>36585175</v>
      </c>
      <c r="D218" s="1" t="s">
        <v>2078</v>
      </c>
      <c r="E218" s="1" t="s">
        <v>3766</v>
      </c>
      <c r="G218"/>
    </row>
    <row r="219" spans="1:9" ht="14.25" x14ac:dyDescent="0.2">
      <c r="A219" s="1" t="s">
        <v>164</v>
      </c>
      <c r="B219" s="1" t="s">
        <v>113</v>
      </c>
      <c r="C219" s="1">
        <v>99645285</v>
      </c>
      <c r="D219" s="1" t="s">
        <v>2147</v>
      </c>
      <c r="E219" s="1" t="s">
        <v>3768</v>
      </c>
      <c r="G219"/>
    </row>
    <row r="220" spans="1:9" ht="14.25" x14ac:dyDescent="0.2">
      <c r="A220" s="1" t="s">
        <v>1131</v>
      </c>
      <c r="B220" s="1" t="s">
        <v>121</v>
      </c>
      <c r="C220" s="1">
        <v>29789560</v>
      </c>
      <c r="D220" s="1" t="s">
        <v>3265</v>
      </c>
      <c r="E220" s="1" t="s">
        <v>3766</v>
      </c>
      <c r="G220"/>
    </row>
    <row r="221" spans="1:9" ht="14.25" x14ac:dyDescent="0.2">
      <c r="A221" s="1" t="s">
        <v>237</v>
      </c>
      <c r="B221" s="1" t="s">
        <v>47</v>
      </c>
      <c r="C221" s="1">
        <v>21142182</v>
      </c>
      <c r="D221" s="1" t="s">
        <v>2160</v>
      </c>
      <c r="E221" s="1" t="s">
        <v>3768</v>
      </c>
      <c r="G221"/>
    </row>
    <row r="222" spans="1:9" ht="14.25" x14ac:dyDescent="0.2">
      <c r="A222" s="1" t="s">
        <v>159</v>
      </c>
      <c r="B222" s="1" t="s">
        <v>50</v>
      </c>
      <c r="C222" s="1">
        <v>2328628</v>
      </c>
      <c r="D222" s="1" t="s">
        <v>2143</v>
      </c>
      <c r="E222" s="1" t="s">
        <v>3768</v>
      </c>
      <c r="G222"/>
    </row>
    <row r="223" spans="1:9" ht="14.25" x14ac:dyDescent="0.2">
      <c r="A223" s="1" t="s">
        <v>747</v>
      </c>
      <c r="B223" s="1" t="s">
        <v>40</v>
      </c>
      <c r="C223" s="1">
        <v>100331248</v>
      </c>
      <c r="D223" s="1" t="s">
        <v>3350</v>
      </c>
      <c r="E223" s="1" t="s">
        <v>3768</v>
      </c>
      <c r="G223"/>
    </row>
    <row r="224" spans="1:9" ht="14.25" x14ac:dyDescent="0.2">
      <c r="A224" s="1" t="s">
        <v>770</v>
      </c>
      <c r="B224" s="1" t="s">
        <v>40</v>
      </c>
      <c r="C224" s="1">
        <v>150709296</v>
      </c>
      <c r="D224" s="1" t="s">
        <v>3352</v>
      </c>
      <c r="E224" s="1" t="s">
        <v>3768</v>
      </c>
      <c r="G224"/>
    </row>
    <row r="225" spans="1:7" ht="14.25" x14ac:dyDescent="0.2">
      <c r="A225" s="1" t="s">
        <v>540</v>
      </c>
      <c r="B225" s="1" t="s">
        <v>86</v>
      </c>
      <c r="C225" s="1">
        <v>121774208</v>
      </c>
      <c r="D225" s="1" t="s">
        <v>2491</v>
      </c>
      <c r="E225" s="1" t="s">
        <v>3766</v>
      </c>
      <c r="G225"/>
    </row>
    <row r="226" spans="1:7" ht="14.25" x14ac:dyDescent="0.2">
      <c r="A226" s="1" t="s">
        <v>544</v>
      </c>
      <c r="B226" s="1" t="s">
        <v>86</v>
      </c>
      <c r="C226" s="1">
        <v>121796695</v>
      </c>
      <c r="D226" s="1" t="s">
        <v>2495</v>
      </c>
      <c r="E226" s="1" t="s">
        <v>3766</v>
      </c>
      <c r="G226"/>
    </row>
    <row r="227" spans="1:7" ht="14.25" x14ac:dyDescent="0.2">
      <c r="A227" s="1" t="s">
        <v>1400</v>
      </c>
      <c r="B227" s="1" t="s">
        <v>73</v>
      </c>
      <c r="C227" s="1">
        <v>148622518</v>
      </c>
      <c r="D227" s="1" t="s">
        <v>3202</v>
      </c>
      <c r="E227" s="1" t="s">
        <v>3766</v>
      </c>
      <c r="G227"/>
    </row>
    <row r="228" spans="1:7" ht="12.75" x14ac:dyDescent="0.2">
      <c r="A228" s="1" t="s">
        <v>239</v>
      </c>
      <c r="B228" s="1" t="s">
        <v>121</v>
      </c>
      <c r="C228" s="1">
        <v>3589032</v>
      </c>
      <c r="D228" s="1" t="s">
        <v>2178</v>
      </c>
      <c r="E228" s="1" t="s">
        <v>3768</v>
      </c>
    </row>
    <row r="229" spans="1:7" ht="12.75" x14ac:dyDescent="0.2">
      <c r="A229" s="1" t="s">
        <v>982</v>
      </c>
      <c r="B229" s="1" t="s">
        <v>36</v>
      </c>
      <c r="C229" s="1">
        <v>112831968</v>
      </c>
      <c r="D229" s="1" t="s">
        <v>3362</v>
      </c>
      <c r="E229" s="1" t="s">
        <v>3768</v>
      </c>
    </row>
    <row r="230" spans="1:7" ht="12.75" x14ac:dyDescent="0.2">
      <c r="A230" s="1" t="s">
        <v>1149</v>
      </c>
      <c r="B230" s="1" t="s">
        <v>121</v>
      </c>
      <c r="C230" s="1">
        <v>71963440</v>
      </c>
      <c r="D230" s="1" t="s">
        <v>3383</v>
      </c>
      <c r="E230" s="1" t="s">
        <v>3768</v>
      </c>
    </row>
    <row r="231" spans="1:7" ht="12.75" x14ac:dyDescent="0.2">
      <c r="A231" s="1" t="s">
        <v>240</v>
      </c>
      <c r="B231" s="1" t="s">
        <v>241</v>
      </c>
      <c r="C231" s="1">
        <v>32201356</v>
      </c>
      <c r="D231" s="1" t="s">
        <v>2172</v>
      </c>
      <c r="E231" s="1" t="s">
        <v>3766</v>
      </c>
    </row>
    <row r="232" spans="1:7" ht="12.75" x14ac:dyDescent="0.2">
      <c r="A232" s="1" t="s">
        <v>1155</v>
      </c>
      <c r="B232" s="1" t="s">
        <v>47</v>
      </c>
      <c r="C232" s="1">
        <v>6926368</v>
      </c>
      <c r="D232" s="1" t="s">
        <v>2277</v>
      </c>
      <c r="E232" s="1" t="s">
        <v>3802</v>
      </c>
    </row>
    <row r="233" spans="1:7" ht="12.75" x14ac:dyDescent="0.2">
      <c r="A233" s="1" t="s">
        <v>1242</v>
      </c>
      <c r="B233" s="1" t="s">
        <v>50</v>
      </c>
      <c r="C233" s="1">
        <v>21264952</v>
      </c>
      <c r="D233" s="1" t="s">
        <v>2286</v>
      </c>
      <c r="E233" s="1" t="s">
        <v>3803</v>
      </c>
    </row>
    <row r="234" spans="1:7" ht="12.75" x14ac:dyDescent="0.2">
      <c r="A234" s="1" t="s">
        <v>568</v>
      </c>
      <c r="B234" s="1" t="s">
        <v>569</v>
      </c>
      <c r="C234" s="1">
        <v>53226</v>
      </c>
      <c r="D234" s="1" t="s">
        <v>3322</v>
      </c>
      <c r="E234" s="1" t="s">
        <v>3768</v>
      </c>
    </row>
    <row r="235" spans="1:7" ht="12.75" x14ac:dyDescent="0.2">
      <c r="A235" s="1" t="s">
        <v>161</v>
      </c>
      <c r="B235" s="1" t="s">
        <v>40</v>
      </c>
      <c r="C235" s="1">
        <v>149473130</v>
      </c>
      <c r="D235" s="1" t="s">
        <v>2145</v>
      </c>
      <c r="E235" s="1" t="s">
        <v>3768</v>
      </c>
    </row>
    <row r="236" spans="1:7" ht="12.75" x14ac:dyDescent="0.2">
      <c r="A236" s="1" t="s">
        <v>800</v>
      </c>
      <c r="B236" s="1" t="s">
        <v>103</v>
      </c>
      <c r="C236" s="1">
        <v>144806102</v>
      </c>
      <c r="D236" s="1" t="s">
        <v>2714</v>
      </c>
      <c r="E236" s="1" t="s">
        <v>3784</v>
      </c>
    </row>
    <row r="237" spans="1:7" ht="12.75" x14ac:dyDescent="0.2">
      <c r="A237" s="1" t="s">
        <v>1329</v>
      </c>
      <c r="B237" s="1" t="s">
        <v>241</v>
      </c>
      <c r="C237" s="1">
        <v>46020496</v>
      </c>
      <c r="D237" s="1" t="s">
        <v>2291</v>
      </c>
      <c r="E237" s="1" t="s">
        <v>3804</v>
      </c>
    </row>
    <row r="238" spans="1:7" ht="12.75" x14ac:dyDescent="0.2">
      <c r="A238" s="1" t="s">
        <v>757</v>
      </c>
      <c r="B238" s="1" t="s">
        <v>40</v>
      </c>
      <c r="C238" s="1">
        <v>128530000</v>
      </c>
      <c r="D238" s="1" t="s">
        <v>2248</v>
      </c>
      <c r="E238" s="1" t="s">
        <v>3784</v>
      </c>
    </row>
    <row r="239" spans="1:7" ht="12.75" x14ac:dyDescent="0.2">
      <c r="A239" s="1" t="s">
        <v>671</v>
      </c>
      <c r="B239" s="1" t="s">
        <v>175</v>
      </c>
      <c r="C239" s="1">
        <v>31132113</v>
      </c>
      <c r="D239" s="1" t="s">
        <v>2608</v>
      </c>
      <c r="E239" s="1" t="s">
        <v>3766</v>
      </c>
    </row>
    <row r="240" spans="1:7" ht="12.75" x14ac:dyDescent="0.2">
      <c r="A240" s="1" t="s">
        <v>242</v>
      </c>
      <c r="B240" s="1" t="s">
        <v>103</v>
      </c>
      <c r="C240" s="1">
        <v>6666037</v>
      </c>
      <c r="D240" s="1" t="s">
        <v>2206</v>
      </c>
      <c r="E240" s="1" t="s">
        <v>3768</v>
      </c>
    </row>
    <row r="241" spans="1:5" ht="12.75" x14ac:dyDescent="0.2">
      <c r="A241" s="1" t="s">
        <v>243</v>
      </c>
      <c r="B241" s="1" t="s">
        <v>139</v>
      </c>
      <c r="C241" s="1">
        <v>17698740</v>
      </c>
      <c r="D241" s="1" t="s">
        <v>2186</v>
      </c>
      <c r="E241" s="1" t="s">
        <v>3768</v>
      </c>
    </row>
    <row r="242" spans="1:5" ht="14.25" x14ac:dyDescent="0.2">
      <c r="A242" s="1"/>
      <c r="B242" s="1"/>
      <c r="C242" s="1"/>
      <c r="D242" s="1"/>
    </row>
    <row r="243" spans="1:5" ht="14.25" x14ac:dyDescent="0.2">
      <c r="A243" s="1"/>
      <c r="B243" s="1"/>
      <c r="C243" s="1"/>
      <c r="D243" s="1"/>
    </row>
    <row r="244" spans="1:5" ht="14.25" x14ac:dyDescent="0.2">
      <c r="A244" s="1"/>
      <c r="B244" s="1"/>
      <c r="C244" s="1"/>
      <c r="D244" s="1"/>
    </row>
    <row r="245" spans="1:5" ht="14.25" x14ac:dyDescent="0.2">
      <c r="A245" s="1"/>
      <c r="B245" s="1"/>
      <c r="C245" s="1"/>
      <c r="D245" s="1"/>
    </row>
    <row r="246" spans="1:5" ht="14.25" x14ac:dyDescent="0.2">
      <c r="A246" s="1"/>
      <c r="B246" s="1"/>
      <c r="C246" s="1"/>
      <c r="D246" s="1"/>
    </row>
    <row r="247" spans="1:5" ht="14.25" x14ac:dyDescent="0.2">
      <c r="A247" s="1"/>
      <c r="B247" s="1"/>
      <c r="C247" s="1"/>
      <c r="D247" s="1"/>
    </row>
    <row r="248" spans="1:5" ht="14.25" x14ac:dyDescent="0.2">
      <c r="A248" s="1"/>
      <c r="B248" s="1"/>
      <c r="C248" s="1"/>
      <c r="D248" s="1"/>
    </row>
    <row r="249" spans="1:5" ht="14.25" x14ac:dyDescent="0.2">
      <c r="A249" s="1"/>
      <c r="B249" s="1"/>
      <c r="C249" s="1"/>
      <c r="D249" s="1"/>
    </row>
    <row r="250" spans="1:5" ht="14.25" x14ac:dyDescent="0.2">
      <c r="A250" s="1"/>
      <c r="B250" s="1"/>
      <c r="C250" s="1"/>
      <c r="D250" s="1"/>
    </row>
    <row r="251" spans="1:5" ht="14.25" x14ac:dyDescent="0.2">
      <c r="A251" s="1"/>
      <c r="B251" s="1"/>
      <c r="C251" s="1"/>
      <c r="D251" s="1"/>
    </row>
    <row r="252" spans="1:5" ht="14.25" x14ac:dyDescent="0.2">
      <c r="A252" s="1"/>
      <c r="B252" s="1"/>
      <c r="C252" s="1"/>
      <c r="D252" s="1"/>
    </row>
    <row r="253" spans="1:5" ht="14.25" x14ac:dyDescent="0.2">
      <c r="A253" s="1"/>
      <c r="B253" s="1"/>
      <c r="C253" s="1"/>
      <c r="D253" s="1"/>
    </row>
    <row r="254" spans="1:5" ht="14.25" x14ac:dyDescent="0.2">
      <c r="A254" s="1"/>
      <c r="B254" s="1"/>
      <c r="C254" s="1"/>
      <c r="D254" s="1"/>
    </row>
    <row r="255" spans="1:5" ht="14.25" x14ac:dyDescent="0.2">
      <c r="A255" s="1"/>
      <c r="B255" s="1"/>
      <c r="C255" s="1"/>
      <c r="D255" s="1"/>
    </row>
    <row r="256" spans="1:5" ht="14.25" x14ac:dyDescent="0.2">
      <c r="A256" s="1"/>
      <c r="B256" s="1"/>
      <c r="C256" s="1"/>
      <c r="D256" s="1"/>
    </row>
    <row r="257" spans="1:4" ht="14.25" x14ac:dyDescent="0.2">
      <c r="A257" s="1"/>
      <c r="B257" s="1"/>
      <c r="C257" s="1"/>
      <c r="D257" s="1"/>
    </row>
    <row r="258" spans="1:4" ht="14.25" x14ac:dyDescent="0.2">
      <c r="A258" s="1"/>
      <c r="B258" s="1"/>
      <c r="C258" s="1"/>
      <c r="D258" s="1"/>
    </row>
    <row r="259" spans="1:4" ht="14.25" x14ac:dyDescent="0.2">
      <c r="A259" s="1"/>
      <c r="B259" s="1"/>
      <c r="C259" s="1"/>
      <c r="D259" s="1"/>
    </row>
    <row r="260" spans="1:4" ht="14.25" x14ac:dyDescent="0.2">
      <c r="A260" s="1"/>
      <c r="B260" s="1"/>
      <c r="C260" s="1"/>
      <c r="D260" s="1"/>
    </row>
    <row r="261" spans="1:4" ht="14.25" x14ac:dyDescent="0.2">
      <c r="A261" s="1"/>
      <c r="B261" s="1"/>
      <c r="C261" s="1"/>
      <c r="D261" s="1"/>
    </row>
    <row r="262" spans="1:4" ht="14.25" x14ac:dyDescent="0.2">
      <c r="A262" s="1"/>
      <c r="B262" s="1"/>
      <c r="C262" s="1"/>
      <c r="D262" s="1"/>
    </row>
    <row r="263" spans="1:4" ht="14.25" x14ac:dyDescent="0.2">
      <c r="A263" s="1"/>
      <c r="B263" s="1"/>
      <c r="C263" s="1"/>
      <c r="D263" s="1"/>
    </row>
    <row r="264" spans="1:4" ht="14.25" x14ac:dyDescent="0.2">
      <c r="A264" s="1"/>
      <c r="B264" s="1"/>
      <c r="C264" s="1"/>
      <c r="D264" s="1"/>
    </row>
    <row r="265" spans="1:4" ht="14.25" x14ac:dyDescent="0.2">
      <c r="A265" s="1"/>
      <c r="B265" s="1"/>
      <c r="C265" s="1"/>
      <c r="D265" s="1"/>
    </row>
    <row r="266" spans="1:4" ht="14.25" x14ac:dyDescent="0.2">
      <c r="A266" s="1"/>
      <c r="B266" s="1"/>
      <c r="C266" s="1"/>
      <c r="D266" s="1"/>
    </row>
    <row r="267" spans="1:4" ht="14.25" x14ac:dyDescent="0.2">
      <c r="A267" s="1"/>
      <c r="B267" s="1"/>
      <c r="C267" s="1"/>
      <c r="D267" s="1"/>
    </row>
    <row r="268" spans="1:4" ht="14.25" x14ac:dyDescent="0.2">
      <c r="A268" s="1"/>
      <c r="B268" s="1"/>
      <c r="C268" s="1"/>
      <c r="D268" s="1"/>
    </row>
    <row r="269" spans="1:4" ht="14.25" x14ac:dyDescent="0.2">
      <c r="A269" s="1"/>
      <c r="B269" s="1"/>
      <c r="C269" s="1"/>
      <c r="D269" s="1"/>
    </row>
    <row r="270" spans="1:4" ht="14.25" x14ac:dyDescent="0.2">
      <c r="A270" s="1"/>
      <c r="B270" s="1"/>
      <c r="C270" s="1"/>
      <c r="D270" s="1"/>
    </row>
    <row r="271" spans="1:4" ht="14.25" x14ac:dyDescent="0.2">
      <c r="A271" s="1"/>
      <c r="B271" s="1"/>
      <c r="C271" s="1"/>
      <c r="D271" s="1"/>
    </row>
    <row r="272" spans="1:4" ht="14.25" x14ac:dyDescent="0.2">
      <c r="A272" s="1"/>
      <c r="B272" s="1"/>
      <c r="C272" s="1"/>
      <c r="D272" s="1"/>
    </row>
    <row r="273" spans="1:4" ht="14.25" x14ac:dyDescent="0.2">
      <c r="A273" s="1"/>
      <c r="B273" s="1"/>
      <c r="C273" s="1"/>
      <c r="D273" s="1"/>
    </row>
    <row r="274" spans="1:4" ht="14.25" x14ac:dyDescent="0.2">
      <c r="A274" s="1"/>
      <c r="B274" s="1"/>
      <c r="C274" s="1"/>
      <c r="D274" s="1"/>
    </row>
    <row r="275" spans="1:4" ht="14.25" x14ac:dyDescent="0.2">
      <c r="A275" s="1"/>
      <c r="B275" s="1"/>
      <c r="C275" s="1"/>
      <c r="D275" s="1"/>
    </row>
    <row r="276" spans="1:4" ht="14.25" x14ac:dyDescent="0.2">
      <c r="A276" s="1"/>
      <c r="B276" s="1"/>
      <c r="C276" s="1"/>
      <c r="D276" s="1"/>
    </row>
    <row r="277" spans="1:4" ht="14.25" x14ac:dyDescent="0.2">
      <c r="A277" s="1"/>
      <c r="B277" s="1"/>
      <c r="C277" s="1"/>
      <c r="D277" s="1"/>
    </row>
    <row r="278" spans="1:4" ht="14.25" x14ac:dyDescent="0.2">
      <c r="A278" s="1"/>
      <c r="B278" s="1"/>
      <c r="C278" s="1"/>
      <c r="D278" s="1"/>
    </row>
    <row r="279" spans="1:4" ht="14.25" x14ac:dyDescent="0.2">
      <c r="A279" s="1"/>
      <c r="B279" s="1"/>
      <c r="C279" s="1"/>
      <c r="D279" s="1"/>
    </row>
    <row r="280" spans="1:4" ht="14.25" x14ac:dyDescent="0.2">
      <c r="A280" s="1"/>
      <c r="B280" s="1"/>
      <c r="C280" s="1"/>
      <c r="D280" s="1"/>
    </row>
    <row r="281" spans="1:4" ht="14.25" x14ac:dyDescent="0.2">
      <c r="A281" s="1"/>
      <c r="B281" s="1"/>
      <c r="C281" s="1"/>
      <c r="D281" s="1"/>
    </row>
    <row r="282" spans="1:4" ht="14.25" x14ac:dyDescent="0.2">
      <c r="A282" s="1"/>
      <c r="B282" s="1"/>
      <c r="C282" s="1"/>
      <c r="D282" s="1"/>
    </row>
    <row r="283" spans="1:4" ht="14.25" x14ac:dyDescent="0.2">
      <c r="A283" s="1"/>
      <c r="B283" s="1"/>
      <c r="C283" s="1"/>
      <c r="D283" s="1"/>
    </row>
    <row r="284" spans="1:4" ht="14.25" x14ac:dyDescent="0.2">
      <c r="A284" s="1"/>
      <c r="B284" s="1"/>
      <c r="C284" s="1"/>
      <c r="D284" s="1"/>
    </row>
    <row r="285" spans="1:4" ht="14.25" x14ac:dyDescent="0.2">
      <c r="A285" s="1"/>
      <c r="B285" s="1"/>
      <c r="C285" s="1"/>
      <c r="D285" s="1"/>
    </row>
    <row r="286" spans="1:4" ht="14.25" x14ac:dyDescent="0.2">
      <c r="A286" s="1"/>
      <c r="B286" s="1"/>
      <c r="C286" s="1"/>
      <c r="D286" s="1"/>
    </row>
    <row r="287" spans="1:4" ht="14.25" x14ac:dyDescent="0.2">
      <c r="A287" s="1"/>
      <c r="B287" s="1"/>
      <c r="C287" s="1"/>
      <c r="D287" s="1"/>
    </row>
    <row r="288" spans="1:4" ht="14.25" x14ac:dyDescent="0.2">
      <c r="A288" s="1"/>
      <c r="B288" s="1"/>
      <c r="C288" s="1"/>
      <c r="D288" s="1"/>
    </row>
    <row r="289" spans="1:4" ht="14.25" x14ac:dyDescent="0.2">
      <c r="A289" s="1"/>
      <c r="B289" s="1"/>
      <c r="C289" s="1"/>
      <c r="D289" s="1"/>
    </row>
    <row r="290" spans="1:4" ht="14.25" x14ac:dyDescent="0.2">
      <c r="A290" s="1"/>
      <c r="B290" s="1"/>
      <c r="C290" s="1"/>
      <c r="D290" s="1"/>
    </row>
    <row r="291" spans="1:4" ht="14.25" x14ac:dyDescent="0.2">
      <c r="A291" s="1"/>
      <c r="B291" s="1"/>
      <c r="C291" s="1"/>
      <c r="D291" s="1"/>
    </row>
    <row r="292" spans="1:4" ht="14.25" x14ac:dyDescent="0.2">
      <c r="A292" s="1"/>
      <c r="B292" s="1"/>
      <c r="C292" s="1"/>
      <c r="D292" s="1"/>
    </row>
    <row r="293" spans="1:4" ht="14.25" x14ac:dyDescent="0.2">
      <c r="A293" s="1"/>
      <c r="B293" s="1"/>
      <c r="C293" s="1"/>
      <c r="D293" s="1"/>
    </row>
    <row r="294" spans="1:4" ht="14.25" x14ac:dyDescent="0.2">
      <c r="A294" s="1"/>
      <c r="B294" s="1"/>
      <c r="C294" s="1"/>
      <c r="D294" s="1"/>
    </row>
    <row r="295" spans="1:4" ht="14.25" x14ac:dyDescent="0.2">
      <c r="A295" s="1"/>
      <c r="B295" s="1"/>
      <c r="C295" s="1"/>
      <c r="D295" s="1"/>
    </row>
    <row r="296" spans="1:4" ht="14.25" x14ac:dyDescent="0.2">
      <c r="A296" s="1"/>
      <c r="B296" s="1"/>
      <c r="C296" s="1"/>
      <c r="D296" s="1"/>
    </row>
    <row r="297" spans="1:4" ht="14.25" x14ac:dyDescent="0.2">
      <c r="A297" s="1"/>
      <c r="B297" s="1"/>
      <c r="C297" s="1"/>
      <c r="D297" s="1"/>
    </row>
    <row r="298" spans="1:4" ht="14.25" x14ac:dyDescent="0.2">
      <c r="A298" s="1"/>
      <c r="B298" s="1"/>
      <c r="C298" s="1"/>
      <c r="D298" s="1"/>
    </row>
    <row r="299" spans="1:4" ht="14.25" x14ac:dyDescent="0.2">
      <c r="A299" s="1"/>
      <c r="B299" s="1"/>
      <c r="C299" s="1"/>
      <c r="D299" s="1"/>
    </row>
    <row r="300" spans="1:4" ht="14.25" x14ac:dyDescent="0.2">
      <c r="A300" s="1"/>
      <c r="B300" s="1"/>
      <c r="C300" s="1"/>
      <c r="D300" s="1"/>
    </row>
    <row r="301" spans="1:4" ht="14.25" x14ac:dyDescent="0.2">
      <c r="A301" s="1"/>
      <c r="B301" s="1"/>
      <c r="C301" s="1"/>
      <c r="D301" s="1"/>
    </row>
    <row r="302" spans="1:4" ht="14.25" x14ac:dyDescent="0.2">
      <c r="A302" s="1"/>
      <c r="B302" s="1"/>
      <c r="C302" s="1"/>
      <c r="D302" s="1"/>
    </row>
    <row r="303" spans="1:4" ht="14.25" x14ac:dyDescent="0.2">
      <c r="A303" s="1"/>
      <c r="B303" s="1"/>
      <c r="C303" s="1"/>
      <c r="D303" s="1"/>
    </row>
    <row r="304" spans="1:4" ht="14.25" x14ac:dyDescent="0.2">
      <c r="A304" s="1"/>
      <c r="B304" s="1"/>
      <c r="C304" s="1"/>
      <c r="D304" s="1"/>
    </row>
    <row r="305" spans="1:4" ht="14.25" x14ac:dyDescent="0.2">
      <c r="A305" s="1"/>
      <c r="B305" s="1"/>
      <c r="C305" s="1"/>
      <c r="D305" s="1"/>
    </row>
    <row r="306" spans="1:4" ht="14.25" x14ac:dyDescent="0.2">
      <c r="A306" s="1"/>
      <c r="B306" s="1"/>
      <c r="C306" s="1"/>
      <c r="D306" s="1"/>
    </row>
    <row r="307" spans="1:4" ht="14.25" x14ac:dyDescent="0.2">
      <c r="A307" s="1"/>
      <c r="B307" s="1"/>
      <c r="C307" s="1"/>
      <c r="D307" s="1"/>
    </row>
    <row r="308" spans="1:4" ht="14.25" x14ac:dyDescent="0.2">
      <c r="A308" s="1"/>
      <c r="B308" s="1"/>
      <c r="C308" s="1"/>
      <c r="D308" s="1"/>
    </row>
    <row r="309" spans="1:4" ht="14.25" x14ac:dyDescent="0.2">
      <c r="A309" s="1"/>
      <c r="B309" s="1"/>
      <c r="C309" s="1"/>
      <c r="D309" s="1"/>
    </row>
    <row r="310" spans="1:4" ht="14.25" x14ac:dyDescent="0.2">
      <c r="A310" s="1"/>
      <c r="B310" s="1"/>
      <c r="C310" s="1"/>
      <c r="D310" s="1"/>
    </row>
    <row r="311" spans="1:4" ht="14.25" x14ac:dyDescent="0.2">
      <c r="A311" s="1"/>
      <c r="B311" s="1"/>
      <c r="C311" s="1"/>
      <c r="D311" s="1"/>
    </row>
    <row r="312" spans="1:4" ht="14.25" x14ac:dyDescent="0.2">
      <c r="A312" s="1"/>
      <c r="B312" s="1"/>
      <c r="C312" s="1"/>
      <c r="D312" s="1"/>
    </row>
    <row r="313" spans="1:4" ht="14.25" x14ac:dyDescent="0.2">
      <c r="A313" s="1"/>
      <c r="B313" s="1"/>
      <c r="C313" s="1"/>
      <c r="D313" s="1"/>
    </row>
    <row r="314" spans="1:4" ht="14.25" x14ac:dyDescent="0.2">
      <c r="A314" s="1"/>
      <c r="B314" s="1"/>
      <c r="C314" s="1"/>
      <c r="D314" s="1"/>
    </row>
    <row r="315" spans="1:4" ht="14.25" x14ac:dyDescent="0.2">
      <c r="A315" s="1"/>
      <c r="B315" s="1"/>
      <c r="C315" s="1"/>
      <c r="D315" s="1"/>
    </row>
    <row r="316" spans="1:4" ht="14.25" x14ac:dyDescent="0.2">
      <c r="A316" s="1"/>
      <c r="B316" s="1"/>
      <c r="C316" s="1"/>
      <c r="D316" s="1"/>
    </row>
    <row r="317" spans="1:4" ht="14.25" x14ac:dyDescent="0.2">
      <c r="A317" s="1"/>
      <c r="B317" s="1"/>
      <c r="C317" s="1"/>
      <c r="D317" s="1"/>
    </row>
    <row r="318" spans="1:4" ht="14.25" x14ac:dyDescent="0.2">
      <c r="A318" s="1"/>
      <c r="B318" s="1"/>
      <c r="C318" s="1"/>
      <c r="D318" s="1"/>
    </row>
    <row r="319" spans="1:4" ht="14.25" x14ac:dyDescent="0.2">
      <c r="A319" s="1"/>
      <c r="B319" s="1"/>
      <c r="C319" s="1"/>
      <c r="D319" s="1"/>
    </row>
    <row r="320" spans="1:4" ht="14.25" x14ac:dyDescent="0.2">
      <c r="A320" s="1"/>
      <c r="B320" s="1"/>
      <c r="C320" s="1"/>
      <c r="D320" s="1"/>
    </row>
    <row r="321" spans="1:4" ht="14.25" x14ac:dyDescent="0.2">
      <c r="A321" s="1"/>
      <c r="B321" s="1"/>
      <c r="C321" s="1"/>
      <c r="D321" s="1"/>
    </row>
    <row r="322" spans="1:4" ht="14.25" x14ac:dyDescent="0.2">
      <c r="A322" s="1"/>
      <c r="B322" s="1"/>
      <c r="C322" s="1"/>
      <c r="D322" s="1"/>
    </row>
    <row r="323" spans="1:4" ht="14.25" x14ac:dyDescent="0.2">
      <c r="A323" s="1"/>
      <c r="B323" s="1"/>
      <c r="C323" s="1"/>
      <c r="D323" s="1"/>
    </row>
    <row r="324" spans="1:4" ht="14.25" x14ac:dyDescent="0.2">
      <c r="A324" s="1"/>
      <c r="B324" s="1"/>
      <c r="C324" s="1"/>
      <c r="D324" s="1"/>
    </row>
    <row r="325" spans="1:4" ht="14.25" x14ac:dyDescent="0.2">
      <c r="A325" s="1"/>
      <c r="B325" s="1"/>
      <c r="C325" s="1"/>
      <c r="D325" s="1"/>
    </row>
    <row r="326" spans="1:4" ht="14.25" x14ac:dyDescent="0.2">
      <c r="A326" s="1"/>
      <c r="B326" s="1"/>
      <c r="C326" s="1"/>
      <c r="D326" s="1"/>
    </row>
    <row r="327" spans="1:4" ht="14.25" x14ac:dyDescent="0.2">
      <c r="A327" s="1"/>
      <c r="B327" s="1"/>
      <c r="C327" s="1"/>
      <c r="D327" s="1"/>
    </row>
    <row r="328" spans="1:4" ht="14.25" x14ac:dyDescent="0.2">
      <c r="A328" s="1"/>
      <c r="B328" s="1"/>
      <c r="C328" s="1"/>
      <c r="D328" s="1"/>
    </row>
    <row r="329" spans="1:4" ht="14.25" x14ac:dyDescent="0.2">
      <c r="A329" s="1"/>
      <c r="B329" s="1"/>
      <c r="C329" s="1"/>
      <c r="D329" s="1"/>
    </row>
    <row r="330" spans="1:4" ht="14.25" x14ac:dyDescent="0.2">
      <c r="A330" s="1"/>
      <c r="B330" s="1"/>
      <c r="C330" s="1"/>
      <c r="D330" s="1"/>
    </row>
    <row r="331" spans="1:4" ht="14.25" x14ac:dyDescent="0.2">
      <c r="A331" s="1"/>
      <c r="B331" s="1"/>
      <c r="C331" s="1"/>
      <c r="D331" s="1"/>
    </row>
    <row r="332" spans="1:4" ht="14.25" x14ac:dyDescent="0.2">
      <c r="A332" s="1"/>
      <c r="B332" s="1"/>
      <c r="C332" s="1"/>
      <c r="D332" s="1"/>
    </row>
    <row r="333" spans="1:4" ht="14.25" x14ac:dyDescent="0.2">
      <c r="A333" s="1"/>
      <c r="B333" s="1"/>
      <c r="C333" s="1"/>
      <c r="D333" s="1"/>
    </row>
    <row r="334" spans="1:4" ht="14.25" x14ac:dyDescent="0.2">
      <c r="A334" s="1"/>
      <c r="B334" s="1"/>
      <c r="C334" s="1"/>
      <c r="D334" s="1"/>
    </row>
    <row r="335" spans="1:4" ht="14.25" x14ac:dyDescent="0.2">
      <c r="A335" s="1"/>
      <c r="B335" s="1"/>
      <c r="C335" s="1"/>
      <c r="D335" s="1"/>
    </row>
    <row r="336" spans="1:4" ht="14.25" x14ac:dyDescent="0.2">
      <c r="A336" s="1"/>
      <c r="B336" s="1"/>
      <c r="C336" s="1"/>
      <c r="D336" s="1"/>
    </row>
    <row r="337" spans="1:4" ht="14.25" x14ac:dyDescent="0.2">
      <c r="A337" s="1"/>
      <c r="B337" s="1"/>
      <c r="C337" s="1"/>
      <c r="D337" s="1"/>
    </row>
    <row r="338" spans="1:4" ht="14.25" x14ac:dyDescent="0.2">
      <c r="A338" s="1"/>
      <c r="B338" s="1"/>
      <c r="C338" s="1"/>
      <c r="D338" s="1"/>
    </row>
    <row r="339" spans="1:4" ht="14.25" x14ac:dyDescent="0.2">
      <c r="A339" s="1"/>
      <c r="B339" s="1"/>
      <c r="C339" s="1"/>
      <c r="D339" s="1"/>
    </row>
    <row r="340" spans="1:4" ht="14.25" x14ac:dyDescent="0.2">
      <c r="A340" s="1"/>
      <c r="B340" s="1"/>
      <c r="C340" s="1"/>
      <c r="D340" s="1"/>
    </row>
    <row r="341" spans="1:4" ht="14.25" x14ac:dyDescent="0.2">
      <c r="A341" s="1"/>
      <c r="B341" s="1"/>
      <c r="C341" s="1"/>
      <c r="D341" s="1"/>
    </row>
    <row r="342" spans="1:4" ht="14.25" x14ac:dyDescent="0.2">
      <c r="A342" s="1"/>
      <c r="B342" s="1"/>
      <c r="C342" s="1"/>
      <c r="D342" s="1"/>
    </row>
    <row r="343" spans="1:4" ht="14.25" x14ac:dyDescent="0.2">
      <c r="A343" s="1"/>
      <c r="B343" s="1"/>
      <c r="C343" s="1"/>
      <c r="D343" s="1"/>
    </row>
    <row r="344" spans="1:4" ht="14.25" x14ac:dyDescent="0.2">
      <c r="A344" s="1"/>
      <c r="B344" s="1"/>
      <c r="C344" s="1"/>
      <c r="D344" s="1"/>
    </row>
    <row r="345" spans="1:4" ht="14.25" x14ac:dyDescent="0.2">
      <c r="A345" s="1"/>
      <c r="B345" s="1"/>
      <c r="C345" s="1"/>
      <c r="D345" s="1"/>
    </row>
    <row r="346" spans="1:4" ht="14.25" x14ac:dyDescent="0.2">
      <c r="A346" s="1"/>
      <c r="B346" s="1"/>
      <c r="C346" s="1"/>
      <c r="D346" s="1"/>
    </row>
    <row r="347" spans="1:4" ht="14.25" x14ac:dyDescent="0.2">
      <c r="A347" s="1"/>
      <c r="B347" s="1"/>
      <c r="C347" s="1"/>
      <c r="D347" s="1"/>
    </row>
    <row r="348" spans="1:4" ht="14.25" x14ac:dyDescent="0.2">
      <c r="A348" s="1"/>
      <c r="B348" s="1"/>
      <c r="C348" s="1"/>
      <c r="D348" s="1"/>
    </row>
    <row r="349" spans="1:4" ht="14.25" x14ac:dyDescent="0.2">
      <c r="A349" s="1"/>
      <c r="B349" s="1"/>
      <c r="C349" s="1"/>
      <c r="D349" s="1"/>
    </row>
    <row r="350" spans="1:4" ht="14.25" x14ac:dyDescent="0.2">
      <c r="A350" s="1"/>
      <c r="B350" s="1"/>
      <c r="C350" s="1"/>
      <c r="D350" s="1"/>
    </row>
    <row r="351" spans="1:4" ht="14.25" x14ac:dyDescent="0.2">
      <c r="A351" s="1"/>
      <c r="B351" s="1"/>
      <c r="C351" s="1"/>
      <c r="D351" s="1"/>
    </row>
    <row r="352" spans="1:4" ht="14.25" x14ac:dyDescent="0.2">
      <c r="A352" s="1"/>
      <c r="B352" s="1"/>
      <c r="C352" s="1"/>
      <c r="D352" s="1"/>
    </row>
    <row r="353" spans="1:4" ht="14.25" x14ac:dyDescent="0.2">
      <c r="A353" s="1"/>
      <c r="B353" s="1"/>
      <c r="C353" s="1"/>
      <c r="D353" s="1"/>
    </row>
    <row r="354" spans="1:4" ht="14.25" x14ac:dyDescent="0.2">
      <c r="A354" s="1"/>
      <c r="B354" s="1"/>
      <c r="C354" s="1"/>
      <c r="D354" s="1"/>
    </row>
    <row r="355" spans="1:4" ht="14.25" x14ac:dyDescent="0.2">
      <c r="A355" s="1"/>
      <c r="B355" s="1"/>
      <c r="C355" s="1"/>
      <c r="D355" s="1"/>
    </row>
    <row r="356" spans="1:4" ht="14.25" x14ac:dyDescent="0.2">
      <c r="A356" s="1"/>
      <c r="B356" s="1"/>
      <c r="C356" s="1"/>
      <c r="D356" s="1"/>
    </row>
    <row r="357" spans="1:4" ht="14.25" x14ac:dyDescent="0.2">
      <c r="A357" s="1"/>
      <c r="B357" s="1"/>
      <c r="C357" s="1"/>
      <c r="D357" s="1"/>
    </row>
    <row r="358" spans="1:4" ht="14.25" x14ac:dyDescent="0.2">
      <c r="A358" s="1"/>
      <c r="B358" s="1"/>
      <c r="C358" s="1"/>
      <c r="D358" s="1"/>
    </row>
    <row r="359" spans="1:4" ht="14.25" x14ac:dyDescent="0.2">
      <c r="A359" s="1"/>
      <c r="B359" s="1"/>
      <c r="C359" s="1"/>
      <c r="D359" s="1"/>
    </row>
    <row r="360" spans="1:4" ht="14.25" x14ac:dyDescent="0.2">
      <c r="A360" s="1"/>
      <c r="B360" s="1"/>
      <c r="C360" s="1"/>
      <c r="D360" s="1"/>
    </row>
    <row r="361" spans="1:4" ht="14.25" x14ac:dyDescent="0.2">
      <c r="A361" s="1"/>
      <c r="B361" s="1"/>
      <c r="C361" s="1"/>
      <c r="D361" s="1"/>
    </row>
    <row r="362" spans="1:4" ht="14.25" x14ac:dyDescent="0.2">
      <c r="A362" s="1"/>
      <c r="B362" s="1"/>
      <c r="C362" s="1"/>
      <c r="D362" s="1"/>
    </row>
    <row r="363" spans="1:4" ht="14.25" x14ac:dyDescent="0.2">
      <c r="A363" s="1"/>
      <c r="B363" s="1"/>
      <c r="C363" s="1"/>
      <c r="D363" s="1"/>
    </row>
    <row r="364" spans="1:4" ht="14.25" x14ac:dyDescent="0.2">
      <c r="A364" s="1"/>
      <c r="B364" s="1"/>
      <c r="C364" s="1"/>
      <c r="D364" s="1"/>
    </row>
    <row r="365" spans="1:4" ht="14.25" x14ac:dyDescent="0.2">
      <c r="A365" s="1"/>
      <c r="B365" s="1"/>
      <c r="C365" s="1"/>
      <c r="D365" s="1"/>
    </row>
    <row r="366" spans="1:4" ht="14.25" x14ac:dyDescent="0.2">
      <c r="A366" s="1"/>
      <c r="B366" s="1"/>
      <c r="C366" s="1"/>
      <c r="D366" s="1"/>
    </row>
    <row r="367" spans="1:4" ht="14.25" x14ac:dyDescent="0.2">
      <c r="A367" s="1"/>
      <c r="B367" s="1"/>
      <c r="C367" s="1"/>
      <c r="D367" s="1"/>
    </row>
    <row r="368" spans="1:4" ht="14.25" x14ac:dyDescent="0.2">
      <c r="A368" s="1"/>
      <c r="B368" s="1"/>
      <c r="C368" s="1"/>
      <c r="D368" s="1"/>
    </row>
    <row r="369" spans="1:4" ht="14.25" x14ac:dyDescent="0.2">
      <c r="A369" s="1"/>
      <c r="B369" s="1"/>
      <c r="C369" s="1"/>
      <c r="D369" s="1"/>
    </row>
    <row r="370" spans="1:4" ht="14.25" x14ac:dyDescent="0.2">
      <c r="A370" s="1"/>
      <c r="B370" s="1"/>
      <c r="C370" s="1"/>
      <c r="D370" s="1"/>
    </row>
    <row r="371" spans="1:4" ht="14.25" x14ac:dyDescent="0.2">
      <c r="A371" s="1"/>
      <c r="B371" s="1"/>
      <c r="C371" s="1"/>
      <c r="D371" s="1"/>
    </row>
    <row r="372" spans="1:4" ht="14.25" x14ac:dyDescent="0.2">
      <c r="A372" s="1"/>
      <c r="B372" s="1"/>
      <c r="C372" s="1"/>
      <c r="D372" s="1"/>
    </row>
    <row r="373" spans="1:4" ht="14.25" x14ac:dyDescent="0.2">
      <c r="A373" s="1"/>
      <c r="B373" s="1"/>
      <c r="C373" s="1"/>
      <c r="D373" s="1"/>
    </row>
    <row r="374" spans="1:4" ht="14.25" x14ac:dyDescent="0.2">
      <c r="A374" s="1"/>
      <c r="B374" s="1"/>
      <c r="C374" s="1"/>
      <c r="D374" s="1"/>
    </row>
    <row r="375" spans="1:4" ht="14.25" x14ac:dyDescent="0.2">
      <c r="A375" s="1"/>
      <c r="B375" s="1"/>
      <c r="C375" s="1"/>
      <c r="D375" s="1"/>
    </row>
    <row r="376" spans="1:4" ht="14.25" x14ac:dyDescent="0.2">
      <c r="A376" s="1"/>
      <c r="B376" s="1"/>
      <c r="C376" s="1"/>
      <c r="D376" s="1"/>
    </row>
    <row r="377" spans="1:4" ht="14.25" x14ac:dyDescent="0.2">
      <c r="A377" s="1"/>
      <c r="B377" s="1"/>
      <c r="C377" s="1"/>
      <c r="D377" s="1"/>
    </row>
    <row r="378" spans="1:4" ht="14.25" x14ac:dyDescent="0.2">
      <c r="A378" s="1"/>
      <c r="B378" s="1"/>
      <c r="C378" s="1"/>
      <c r="D378" s="1"/>
    </row>
    <row r="379" spans="1:4" ht="14.25" x14ac:dyDescent="0.2">
      <c r="A379" s="1"/>
      <c r="B379" s="1"/>
      <c r="C379" s="1"/>
      <c r="D379" s="1"/>
    </row>
    <row r="380" spans="1:4" ht="14.25" x14ac:dyDescent="0.2">
      <c r="A380" s="1"/>
      <c r="B380" s="1"/>
      <c r="C380" s="1"/>
      <c r="D380" s="1"/>
    </row>
    <row r="381" spans="1:4" ht="14.25" x14ac:dyDescent="0.2">
      <c r="A381" s="1"/>
      <c r="B381" s="1"/>
      <c r="C381" s="1"/>
      <c r="D381" s="1"/>
    </row>
    <row r="382" spans="1:4" ht="14.25" x14ac:dyDescent="0.2">
      <c r="A382" s="1"/>
      <c r="B382" s="1"/>
      <c r="C382" s="1"/>
      <c r="D382" s="1"/>
    </row>
    <row r="383" spans="1:4" ht="14.25" x14ac:dyDescent="0.2">
      <c r="A383" s="1"/>
      <c r="B383" s="1"/>
      <c r="C383" s="1"/>
      <c r="D383" s="1"/>
    </row>
    <row r="384" spans="1:4" ht="14.25" x14ac:dyDescent="0.2">
      <c r="A384" s="1"/>
      <c r="B384" s="1"/>
      <c r="C384" s="1"/>
      <c r="D384" s="1"/>
    </row>
    <row r="385" spans="1:4" ht="14.25" x14ac:dyDescent="0.2">
      <c r="A385" s="1"/>
      <c r="B385" s="1"/>
      <c r="C385" s="1"/>
      <c r="D385" s="1"/>
    </row>
    <row r="386" spans="1:4" ht="14.25" x14ac:dyDescent="0.2">
      <c r="A386" s="1"/>
      <c r="B386" s="1"/>
      <c r="C386" s="1"/>
      <c r="D386" s="1"/>
    </row>
    <row r="387" spans="1:4" ht="14.25" x14ac:dyDescent="0.2">
      <c r="A387" s="1"/>
      <c r="B387" s="1"/>
      <c r="C387" s="1"/>
      <c r="D387" s="1"/>
    </row>
    <row r="388" spans="1:4" ht="14.25" x14ac:dyDescent="0.2">
      <c r="A388" s="1"/>
      <c r="B388" s="1"/>
      <c r="C388" s="1"/>
      <c r="D388" s="1"/>
    </row>
    <row r="389" spans="1:4" ht="14.25" x14ac:dyDescent="0.2">
      <c r="A389" s="1"/>
      <c r="B389" s="1"/>
      <c r="C389" s="1"/>
      <c r="D389" s="1"/>
    </row>
    <row r="390" spans="1:4" ht="14.25" x14ac:dyDescent="0.2">
      <c r="A390" s="1"/>
      <c r="B390" s="1"/>
      <c r="C390" s="1"/>
      <c r="D390" s="1"/>
    </row>
    <row r="391" spans="1:4" ht="14.25" x14ac:dyDescent="0.2">
      <c r="A391" s="1"/>
      <c r="B391" s="1"/>
      <c r="C391" s="1"/>
      <c r="D391" s="1"/>
    </row>
    <row r="392" spans="1:4" ht="14.25" x14ac:dyDescent="0.2">
      <c r="A392" s="1"/>
      <c r="B392" s="1"/>
      <c r="C392" s="1"/>
      <c r="D392" s="1"/>
    </row>
    <row r="393" spans="1:4" ht="14.25" x14ac:dyDescent="0.2">
      <c r="A393" s="1"/>
      <c r="B393" s="1"/>
      <c r="C393" s="1"/>
      <c r="D393" s="1"/>
    </row>
    <row r="394" spans="1:4" ht="14.25" x14ac:dyDescent="0.2">
      <c r="A394" s="1"/>
      <c r="B394" s="1"/>
      <c r="C394" s="1"/>
      <c r="D394" s="1"/>
    </row>
    <row r="395" spans="1:4" ht="14.25" x14ac:dyDescent="0.2">
      <c r="A395" s="1"/>
      <c r="B395" s="1"/>
      <c r="C395" s="1"/>
      <c r="D395" s="1"/>
    </row>
    <row r="396" spans="1:4" ht="14.25" x14ac:dyDescent="0.2">
      <c r="A396" s="1"/>
      <c r="B396" s="1"/>
      <c r="C396" s="1"/>
      <c r="D396" s="1"/>
    </row>
    <row r="397" spans="1:4" ht="14.25" x14ac:dyDescent="0.2">
      <c r="A397" s="1"/>
      <c r="B397" s="1"/>
      <c r="C397" s="1"/>
      <c r="D397" s="1"/>
    </row>
    <row r="398" spans="1:4" ht="14.25" x14ac:dyDescent="0.2">
      <c r="A398" s="1"/>
      <c r="B398" s="1"/>
      <c r="C398" s="1"/>
      <c r="D398" s="1"/>
    </row>
    <row r="399" spans="1:4" ht="14.25" x14ac:dyDescent="0.2">
      <c r="A399" s="1"/>
      <c r="B399" s="1"/>
      <c r="C399" s="1"/>
      <c r="D399" s="1"/>
    </row>
    <row r="400" spans="1:4" ht="14.25" x14ac:dyDescent="0.2">
      <c r="A400" s="1"/>
      <c r="B400" s="1"/>
      <c r="C400" s="1"/>
      <c r="D400" s="1"/>
    </row>
    <row r="401" spans="1:4" ht="14.25" x14ac:dyDescent="0.2">
      <c r="A401" s="1"/>
      <c r="B401" s="1"/>
      <c r="C401" s="1"/>
      <c r="D401" s="1"/>
    </row>
    <row r="402" spans="1:4" ht="14.25" x14ac:dyDescent="0.2">
      <c r="A402" s="1"/>
      <c r="B402" s="1"/>
      <c r="C402" s="1"/>
      <c r="D402" s="1"/>
    </row>
    <row r="403" spans="1:4" ht="14.25" x14ac:dyDescent="0.2">
      <c r="A403" s="1"/>
      <c r="B403" s="1"/>
      <c r="C403" s="1"/>
      <c r="D403" s="1"/>
    </row>
    <row r="404" spans="1:4" ht="14.25" x14ac:dyDescent="0.2">
      <c r="A404" s="1"/>
      <c r="B404" s="1"/>
      <c r="C404" s="1"/>
      <c r="D404" s="1"/>
    </row>
    <row r="405" spans="1:4" ht="14.25" x14ac:dyDescent="0.2">
      <c r="A405" s="1"/>
      <c r="B405" s="1"/>
      <c r="C405" s="1"/>
      <c r="D405" s="1"/>
    </row>
    <row r="406" spans="1:4" ht="14.25" x14ac:dyDescent="0.2">
      <c r="A406" s="1"/>
      <c r="B406" s="1"/>
      <c r="C406" s="1"/>
      <c r="D406" s="1"/>
    </row>
    <row r="407" spans="1:4" ht="14.25" x14ac:dyDescent="0.2">
      <c r="A407" s="1"/>
      <c r="B407" s="1"/>
      <c r="C407" s="1"/>
      <c r="D407" s="1"/>
    </row>
    <row r="408" spans="1:4" ht="14.25" x14ac:dyDescent="0.2">
      <c r="A408" s="1"/>
      <c r="B408" s="1"/>
      <c r="C408" s="1"/>
      <c r="D408" s="1"/>
    </row>
    <row r="409" spans="1:4" ht="14.25" x14ac:dyDescent="0.2">
      <c r="A409" s="1"/>
      <c r="B409" s="1"/>
      <c r="C409" s="1"/>
      <c r="D409" s="1"/>
    </row>
    <row r="410" spans="1:4" ht="14.25" x14ac:dyDescent="0.2">
      <c r="A410" s="1"/>
      <c r="B410" s="1"/>
      <c r="C410" s="1"/>
      <c r="D410" s="1"/>
    </row>
    <row r="411" spans="1:4" ht="14.25" x14ac:dyDescent="0.2">
      <c r="A411" s="1"/>
      <c r="B411" s="1"/>
      <c r="C411" s="1"/>
      <c r="D411" s="1"/>
    </row>
    <row r="412" spans="1:4" ht="14.25" x14ac:dyDescent="0.2">
      <c r="A412" s="1"/>
      <c r="B412" s="1"/>
      <c r="C412" s="1"/>
      <c r="D412" s="1"/>
    </row>
    <row r="413" spans="1:4" ht="14.25" x14ac:dyDescent="0.2">
      <c r="A413" s="1"/>
      <c r="B413" s="1"/>
      <c r="C413" s="1"/>
      <c r="D413" s="1"/>
    </row>
    <row r="414" spans="1:4" ht="14.25" x14ac:dyDescent="0.2">
      <c r="A414" s="1"/>
      <c r="B414" s="1"/>
      <c r="C414" s="1"/>
      <c r="D414" s="1"/>
    </row>
    <row r="415" spans="1:4" ht="14.25" x14ac:dyDescent="0.2">
      <c r="A415" s="1"/>
      <c r="B415" s="1"/>
      <c r="C415" s="1"/>
      <c r="D415" s="1"/>
    </row>
    <row r="416" spans="1:4" ht="14.25" x14ac:dyDescent="0.2">
      <c r="A416" s="1"/>
      <c r="B416" s="1"/>
      <c r="C416" s="1"/>
      <c r="D416" s="1"/>
    </row>
    <row r="417" spans="1:4" ht="14.25" x14ac:dyDescent="0.2">
      <c r="A417" s="1"/>
      <c r="B417" s="1"/>
      <c r="C417" s="1"/>
      <c r="D417" s="1"/>
    </row>
    <row r="418" spans="1:4" ht="14.25" x14ac:dyDescent="0.2">
      <c r="A418" s="1"/>
      <c r="B418" s="1"/>
      <c r="C418" s="1"/>
      <c r="D418" s="1"/>
    </row>
    <row r="419" spans="1:4" ht="14.25" x14ac:dyDescent="0.2">
      <c r="A419" s="1"/>
      <c r="B419" s="1"/>
      <c r="C419" s="1"/>
      <c r="D419" s="1"/>
    </row>
    <row r="420" spans="1:4" ht="14.25" x14ac:dyDescent="0.2">
      <c r="A420" s="1"/>
      <c r="B420" s="1"/>
      <c r="C420" s="1"/>
      <c r="D420" s="1"/>
    </row>
    <row r="421" spans="1:4" ht="14.25" x14ac:dyDescent="0.2">
      <c r="A421" s="1"/>
      <c r="B421" s="1"/>
      <c r="C421" s="1"/>
      <c r="D421" s="1"/>
    </row>
    <row r="422" spans="1:4" ht="14.25" x14ac:dyDescent="0.2">
      <c r="A422" s="1"/>
      <c r="B422" s="1"/>
      <c r="C422" s="1"/>
      <c r="D422" s="1"/>
    </row>
    <row r="423" spans="1:4" ht="14.25" x14ac:dyDescent="0.2">
      <c r="A423" s="1"/>
      <c r="B423" s="1"/>
      <c r="C423" s="1"/>
      <c r="D423" s="1"/>
    </row>
    <row r="424" spans="1:4" ht="14.25" x14ac:dyDescent="0.2">
      <c r="A424" s="1"/>
      <c r="B424" s="1"/>
      <c r="C424" s="1"/>
      <c r="D424" s="1"/>
    </row>
    <row r="425" spans="1:4" ht="14.25" x14ac:dyDescent="0.2">
      <c r="A425" s="1"/>
      <c r="B425" s="1"/>
      <c r="C425" s="1"/>
      <c r="D425" s="1"/>
    </row>
    <row r="426" spans="1:4" ht="14.25" x14ac:dyDescent="0.2">
      <c r="A426" s="1"/>
      <c r="B426" s="1"/>
      <c r="C426" s="1"/>
      <c r="D426" s="1"/>
    </row>
    <row r="427" spans="1:4" ht="14.25" x14ac:dyDescent="0.2">
      <c r="A427" s="1"/>
      <c r="B427" s="1"/>
      <c r="C427" s="1"/>
      <c r="D427" s="1"/>
    </row>
    <row r="428" spans="1:4" ht="14.25" x14ac:dyDescent="0.2">
      <c r="A428" s="1"/>
      <c r="B428" s="1"/>
      <c r="C428" s="1"/>
      <c r="D428" s="1"/>
    </row>
    <row r="429" spans="1:4" ht="14.25" x14ac:dyDescent="0.2">
      <c r="A429" s="1"/>
      <c r="B429" s="1"/>
      <c r="C429" s="1"/>
      <c r="D429" s="1"/>
    </row>
    <row r="430" spans="1:4" ht="14.25" x14ac:dyDescent="0.2">
      <c r="A430" s="1"/>
      <c r="B430" s="1"/>
      <c r="C430" s="1"/>
      <c r="D430" s="1"/>
    </row>
    <row r="431" spans="1:4" ht="14.25" x14ac:dyDescent="0.2">
      <c r="A431" s="1"/>
      <c r="B431" s="1"/>
      <c r="C431" s="1"/>
      <c r="D431" s="1"/>
    </row>
    <row r="432" spans="1:4" ht="14.25" x14ac:dyDescent="0.2">
      <c r="A432" s="1"/>
      <c r="B432" s="1"/>
      <c r="C432" s="1"/>
      <c r="D432" s="1"/>
    </row>
    <row r="433" spans="1:4" ht="14.25" x14ac:dyDescent="0.2">
      <c r="A433" s="1"/>
      <c r="B433" s="1"/>
      <c r="C433" s="1"/>
      <c r="D433" s="1"/>
    </row>
    <row r="434" spans="1:4" ht="14.25" x14ac:dyDescent="0.2">
      <c r="A434" s="1"/>
      <c r="B434" s="1"/>
      <c r="C434" s="1"/>
      <c r="D434" s="1"/>
    </row>
    <row r="435" spans="1:4" ht="14.25" x14ac:dyDescent="0.2">
      <c r="A435" s="1"/>
      <c r="B435" s="1"/>
      <c r="C435" s="1"/>
      <c r="D435" s="1"/>
    </row>
    <row r="436" spans="1:4" ht="14.25" x14ac:dyDescent="0.2">
      <c r="A436" s="1"/>
      <c r="B436" s="1"/>
      <c r="C436" s="1"/>
      <c r="D436" s="1"/>
    </row>
    <row r="437" spans="1:4" ht="14.25" x14ac:dyDescent="0.2">
      <c r="A437" s="1"/>
      <c r="B437" s="1"/>
      <c r="C437" s="1"/>
      <c r="D437" s="1"/>
    </row>
    <row r="438" spans="1:4" ht="14.25" x14ac:dyDescent="0.2">
      <c r="A438" s="1"/>
      <c r="B438" s="1"/>
      <c r="C438" s="1"/>
      <c r="D438" s="1"/>
    </row>
    <row r="439" spans="1:4" ht="14.25" x14ac:dyDescent="0.2">
      <c r="A439" s="1"/>
      <c r="B439" s="1"/>
      <c r="C439" s="1"/>
      <c r="D439" s="1"/>
    </row>
    <row r="440" spans="1:4" ht="14.25" x14ac:dyDescent="0.2">
      <c r="A440" s="1"/>
      <c r="B440" s="1"/>
      <c r="C440" s="1"/>
      <c r="D440" s="1"/>
    </row>
    <row r="441" spans="1:4" ht="14.25" x14ac:dyDescent="0.2">
      <c r="A441" s="1"/>
      <c r="B441" s="1"/>
      <c r="C441" s="1"/>
      <c r="D441" s="1"/>
    </row>
    <row r="442" spans="1:4" ht="14.25" x14ac:dyDescent="0.2">
      <c r="A442" s="1"/>
      <c r="B442" s="1"/>
      <c r="C442" s="1"/>
      <c r="D442" s="1"/>
    </row>
    <row r="443" spans="1:4" ht="14.25" x14ac:dyDescent="0.2">
      <c r="A443" s="1"/>
      <c r="B443" s="1"/>
      <c r="C443" s="1"/>
      <c r="D443" s="1"/>
    </row>
    <row r="444" spans="1:4" ht="14.25" x14ac:dyDescent="0.2">
      <c r="A444" s="1"/>
      <c r="B444" s="1"/>
      <c r="C444" s="1"/>
      <c r="D444" s="1"/>
    </row>
    <row r="445" spans="1:4" ht="14.25" x14ac:dyDescent="0.2">
      <c r="A445" s="1"/>
      <c r="B445" s="1"/>
      <c r="C445" s="1"/>
      <c r="D445" s="1"/>
    </row>
    <row r="446" spans="1:4" ht="14.25" x14ac:dyDescent="0.2">
      <c r="A446" s="1"/>
      <c r="B446" s="1"/>
      <c r="C446" s="1"/>
      <c r="D446" s="1"/>
    </row>
    <row r="447" spans="1:4" ht="14.25" x14ac:dyDescent="0.2">
      <c r="A447" s="1"/>
      <c r="B447" s="1"/>
      <c r="C447" s="1"/>
      <c r="D447" s="1"/>
    </row>
    <row r="448" spans="1:4" ht="14.25" x14ac:dyDescent="0.2">
      <c r="A448" s="1"/>
      <c r="B448" s="1"/>
      <c r="C448" s="1"/>
      <c r="D448" s="1"/>
    </row>
    <row r="449" spans="1:4" ht="14.25" x14ac:dyDescent="0.2">
      <c r="A449" s="1"/>
      <c r="B449" s="1"/>
      <c r="C449" s="1"/>
      <c r="D449" s="1"/>
    </row>
    <row r="450" spans="1:4" ht="14.25" x14ac:dyDescent="0.2">
      <c r="A450" s="1"/>
      <c r="B450" s="1"/>
      <c r="C450" s="1"/>
      <c r="D450" s="1"/>
    </row>
    <row r="451" spans="1:4" ht="14.25" x14ac:dyDescent="0.2">
      <c r="A451" s="1"/>
      <c r="B451" s="1"/>
      <c r="C451" s="1"/>
      <c r="D451" s="1"/>
    </row>
    <row r="452" spans="1:4" ht="14.25" x14ac:dyDescent="0.2">
      <c r="A452" s="1"/>
      <c r="B452" s="1"/>
      <c r="C452" s="1"/>
      <c r="D452" s="1"/>
    </row>
    <row r="453" spans="1:4" ht="14.25" x14ac:dyDescent="0.2">
      <c r="A453" s="1"/>
      <c r="B453" s="1"/>
      <c r="C453" s="1"/>
      <c r="D453" s="1"/>
    </row>
    <row r="454" spans="1:4" ht="14.25" x14ac:dyDescent="0.2">
      <c r="A454" s="1"/>
      <c r="B454" s="1"/>
      <c r="C454" s="1"/>
      <c r="D454" s="1"/>
    </row>
    <row r="455" spans="1:4" ht="14.25" x14ac:dyDescent="0.2">
      <c r="A455" s="1"/>
      <c r="B455" s="1"/>
      <c r="C455" s="1"/>
      <c r="D455" s="1"/>
    </row>
    <row r="456" spans="1:4" ht="14.25" x14ac:dyDescent="0.2">
      <c r="A456" s="1"/>
      <c r="B456" s="1"/>
      <c r="C456" s="1"/>
      <c r="D456" s="1"/>
    </row>
    <row r="457" spans="1:4" ht="14.25" x14ac:dyDescent="0.2">
      <c r="A457" s="1"/>
      <c r="B457" s="1"/>
      <c r="C457" s="1"/>
      <c r="D457" s="1"/>
    </row>
    <row r="458" spans="1:4" ht="14.25" x14ac:dyDescent="0.2">
      <c r="A458" s="1"/>
      <c r="B458" s="1"/>
      <c r="C458" s="1"/>
      <c r="D458" s="1"/>
    </row>
    <row r="459" spans="1:4" ht="14.25" x14ac:dyDescent="0.2">
      <c r="A459" s="1"/>
      <c r="B459" s="1"/>
      <c r="C459" s="1"/>
      <c r="D459" s="1"/>
    </row>
    <row r="460" spans="1:4" ht="14.25" x14ac:dyDescent="0.2">
      <c r="A460" s="1"/>
      <c r="B460" s="1"/>
      <c r="C460" s="1"/>
      <c r="D460" s="1"/>
    </row>
    <row r="461" spans="1:4" ht="14.25" x14ac:dyDescent="0.2">
      <c r="A461" s="1"/>
      <c r="B461" s="1"/>
      <c r="C461" s="1"/>
      <c r="D461" s="1"/>
    </row>
    <row r="462" spans="1:4" ht="14.25" x14ac:dyDescent="0.2">
      <c r="A462" s="1"/>
      <c r="B462" s="1"/>
      <c r="C462" s="1"/>
      <c r="D462" s="1"/>
    </row>
    <row r="463" spans="1:4" ht="14.25" x14ac:dyDescent="0.2">
      <c r="A463" s="1"/>
      <c r="B463" s="1"/>
      <c r="C463" s="1"/>
      <c r="D463" s="1"/>
    </row>
    <row r="464" spans="1:4" ht="14.25" x14ac:dyDescent="0.2">
      <c r="A464" s="1"/>
      <c r="B464" s="1"/>
      <c r="C464" s="1"/>
      <c r="D464" s="1"/>
    </row>
    <row r="465" spans="1:4" ht="14.25" x14ac:dyDescent="0.2">
      <c r="A465" s="1"/>
      <c r="B465" s="1"/>
      <c r="C465" s="1"/>
      <c r="D465" s="1"/>
    </row>
    <row r="466" spans="1:4" ht="14.25" x14ac:dyDescent="0.2">
      <c r="A466" s="1"/>
      <c r="B466" s="1"/>
      <c r="C466" s="1"/>
      <c r="D466" s="1"/>
    </row>
    <row r="467" spans="1:4" ht="14.25" x14ac:dyDescent="0.2">
      <c r="A467" s="1"/>
      <c r="B467" s="1"/>
      <c r="C467" s="1"/>
      <c r="D467" s="1"/>
    </row>
    <row r="468" spans="1:4" ht="14.25" x14ac:dyDescent="0.2">
      <c r="A468" s="1"/>
      <c r="B468" s="1"/>
      <c r="C468" s="1"/>
      <c r="D468" s="1"/>
    </row>
    <row r="469" spans="1:4" ht="14.25" x14ac:dyDescent="0.2">
      <c r="A469" s="1"/>
      <c r="B469" s="1"/>
      <c r="C469" s="1"/>
      <c r="D469" s="1"/>
    </row>
    <row r="470" spans="1:4" ht="14.25" x14ac:dyDescent="0.2">
      <c r="A470" s="1"/>
      <c r="B470" s="1"/>
      <c r="C470" s="1"/>
      <c r="D470" s="1"/>
    </row>
    <row r="471" spans="1:4" ht="14.25" x14ac:dyDescent="0.2">
      <c r="A471" s="1"/>
      <c r="B471" s="1"/>
      <c r="C471" s="1"/>
      <c r="D471" s="1"/>
    </row>
    <row r="472" spans="1:4" ht="14.25" x14ac:dyDescent="0.2">
      <c r="A472" s="1"/>
      <c r="B472" s="1"/>
      <c r="C472" s="1"/>
      <c r="D472" s="1"/>
    </row>
    <row r="473" spans="1:4" ht="14.25" x14ac:dyDescent="0.2">
      <c r="A473" s="1"/>
      <c r="B473" s="1"/>
      <c r="C473" s="1"/>
      <c r="D473" s="1"/>
    </row>
    <row r="474" spans="1:4" ht="14.25" x14ac:dyDescent="0.2">
      <c r="A474" s="1"/>
      <c r="B474" s="1"/>
      <c r="C474" s="1"/>
      <c r="D474" s="1"/>
    </row>
    <row r="475" spans="1:4" ht="14.25" x14ac:dyDescent="0.2">
      <c r="A475" s="1"/>
      <c r="B475" s="1"/>
      <c r="C475" s="1"/>
      <c r="D475" s="1"/>
    </row>
    <row r="476" spans="1:4" ht="14.25" x14ac:dyDescent="0.2">
      <c r="A476" s="1"/>
      <c r="B476" s="1"/>
      <c r="C476" s="1"/>
      <c r="D476" s="1"/>
    </row>
    <row r="477" spans="1:4" ht="14.25" x14ac:dyDescent="0.2">
      <c r="A477" s="1"/>
      <c r="B477" s="1"/>
      <c r="C477" s="1"/>
      <c r="D477" s="1"/>
    </row>
    <row r="478" spans="1:4" ht="14.25" x14ac:dyDescent="0.2">
      <c r="A478" s="1"/>
      <c r="B478" s="1"/>
      <c r="C478" s="1"/>
      <c r="D478" s="1"/>
    </row>
    <row r="479" spans="1:4" ht="14.25" x14ac:dyDescent="0.2">
      <c r="A479" s="1"/>
      <c r="B479" s="1"/>
      <c r="C479" s="1"/>
      <c r="D479" s="1"/>
    </row>
    <row r="480" spans="1:4" ht="14.25" x14ac:dyDescent="0.2">
      <c r="A480" s="1"/>
      <c r="B480" s="1"/>
      <c r="C480" s="1"/>
      <c r="D480" s="1"/>
    </row>
    <row r="481" spans="1:4" ht="14.25" x14ac:dyDescent="0.2">
      <c r="A481" s="1"/>
      <c r="B481" s="1"/>
      <c r="C481" s="1"/>
      <c r="D481" s="1"/>
    </row>
    <row r="482" spans="1:4" ht="14.25" x14ac:dyDescent="0.2">
      <c r="A482" s="1"/>
      <c r="B482" s="1"/>
      <c r="C482" s="1"/>
      <c r="D482" s="1"/>
    </row>
    <row r="483" spans="1:4" ht="14.25" x14ac:dyDescent="0.2">
      <c r="A483" s="1"/>
      <c r="B483" s="1"/>
      <c r="C483" s="1"/>
      <c r="D483" s="1"/>
    </row>
    <row r="484" spans="1:4" ht="14.25" x14ac:dyDescent="0.2">
      <c r="A484" s="1"/>
      <c r="B484" s="1"/>
      <c r="C484" s="1"/>
      <c r="D484" s="1"/>
    </row>
    <row r="485" spans="1:4" ht="14.25" x14ac:dyDescent="0.2">
      <c r="A485" s="1"/>
      <c r="B485" s="1"/>
      <c r="C485" s="1"/>
      <c r="D485" s="1"/>
    </row>
    <row r="486" spans="1:4" ht="14.25" x14ac:dyDescent="0.2">
      <c r="A486" s="1"/>
      <c r="B486" s="1"/>
      <c r="C486" s="1"/>
      <c r="D486" s="1"/>
    </row>
    <row r="487" spans="1:4" ht="14.25" x14ac:dyDescent="0.2">
      <c r="A487" s="1"/>
      <c r="B487" s="1"/>
      <c r="C487" s="1"/>
      <c r="D487" s="1"/>
    </row>
    <row r="488" spans="1:4" ht="14.25" x14ac:dyDescent="0.2">
      <c r="A488" s="1"/>
      <c r="B488" s="1"/>
      <c r="C488" s="1"/>
      <c r="D488" s="1"/>
    </row>
    <row r="489" spans="1:4" ht="14.25" x14ac:dyDescent="0.2">
      <c r="A489" s="1"/>
      <c r="B489" s="1"/>
      <c r="C489" s="1"/>
      <c r="D489" s="1"/>
    </row>
    <row r="490" spans="1:4" ht="14.25" x14ac:dyDescent="0.2">
      <c r="A490" s="1"/>
      <c r="B490" s="1"/>
      <c r="C490" s="1"/>
      <c r="D490" s="1"/>
    </row>
    <row r="491" spans="1:4" ht="14.25" x14ac:dyDescent="0.2">
      <c r="A491" s="1"/>
      <c r="B491" s="1"/>
      <c r="C491" s="1"/>
      <c r="D491" s="1"/>
    </row>
    <row r="492" spans="1:4" ht="14.25" x14ac:dyDescent="0.2">
      <c r="A492" s="1"/>
      <c r="B492" s="1"/>
      <c r="C492" s="1"/>
      <c r="D492" s="1"/>
    </row>
    <row r="493" spans="1:4" ht="14.25" x14ac:dyDescent="0.2">
      <c r="A493" s="1"/>
      <c r="B493" s="1"/>
      <c r="C493" s="1"/>
      <c r="D493" s="1"/>
    </row>
    <row r="494" spans="1:4" ht="14.25" x14ac:dyDescent="0.2">
      <c r="A494" s="1"/>
      <c r="B494" s="1"/>
      <c r="C494" s="1"/>
      <c r="D494" s="1"/>
    </row>
    <row r="495" spans="1:4" ht="14.25" x14ac:dyDescent="0.2">
      <c r="A495" s="1"/>
      <c r="B495" s="1"/>
      <c r="C495" s="1"/>
      <c r="D495" s="1"/>
    </row>
    <row r="496" spans="1:4" ht="14.25" x14ac:dyDescent="0.2">
      <c r="A496" s="1"/>
      <c r="B496" s="1"/>
      <c r="C496" s="1"/>
      <c r="D496" s="1"/>
    </row>
    <row r="497" spans="1:4" ht="14.25" x14ac:dyDescent="0.2">
      <c r="A497" s="1"/>
      <c r="B497" s="1"/>
      <c r="C497" s="1"/>
      <c r="D497" s="1"/>
    </row>
    <row r="498" spans="1:4" ht="14.25" x14ac:dyDescent="0.2">
      <c r="A498" s="1"/>
      <c r="B498" s="1"/>
      <c r="C498" s="1"/>
      <c r="D498" s="1"/>
    </row>
    <row r="499" spans="1:4" ht="14.25" x14ac:dyDescent="0.2">
      <c r="A499" s="1"/>
      <c r="B499" s="1"/>
      <c r="C499" s="1"/>
      <c r="D499" s="1"/>
    </row>
    <row r="500" spans="1:4" ht="14.25" x14ac:dyDescent="0.2">
      <c r="A500" s="1"/>
      <c r="B500" s="1"/>
      <c r="C500" s="1"/>
      <c r="D500" s="1"/>
    </row>
    <row r="501" spans="1:4" ht="14.25" x14ac:dyDescent="0.2">
      <c r="A501" s="1"/>
      <c r="B501" s="1"/>
      <c r="C501" s="1"/>
      <c r="D501" s="1"/>
    </row>
    <row r="502" spans="1:4" ht="14.25" x14ac:dyDescent="0.2">
      <c r="A502" s="1"/>
      <c r="B502" s="1"/>
      <c r="C502" s="1"/>
      <c r="D502" s="1"/>
    </row>
    <row r="503" spans="1:4" ht="14.25" x14ac:dyDescent="0.2">
      <c r="A503" s="1"/>
      <c r="B503" s="1"/>
      <c r="C503" s="1"/>
      <c r="D503" s="1"/>
    </row>
    <row r="504" spans="1:4" ht="14.25" x14ac:dyDescent="0.2">
      <c r="A504" s="1"/>
      <c r="B504" s="1"/>
      <c r="C504" s="1"/>
      <c r="D504" s="1"/>
    </row>
    <row r="505" spans="1:4" ht="14.25" x14ac:dyDescent="0.2">
      <c r="A505" s="1"/>
      <c r="B505" s="1"/>
      <c r="C505" s="1"/>
      <c r="D505" s="1"/>
    </row>
    <row r="506" spans="1:4" ht="14.25" x14ac:dyDescent="0.2">
      <c r="A506" s="1"/>
      <c r="B506" s="1"/>
      <c r="C506" s="1"/>
      <c r="D506" s="1"/>
    </row>
    <row r="507" spans="1:4" ht="14.25" x14ac:dyDescent="0.2">
      <c r="A507" s="1"/>
      <c r="B507" s="1"/>
      <c r="C507" s="1"/>
      <c r="D507" s="1"/>
    </row>
    <row r="508" spans="1:4" ht="14.25" x14ac:dyDescent="0.2">
      <c r="A508" s="1"/>
      <c r="B508" s="1"/>
      <c r="C508" s="1"/>
      <c r="D508" s="1"/>
    </row>
    <row r="509" spans="1:4" ht="14.25" x14ac:dyDescent="0.2">
      <c r="A509" s="1"/>
      <c r="B509" s="1"/>
      <c r="C509" s="1"/>
      <c r="D509" s="1"/>
    </row>
    <row r="510" spans="1:4" ht="14.25" x14ac:dyDescent="0.2">
      <c r="A510" s="1"/>
      <c r="B510" s="1"/>
      <c r="C510" s="1"/>
      <c r="D510" s="1"/>
    </row>
    <row r="511" spans="1:4" ht="14.25" x14ac:dyDescent="0.2">
      <c r="A511" s="1"/>
      <c r="B511" s="1"/>
      <c r="C511" s="1"/>
      <c r="D511" s="1"/>
    </row>
    <row r="512" spans="1:4" ht="14.25" x14ac:dyDescent="0.2">
      <c r="A512" s="1"/>
      <c r="B512" s="1"/>
      <c r="C512" s="1"/>
      <c r="D512" s="1"/>
    </row>
    <row r="513" spans="1:4" ht="14.25" x14ac:dyDescent="0.2">
      <c r="A513" s="1"/>
      <c r="B513" s="1"/>
      <c r="C513" s="1"/>
      <c r="D513" s="1"/>
    </row>
    <row r="514" spans="1:4" ht="14.25" x14ac:dyDescent="0.2">
      <c r="A514" s="1"/>
      <c r="B514" s="1"/>
      <c r="C514" s="1"/>
      <c r="D514" s="1"/>
    </row>
    <row r="515" spans="1:4" ht="14.25" x14ac:dyDescent="0.2">
      <c r="A515" s="1"/>
      <c r="B515" s="1"/>
      <c r="C515" s="1"/>
      <c r="D515" s="1"/>
    </row>
    <row r="516" spans="1:4" ht="14.25" x14ac:dyDescent="0.2">
      <c r="A516" s="1"/>
      <c r="B516" s="1"/>
      <c r="C516" s="1"/>
      <c r="D516" s="1"/>
    </row>
    <row r="517" spans="1:4" ht="14.25" x14ac:dyDescent="0.2">
      <c r="A517" s="1"/>
      <c r="B517" s="1"/>
      <c r="C517" s="1"/>
      <c r="D517" s="1"/>
    </row>
    <row r="518" spans="1:4" ht="14.25" x14ac:dyDescent="0.2">
      <c r="A518" s="1"/>
      <c r="B518" s="1"/>
      <c r="C518" s="1"/>
      <c r="D518" s="1"/>
    </row>
    <row r="519" spans="1:4" ht="14.25" x14ac:dyDescent="0.2">
      <c r="A519" s="1"/>
      <c r="B519" s="1"/>
      <c r="C519" s="1"/>
      <c r="D519" s="1"/>
    </row>
    <row r="520" spans="1:4" ht="14.25" x14ac:dyDescent="0.2">
      <c r="A520" s="1"/>
      <c r="B520" s="1"/>
      <c r="C520" s="1"/>
      <c r="D520" s="1"/>
    </row>
    <row r="521" spans="1:4" ht="14.25" x14ac:dyDescent="0.2">
      <c r="A521" s="1"/>
      <c r="B521" s="1"/>
      <c r="C521" s="1"/>
      <c r="D521" s="1"/>
    </row>
    <row r="522" spans="1:4" ht="14.25" x14ac:dyDescent="0.2">
      <c r="A522" s="1"/>
      <c r="B522" s="1"/>
      <c r="C522" s="1"/>
      <c r="D522" s="1"/>
    </row>
    <row r="523" spans="1:4" ht="14.25" x14ac:dyDescent="0.2">
      <c r="A523" s="1"/>
      <c r="B523" s="1"/>
      <c r="C523" s="1"/>
      <c r="D523" s="1"/>
    </row>
    <row r="524" spans="1:4" ht="14.25" x14ac:dyDescent="0.2">
      <c r="A524" s="1"/>
      <c r="B524" s="1"/>
      <c r="C524" s="1"/>
      <c r="D524" s="1"/>
    </row>
    <row r="525" spans="1:4" ht="14.25" x14ac:dyDescent="0.2">
      <c r="A525" s="1"/>
      <c r="B525" s="1"/>
      <c r="C525" s="1"/>
      <c r="D525" s="1"/>
    </row>
    <row r="526" spans="1:4" ht="14.25" x14ac:dyDescent="0.2">
      <c r="A526" s="1"/>
      <c r="B526" s="1"/>
      <c r="C526" s="1"/>
      <c r="D526" s="1"/>
    </row>
    <row r="527" spans="1:4" ht="14.25" x14ac:dyDescent="0.2">
      <c r="A527" s="1"/>
      <c r="B527" s="1"/>
      <c r="C527" s="1"/>
      <c r="D527" s="1"/>
    </row>
    <row r="528" spans="1:4" ht="14.25" x14ac:dyDescent="0.2">
      <c r="A528" s="1"/>
      <c r="B528" s="1"/>
      <c r="C528" s="1"/>
      <c r="D528" s="1"/>
    </row>
    <row r="529" spans="1:4" ht="14.25" x14ac:dyDescent="0.2">
      <c r="A529" s="1"/>
      <c r="B529" s="1"/>
      <c r="C529" s="1"/>
      <c r="D529" s="1"/>
    </row>
    <row r="530" spans="1:4" ht="14.25" x14ac:dyDescent="0.2">
      <c r="A530" s="1"/>
      <c r="B530" s="1"/>
      <c r="C530" s="1"/>
      <c r="D530" s="1"/>
    </row>
    <row r="531" spans="1:4" ht="14.25" x14ac:dyDescent="0.2">
      <c r="A531" s="1"/>
      <c r="B531" s="1"/>
      <c r="C531" s="1"/>
      <c r="D531" s="1"/>
    </row>
    <row r="532" spans="1:4" ht="14.25" x14ac:dyDescent="0.2">
      <c r="A532" s="1"/>
      <c r="B532" s="1"/>
      <c r="C532" s="1"/>
      <c r="D532" s="1"/>
    </row>
    <row r="533" spans="1:4" ht="14.25" x14ac:dyDescent="0.2">
      <c r="A533" s="1"/>
      <c r="B533" s="1"/>
      <c r="C533" s="1"/>
      <c r="D533" s="1"/>
    </row>
    <row r="534" spans="1:4" ht="14.25" x14ac:dyDescent="0.2">
      <c r="A534" s="1"/>
      <c r="B534" s="1"/>
      <c r="C534" s="1"/>
      <c r="D534" s="1"/>
    </row>
    <row r="535" spans="1:4" ht="14.25" x14ac:dyDescent="0.2">
      <c r="A535" s="1"/>
      <c r="B535" s="1"/>
      <c r="C535" s="1"/>
      <c r="D535" s="1"/>
    </row>
    <row r="536" spans="1:4" ht="14.25" x14ac:dyDescent="0.2">
      <c r="A536" s="1"/>
      <c r="B536" s="1"/>
      <c r="C536" s="1"/>
      <c r="D536" s="1"/>
    </row>
    <row r="537" spans="1:4" ht="14.25" x14ac:dyDescent="0.2">
      <c r="A537" s="1"/>
      <c r="B537" s="1"/>
      <c r="C537" s="1"/>
      <c r="D537" s="1"/>
    </row>
    <row r="538" spans="1:4" ht="14.25" x14ac:dyDescent="0.2">
      <c r="A538" s="1"/>
      <c r="B538" s="1"/>
      <c r="C538" s="1"/>
      <c r="D538" s="1"/>
    </row>
    <row r="539" spans="1:4" ht="14.25" x14ac:dyDescent="0.2">
      <c r="A539" s="1"/>
      <c r="B539" s="1"/>
      <c r="C539" s="1"/>
      <c r="D539" s="1"/>
    </row>
    <row r="540" spans="1:4" ht="14.25" x14ac:dyDescent="0.2">
      <c r="A540" s="1"/>
      <c r="B540" s="1"/>
      <c r="C540" s="1"/>
      <c r="D540" s="1"/>
    </row>
    <row r="541" spans="1:4" ht="14.25" x14ac:dyDescent="0.2">
      <c r="A541" s="1"/>
      <c r="B541" s="1"/>
      <c r="C541" s="1"/>
      <c r="D541" s="1"/>
    </row>
    <row r="542" spans="1:4" ht="14.25" x14ac:dyDescent="0.2">
      <c r="A542" s="1"/>
      <c r="B542" s="1"/>
      <c r="C542" s="1"/>
      <c r="D542" s="1"/>
    </row>
    <row r="543" spans="1:4" ht="14.25" x14ac:dyDescent="0.2">
      <c r="A543" s="1"/>
      <c r="B543" s="1"/>
      <c r="C543" s="1"/>
      <c r="D543" s="1"/>
    </row>
    <row r="544" spans="1:4" ht="14.25" x14ac:dyDescent="0.2">
      <c r="A544" s="1"/>
      <c r="B544" s="1"/>
      <c r="C544" s="1"/>
      <c r="D544" s="1"/>
    </row>
    <row r="545" spans="1:4" ht="14.25" x14ac:dyDescent="0.2">
      <c r="A545" s="1"/>
      <c r="B545" s="1"/>
      <c r="C545" s="1"/>
      <c r="D545" s="1"/>
    </row>
    <row r="546" spans="1:4" ht="14.25" x14ac:dyDescent="0.2">
      <c r="A546" s="1"/>
      <c r="B546" s="1"/>
      <c r="C546" s="1"/>
      <c r="D546" s="1"/>
    </row>
    <row r="547" spans="1:4" ht="14.25" x14ac:dyDescent="0.2">
      <c r="A547" s="1"/>
      <c r="B547" s="1"/>
      <c r="C547" s="1"/>
      <c r="D547" s="1"/>
    </row>
    <row r="548" spans="1:4" ht="14.25" x14ac:dyDescent="0.2">
      <c r="A548" s="1"/>
      <c r="B548" s="1"/>
      <c r="C548" s="1"/>
      <c r="D548" s="1"/>
    </row>
    <row r="549" spans="1:4" ht="14.25" x14ac:dyDescent="0.2">
      <c r="A549" s="1"/>
      <c r="B549" s="1"/>
      <c r="C549" s="1"/>
      <c r="D549" s="1"/>
    </row>
    <row r="550" spans="1:4" ht="14.25" x14ac:dyDescent="0.2">
      <c r="A550" s="1"/>
      <c r="B550" s="1"/>
      <c r="C550" s="1"/>
      <c r="D550" s="1"/>
    </row>
    <row r="551" spans="1:4" ht="14.25" x14ac:dyDescent="0.2">
      <c r="A551" s="1"/>
      <c r="B551" s="1"/>
      <c r="C551" s="1"/>
      <c r="D551" s="1"/>
    </row>
    <row r="552" spans="1:4" ht="14.25" x14ac:dyDescent="0.2">
      <c r="A552" s="1"/>
      <c r="B552" s="1"/>
      <c r="C552" s="1"/>
      <c r="D552" s="1"/>
    </row>
    <row r="553" spans="1:4" ht="14.25" x14ac:dyDescent="0.2">
      <c r="A553" s="1"/>
      <c r="B553" s="1"/>
      <c r="C553" s="1"/>
      <c r="D553" s="1"/>
    </row>
    <row r="554" spans="1:4" ht="14.25" x14ac:dyDescent="0.2">
      <c r="A554" s="1"/>
      <c r="B554" s="1"/>
      <c r="C554" s="1"/>
      <c r="D554" s="1"/>
    </row>
    <row r="555" spans="1:4" ht="14.25" x14ac:dyDescent="0.2">
      <c r="A555" s="1"/>
      <c r="B555" s="1"/>
      <c r="C555" s="1"/>
      <c r="D555" s="1"/>
    </row>
    <row r="556" spans="1:4" ht="14.25" x14ac:dyDescent="0.2">
      <c r="A556" s="1"/>
      <c r="B556" s="1"/>
      <c r="C556" s="1"/>
      <c r="D556" s="1"/>
    </row>
    <row r="557" spans="1:4" ht="14.25" x14ac:dyDescent="0.2">
      <c r="A557" s="1"/>
      <c r="B557" s="1"/>
      <c r="C557" s="1"/>
      <c r="D557" s="1"/>
    </row>
    <row r="558" spans="1:4" ht="14.25" x14ac:dyDescent="0.2">
      <c r="A558" s="1"/>
      <c r="B558" s="1"/>
      <c r="C558" s="1"/>
      <c r="D558" s="1"/>
    </row>
    <row r="559" spans="1:4" ht="14.25" x14ac:dyDescent="0.2">
      <c r="A559" s="1"/>
      <c r="B559" s="1"/>
      <c r="C559" s="1"/>
      <c r="D559" s="1"/>
    </row>
    <row r="560" spans="1:4" ht="14.25" x14ac:dyDescent="0.2">
      <c r="A560" s="1"/>
      <c r="B560" s="1"/>
      <c r="C560" s="1"/>
      <c r="D560" s="1"/>
    </row>
    <row r="561" spans="1:4" ht="14.25" x14ac:dyDescent="0.2">
      <c r="A561" s="1"/>
      <c r="B561" s="1"/>
      <c r="C561" s="1"/>
      <c r="D561" s="1"/>
    </row>
    <row r="562" spans="1:4" ht="14.25" x14ac:dyDescent="0.2">
      <c r="A562" s="1"/>
      <c r="B562" s="1"/>
      <c r="C562" s="1"/>
      <c r="D562" s="1"/>
    </row>
    <row r="563" spans="1:4" ht="14.25" x14ac:dyDescent="0.2">
      <c r="A563" s="1"/>
      <c r="B563" s="1"/>
      <c r="C563" s="1"/>
      <c r="D563" s="1"/>
    </row>
    <row r="564" spans="1:4" ht="14.25" x14ac:dyDescent="0.2">
      <c r="A564" s="1"/>
      <c r="B564" s="1"/>
      <c r="C564" s="1"/>
      <c r="D564" s="1"/>
    </row>
    <row r="565" spans="1:4" ht="14.25" x14ac:dyDescent="0.2">
      <c r="A565" s="1"/>
      <c r="B565" s="1"/>
      <c r="C565" s="1"/>
      <c r="D565" s="1"/>
    </row>
    <row r="566" spans="1:4" ht="14.25" x14ac:dyDescent="0.2">
      <c r="A566" s="1"/>
      <c r="B566" s="1"/>
      <c r="C566" s="1"/>
      <c r="D566" s="1"/>
    </row>
    <row r="567" spans="1:4" ht="14.25" x14ac:dyDescent="0.2">
      <c r="A567" s="1"/>
      <c r="B567" s="1"/>
      <c r="C567" s="1"/>
      <c r="D567" s="1"/>
    </row>
    <row r="568" spans="1:4" ht="14.25" x14ac:dyDescent="0.2">
      <c r="A568" s="1"/>
      <c r="B568" s="1"/>
      <c r="C568" s="1"/>
      <c r="D568" s="1"/>
    </row>
    <row r="569" spans="1:4" ht="14.25" x14ac:dyDescent="0.2">
      <c r="A569" s="1"/>
      <c r="B569" s="1"/>
      <c r="C569" s="1"/>
      <c r="D569" s="1"/>
    </row>
    <row r="570" spans="1:4" ht="14.25" x14ac:dyDescent="0.2">
      <c r="A570" s="1"/>
      <c r="B570" s="1"/>
      <c r="C570" s="1"/>
      <c r="D570" s="1"/>
    </row>
    <row r="571" spans="1:4" ht="14.25" x14ac:dyDescent="0.2">
      <c r="A571" s="1"/>
      <c r="B571" s="1"/>
      <c r="C571" s="1"/>
      <c r="D571" s="1"/>
    </row>
    <row r="572" spans="1:4" ht="14.25" x14ac:dyDescent="0.2">
      <c r="A572" s="1"/>
      <c r="B572" s="1"/>
      <c r="C572" s="1"/>
      <c r="D572" s="1"/>
    </row>
    <row r="573" spans="1:4" ht="14.25" x14ac:dyDescent="0.2">
      <c r="A573" s="1"/>
      <c r="B573" s="1"/>
      <c r="C573" s="1"/>
      <c r="D573" s="1"/>
    </row>
    <row r="574" spans="1:4" ht="14.25" x14ac:dyDescent="0.2">
      <c r="A574" s="1"/>
      <c r="B574" s="1"/>
      <c r="C574" s="1"/>
      <c r="D574" s="1"/>
    </row>
    <row r="575" spans="1:4" ht="14.25" x14ac:dyDescent="0.2">
      <c r="A575" s="1"/>
      <c r="B575" s="1"/>
      <c r="C575" s="1"/>
      <c r="D575" s="1"/>
    </row>
    <row r="576" spans="1:4" ht="14.25" x14ac:dyDescent="0.2">
      <c r="A576" s="1"/>
      <c r="B576" s="1"/>
      <c r="C576" s="1"/>
      <c r="D576" s="1"/>
    </row>
    <row r="577" spans="1:4" ht="14.25" x14ac:dyDescent="0.2">
      <c r="A577" s="1"/>
      <c r="B577" s="1"/>
      <c r="C577" s="1"/>
      <c r="D577" s="1"/>
    </row>
    <row r="578" spans="1:4" ht="14.25" x14ac:dyDescent="0.2">
      <c r="A578" s="1"/>
      <c r="B578" s="1"/>
      <c r="C578" s="1"/>
      <c r="D578" s="1"/>
    </row>
    <row r="579" spans="1:4" ht="14.25" x14ac:dyDescent="0.2">
      <c r="A579" s="1"/>
      <c r="B579" s="1"/>
      <c r="C579" s="1"/>
      <c r="D579" s="1"/>
    </row>
    <row r="580" spans="1:4" ht="14.25" x14ac:dyDescent="0.2">
      <c r="A580" s="1"/>
      <c r="B580" s="1"/>
      <c r="C580" s="1"/>
      <c r="D580" s="1"/>
    </row>
    <row r="581" spans="1:4" ht="14.25" x14ac:dyDescent="0.2">
      <c r="A581" s="1"/>
      <c r="B581" s="1"/>
      <c r="C581" s="1"/>
      <c r="D581" s="1"/>
    </row>
    <row r="582" spans="1:4" ht="14.25" x14ac:dyDescent="0.2">
      <c r="A582" s="1"/>
      <c r="B582" s="1"/>
      <c r="C582" s="1"/>
      <c r="D582" s="1"/>
    </row>
    <row r="583" spans="1:4" ht="14.25" x14ac:dyDescent="0.2">
      <c r="A583" s="1"/>
      <c r="B583" s="1"/>
      <c r="C583" s="1"/>
      <c r="D583" s="1"/>
    </row>
    <row r="584" spans="1:4" ht="14.25" x14ac:dyDescent="0.2">
      <c r="A584" s="1"/>
      <c r="B584" s="1"/>
      <c r="C584" s="1"/>
      <c r="D584" s="1"/>
    </row>
    <row r="585" spans="1:4" ht="14.25" x14ac:dyDescent="0.2">
      <c r="A585" s="1"/>
      <c r="B585" s="1"/>
      <c r="C585" s="1"/>
      <c r="D585" s="1"/>
    </row>
    <row r="586" spans="1:4" ht="14.25" x14ac:dyDescent="0.2">
      <c r="A586" s="1"/>
      <c r="B586" s="1"/>
      <c r="C586" s="1"/>
      <c r="D586" s="1"/>
    </row>
    <row r="587" spans="1:4" ht="14.25" x14ac:dyDescent="0.2">
      <c r="A587" s="1"/>
      <c r="B587" s="1"/>
      <c r="C587" s="1"/>
      <c r="D587" s="1"/>
    </row>
    <row r="588" spans="1:4" ht="14.25" x14ac:dyDescent="0.2">
      <c r="A588" s="1"/>
      <c r="B588" s="1"/>
      <c r="C588" s="1"/>
      <c r="D588" s="1"/>
    </row>
    <row r="589" spans="1:4" ht="14.25" x14ac:dyDescent="0.2">
      <c r="A589" s="1"/>
      <c r="B589" s="1"/>
      <c r="C589" s="1"/>
      <c r="D589" s="1"/>
    </row>
    <row r="590" spans="1:4" ht="14.25" x14ac:dyDescent="0.2">
      <c r="A590" s="1"/>
      <c r="B590" s="1"/>
      <c r="C590" s="1"/>
      <c r="D590" s="1"/>
    </row>
    <row r="591" spans="1:4" ht="14.25" x14ac:dyDescent="0.2">
      <c r="A591" s="1"/>
      <c r="B591" s="1"/>
      <c r="C591" s="1"/>
      <c r="D591" s="1"/>
    </row>
    <row r="592" spans="1:4" ht="14.25" x14ac:dyDescent="0.2">
      <c r="A592" s="1"/>
      <c r="B592" s="1"/>
      <c r="C592" s="1"/>
      <c r="D592" s="1"/>
    </row>
    <row r="593" spans="1:4" ht="14.25" x14ac:dyDescent="0.2">
      <c r="A593" s="1"/>
      <c r="B593" s="1"/>
      <c r="C593" s="1"/>
      <c r="D593" s="1"/>
    </row>
    <row r="594" spans="1:4" ht="14.25" x14ac:dyDescent="0.2">
      <c r="A594" s="1"/>
      <c r="B594" s="1"/>
      <c r="C594" s="1"/>
      <c r="D594" s="1"/>
    </row>
    <row r="595" spans="1:4" ht="14.25" x14ac:dyDescent="0.2">
      <c r="A595" s="1"/>
      <c r="B595" s="1"/>
      <c r="C595" s="1"/>
      <c r="D595" s="1"/>
    </row>
    <row r="596" spans="1:4" ht="14.25" x14ac:dyDescent="0.2">
      <c r="A596" s="1"/>
      <c r="B596" s="1"/>
      <c r="C596" s="1"/>
      <c r="D596" s="1"/>
    </row>
    <row r="597" spans="1:4" ht="14.25" x14ac:dyDescent="0.2">
      <c r="A597" s="1"/>
      <c r="B597" s="1"/>
      <c r="C597" s="1"/>
      <c r="D597" s="1"/>
    </row>
    <row r="598" spans="1:4" ht="14.25" x14ac:dyDescent="0.2">
      <c r="A598" s="1"/>
      <c r="B598" s="1"/>
      <c r="C598" s="1"/>
      <c r="D598" s="1"/>
    </row>
    <row r="599" spans="1:4" ht="14.25" x14ac:dyDescent="0.2">
      <c r="A599" s="1"/>
      <c r="B599" s="1"/>
      <c r="C599" s="1"/>
      <c r="D599" s="1"/>
    </row>
    <row r="600" spans="1:4" ht="14.25" x14ac:dyDescent="0.2">
      <c r="A600" s="1"/>
      <c r="B600" s="1"/>
      <c r="C600" s="1"/>
      <c r="D600" s="1"/>
    </row>
    <row r="601" spans="1:4" ht="14.25" x14ac:dyDescent="0.2">
      <c r="A601" s="1"/>
      <c r="B601" s="1"/>
      <c r="C601" s="1"/>
      <c r="D601" s="1"/>
    </row>
    <row r="602" spans="1:4" ht="14.25" x14ac:dyDescent="0.2">
      <c r="A602" s="1"/>
      <c r="B602" s="1"/>
      <c r="C602" s="1"/>
      <c r="D602" s="1"/>
    </row>
    <row r="603" spans="1:4" ht="14.25" x14ac:dyDescent="0.2">
      <c r="A603" s="1"/>
      <c r="B603" s="1"/>
      <c r="C603" s="1"/>
      <c r="D603" s="1"/>
    </row>
    <row r="604" spans="1:4" ht="14.25" x14ac:dyDescent="0.2">
      <c r="A604" s="1"/>
      <c r="B604" s="1"/>
      <c r="C604" s="1"/>
      <c r="D604" s="1"/>
    </row>
    <row r="605" spans="1:4" ht="14.25" x14ac:dyDescent="0.2">
      <c r="A605" s="1"/>
      <c r="B605" s="1"/>
      <c r="C605" s="1"/>
      <c r="D605" s="1"/>
    </row>
    <row r="606" spans="1:4" ht="14.25" x14ac:dyDescent="0.2">
      <c r="A606" s="1"/>
      <c r="B606" s="1"/>
      <c r="C606" s="1"/>
      <c r="D606" s="1"/>
    </row>
    <row r="607" spans="1:4" ht="14.25" x14ac:dyDescent="0.2">
      <c r="A607" s="1"/>
      <c r="B607" s="1"/>
      <c r="C607" s="1"/>
      <c r="D607" s="1"/>
    </row>
    <row r="608" spans="1:4" ht="14.25" x14ac:dyDescent="0.2">
      <c r="A608" s="1"/>
      <c r="B608" s="1"/>
      <c r="C608" s="1"/>
      <c r="D608" s="1"/>
    </row>
    <row r="609" spans="1:4" ht="14.25" x14ac:dyDescent="0.2">
      <c r="A609" s="1"/>
      <c r="B609" s="1"/>
      <c r="C609" s="1"/>
      <c r="D609" s="1"/>
    </row>
    <row r="610" spans="1:4" ht="14.25" x14ac:dyDescent="0.2">
      <c r="A610" s="1"/>
      <c r="B610" s="1"/>
      <c r="C610" s="1"/>
      <c r="D610" s="1"/>
    </row>
    <row r="611" spans="1:4" ht="14.25" x14ac:dyDescent="0.2">
      <c r="A611" s="1"/>
      <c r="B611" s="1"/>
      <c r="C611" s="1"/>
      <c r="D611" s="1"/>
    </row>
    <row r="612" spans="1:4" ht="14.25" x14ac:dyDescent="0.2">
      <c r="A612" s="1"/>
      <c r="B612" s="1"/>
      <c r="C612" s="1"/>
      <c r="D612" s="1"/>
    </row>
    <row r="613" spans="1:4" ht="14.25" x14ac:dyDescent="0.2">
      <c r="A613" s="1"/>
      <c r="B613" s="1"/>
      <c r="C613" s="1"/>
      <c r="D613" s="1"/>
    </row>
    <row r="614" spans="1:4" ht="14.25" x14ac:dyDescent="0.2">
      <c r="A614" s="1"/>
      <c r="B614" s="1"/>
      <c r="C614" s="1"/>
      <c r="D614" s="1"/>
    </row>
    <row r="615" spans="1:4" ht="14.25" x14ac:dyDescent="0.2">
      <c r="A615" s="1"/>
      <c r="B615" s="1"/>
      <c r="C615" s="1"/>
      <c r="D615" s="1"/>
    </row>
    <row r="616" spans="1:4" ht="14.25" x14ac:dyDescent="0.2">
      <c r="A616" s="1"/>
      <c r="B616" s="1"/>
      <c r="C616" s="1"/>
      <c r="D616" s="1"/>
    </row>
    <row r="617" spans="1:4" ht="14.25" x14ac:dyDescent="0.2">
      <c r="A617" s="1"/>
      <c r="B617" s="1"/>
      <c r="C617" s="1"/>
      <c r="D617" s="1"/>
    </row>
    <row r="618" spans="1:4" ht="14.25" x14ac:dyDescent="0.2">
      <c r="A618" s="1"/>
      <c r="B618" s="1"/>
      <c r="C618" s="1"/>
      <c r="D618" s="1"/>
    </row>
    <row r="619" spans="1:4" ht="14.25" x14ac:dyDescent="0.2">
      <c r="A619" s="1"/>
      <c r="B619" s="1"/>
      <c r="C619" s="1"/>
      <c r="D619" s="1"/>
    </row>
    <row r="620" spans="1:4" ht="14.25" x14ac:dyDescent="0.2">
      <c r="A620" s="1"/>
      <c r="B620" s="1"/>
      <c r="C620" s="1"/>
      <c r="D620" s="1"/>
    </row>
    <row r="621" spans="1:4" ht="14.25" x14ac:dyDescent="0.2">
      <c r="A621" s="1"/>
      <c r="B621" s="1"/>
      <c r="C621" s="1"/>
      <c r="D621" s="1"/>
    </row>
    <row r="622" spans="1:4" ht="14.25" x14ac:dyDescent="0.2">
      <c r="A622" s="1"/>
      <c r="B622" s="1"/>
      <c r="C622" s="1"/>
      <c r="D622" s="1"/>
    </row>
    <row r="623" spans="1:4" ht="14.25" x14ac:dyDescent="0.2">
      <c r="A623" s="1"/>
      <c r="B623" s="1"/>
      <c r="C623" s="1"/>
      <c r="D623" s="1"/>
    </row>
    <row r="624" spans="1:4" ht="14.25" x14ac:dyDescent="0.2">
      <c r="A624" s="1"/>
      <c r="B624" s="1"/>
      <c r="C624" s="1"/>
      <c r="D624" s="1"/>
    </row>
    <row r="625" spans="1:4" ht="14.25" x14ac:dyDescent="0.2">
      <c r="A625" s="1"/>
      <c r="B625" s="1"/>
      <c r="C625" s="1"/>
      <c r="D625" s="1"/>
    </row>
    <row r="626" spans="1:4" ht="14.25" x14ac:dyDescent="0.2">
      <c r="A626" s="1"/>
      <c r="B626" s="1"/>
      <c r="C626" s="1"/>
      <c r="D626" s="1"/>
    </row>
    <row r="627" spans="1:4" ht="14.25" x14ac:dyDescent="0.2">
      <c r="A627" s="1"/>
      <c r="B627" s="1"/>
      <c r="C627" s="1"/>
      <c r="D627" s="1"/>
    </row>
    <row r="628" spans="1:4" ht="14.25" x14ac:dyDescent="0.2">
      <c r="A628" s="1"/>
      <c r="B628" s="1"/>
      <c r="C628" s="1"/>
      <c r="D628" s="1"/>
    </row>
    <row r="629" spans="1:4" ht="14.25" x14ac:dyDescent="0.2">
      <c r="A629" s="1"/>
      <c r="B629" s="1"/>
      <c r="C629" s="1"/>
      <c r="D629" s="1"/>
    </row>
    <row r="630" spans="1:4" ht="14.25" x14ac:dyDescent="0.2">
      <c r="A630" s="1"/>
      <c r="B630" s="1"/>
      <c r="C630" s="1"/>
      <c r="D630" s="1"/>
    </row>
    <row r="631" spans="1:4" ht="14.25" x14ac:dyDescent="0.2">
      <c r="A631" s="1"/>
      <c r="B631" s="1"/>
      <c r="C631" s="1"/>
      <c r="D631" s="1"/>
    </row>
    <row r="632" spans="1:4" ht="14.25" x14ac:dyDescent="0.2">
      <c r="A632" s="1"/>
      <c r="B632" s="1"/>
      <c r="C632" s="1"/>
      <c r="D632" s="1"/>
    </row>
    <row r="633" spans="1:4" ht="14.25" x14ac:dyDescent="0.2">
      <c r="A633" s="1"/>
      <c r="B633" s="1"/>
      <c r="C633" s="1"/>
      <c r="D633" s="1"/>
    </row>
    <row r="634" spans="1:4" ht="14.25" x14ac:dyDescent="0.2">
      <c r="A634" s="1"/>
      <c r="B634" s="1"/>
      <c r="C634" s="1"/>
      <c r="D634" s="1"/>
    </row>
    <row r="635" spans="1:4" ht="14.25" x14ac:dyDescent="0.2">
      <c r="A635" s="1"/>
      <c r="B635" s="1"/>
      <c r="C635" s="1"/>
      <c r="D635" s="1"/>
    </row>
    <row r="636" spans="1:4" ht="14.25" x14ac:dyDescent="0.2">
      <c r="A636" s="1"/>
      <c r="B636" s="1"/>
      <c r="C636" s="1"/>
      <c r="D636" s="1"/>
    </row>
    <row r="637" spans="1:4" ht="14.25" x14ac:dyDescent="0.2">
      <c r="A637" s="1"/>
      <c r="B637" s="1"/>
      <c r="C637" s="1"/>
      <c r="D637" s="1"/>
    </row>
    <row r="638" spans="1:4" ht="14.25" x14ac:dyDescent="0.2">
      <c r="A638" s="1"/>
      <c r="B638" s="1"/>
      <c r="C638" s="1"/>
      <c r="D638" s="1"/>
    </row>
    <row r="639" spans="1:4" ht="14.25" x14ac:dyDescent="0.2">
      <c r="A639" s="1"/>
      <c r="B639" s="1"/>
      <c r="C639" s="1"/>
      <c r="D639" s="1"/>
    </row>
    <row r="640" spans="1:4" ht="14.25" x14ac:dyDescent="0.2">
      <c r="A640" s="1"/>
      <c r="B640" s="1"/>
      <c r="C640" s="1"/>
      <c r="D640" s="1"/>
    </row>
    <row r="641" spans="1:4" ht="14.25" x14ac:dyDescent="0.2">
      <c r="A641" s="1"/>
      <c r="B641" s="1"/>
      <c r="C641" s="1"/>
      <c r="D641" s="1"/>
    </row>
    <row r="642" spans="1:4" ht="14.25" x14ac:dyDescent="0.2">
      <c r="A642" s="1"/>
      <c r="B642" s="1"/>
      <c r="C642" s="1"/>
      <c r="D642" s="1"/>
    </row>
    <row r="643" spans="1:4" ht="14.25" x14ac:dyDescent="0.2">
      <c r="A643" s="1"/>
      <c r="B643" s="1"/>
      <c r="C643" s="1"/>
      <c r="D643" s="1"/>
    </row>
    <row r="644" spans="1:4" ht="14.25" x14ac:dyDescent="0.2">
      <c r="A644" s="1"/>
      <c r="B644" s="1"/>
      <c r="C644" s="1"/>
      <c r="D644" s="1"/>
    </row>
    <row r="645" spans="1:4" ht="14.25" x14ac:dyDescent="0.2">
      <c r="A645" s="1"/>
      <c r="B645" s="1"/>
      <c r="C645" s="1"/>
      <c r="D645" s="1"/>
    </row>
    <row r="646" spans="1:4" ht="14.25" x14ac:dyDescent="0.2">
      <c r="A646" s="1"/>
      <c r="B646" s="1"/>
      <c r="C646" s="1"/>
      <c r="D646" s="1"/>
    </row>
    <row r="647" spans="1:4" ht="14.25" x14ac:dyDescent="0.2">
      <c r="A647" s="1"/>
      <c r="B647" s="1"/>
      <c r="C647" s="1"/>
      <c r="D647" s="1"/>
    </row>
    <row r="648" spans="1:4" ht="14.25" x14ac:dyDescent="0.2">
      <c r="A648" s="1"/>
      <c r="B648" s="1"/>
      <c r="C648" s="1"/>
      <c r="D648" s="1"/>
    </row>
    <row r="649" spans="1:4" ht="14.25" x14ac:dyDescent="0.2">
      <c r="A649" s="1"/>
      <c r="B649" s="1"/>
      <c r="C649" s="1"/>
      <c r="D649" s="1"/>
    </row>
    <row r="650" spans="1:4" ht="14.25" x14ac:dyDescent="0.2">
      <c r="A650" s="1"/>
      <c r="B650" s="1"/>
      <c r="C650" s="1"/>
      <c r="D650" s="1"/>
    </row>
    <row r="651" spans="1:4" ht="14.25" x14ac:dyDescent="0.2">
      <c r="A651" s="1"/>
      <c r="B651" s="1"/>
      <c r="C651" s="1"/>
      <c r="D651" s="1"/>
    </row>
    <row r="652" spans="1:4" ht="14.25" x14ac:dyDescent="0.2">
      <c r="A652" s="1"/>
      <c r="B652" s="1"/>
      <c r="C652" s="1"/>
      <c r="D652" s="1"/>
    </row>
    <row r="653" spans="1:4" ht="14.25" x14ac:dyDescent="0.2">
      <c r="A653" s="1"/>
      <c r="B653" s="1"/>
      <c r="C653" s="1"/>
      <c r="D653" s="1"/>
    </row>
    <row r="654" spans="1:4" ht="14.25" x14ac:dyDescent="0.2">
      <c r="A654" s="1"/>
      <c r="B654" s="1"/>
      <c r="C654" s="1"/>
      <c r="D654" s="1"/>
    </row>
    <row r="655" spans="1:4" ht="14.25" x14ac:dyDescent="0.2">
      <c r="A655" s="1"/>
      <c r="B655" s="1"/>
      <c r="C655" s="1"/>
      <c r="D655" s="1"/>
    </row>
    <row r="656" spans="1:4" ht="14.25" x14ac:dyDescent="0.2">
      <c r="A656" s="1"/>
      <c r="B656" s="1"/>
      <c r="C656" s="1"/>
      <c r="D656" s="1"/>
    </row>
    <row r="657" spans="1:4" ht="14.25" x14ac:dyDescent="0.2">
      <c r="A657" s="1"/>
      <c r="B657" s="1"/>
      <c r="C657" s="1"/>
      <c r="D657" s="1"/>
    </row>
    <row r="658" spans="1:4" ht="14.25" x14ac:dyDescent="0.2">
      <c r="A658" s="1"/>
      <c r="B658" s="1"/>
      <c r="C658" s="1"/>
      <c r="D658" s="1"/>
    </row>
    <row r="659" spans="1:4" ht="14.25" x14ac:dyDescent="0.2">
      <c r="A659" s="1"/>
      <c r="B659" s="1"/>
      <c r="C659" s="1"/>
      <c r="D659" s="1"/>
    </row>
    <row r="660" spans="1:4" ht="14.25" x14ac:dyDescent="0.2">
      <c r="A660" s="1"/>
      <c r="B660" s="1"/>
      <c r="C660" s="1"/>
      <c r="D660" s="1"/>
    </row>
    <row r="661" spans="1:4" ht="14.25" x14ac:dyDescent="0.2">
      <c r="A661" s="1"/>
      <c r="B661" s="1"/>
      <c r="C661" s="1"/>
      <c r="D661" s="1"/>
    </row>
    <row r="662" spans="1:4" ht="14.25" x14ac:dyDescent="0.2">
      <c r="A662" s="1"/>
      <c r="B662" s="1"/>
      <c r="C662" s="1"/>
      <c r="D662" s="1"/>
    </row>
    <row r="663" spans="1:4" ht="14.25" x14ac:dyDescent="0.2">
      <c r="A663" s="1"/>
      <c r="B663" s="1"/>
      <c r="C663" s="1"/>
      <c r="D663" s="1"/>
    </row>
    <row r="664" spans="1:4" ht="14.25" x14ac:dyDescent="0.2">
      <c r="A664" s="1"/>
      <c r="B664" s="1"/>
      <c r="C664" s="1"/>
      <c r="D664" s="1"/>
    </row>
    <row r="665" spans="1:4" ht="14.25" x14ac:dyDescent="0.2">
      <c r="A665" s="1"/>
      <c r="B665" s="1"/>
      <c r="C665" s="1"/>
      <c r="D665" s="1"/>
    </row>
    <row r="666" spans="1:4" ht="14.25" x14ac:dyDescent="0.2">
      <c r="A666" s="1"/>
      <c r="B666" s="1"/>
      <c r="C666" s="1"/>
      <c r="D666" s="1"/>
    </row>
    <row r="667" spans="1:4" ht="14.25" x14ac:dyDescent="0.2">
      <c r="A667" s="1"/>
      <c r="B667" s="1"/>
      <c r="C667" s="1"/>
      <c r="D667" s="1"/>
    </row>
    <row r="668" spans="1:4" ht="14.25" x14ac:dyDescent="0.2">
      <c r="A668" s="1"/>
      <c r="B668" s="1"/>
      <c r="C668" s="1"/>
      <c r="D668" s="1"/>
    </row>
    <row r="669" spans="1:4" ht="14.25" x14ac:dyDescent="0.2">
      <c r="A669" s="1"/>
      <c r="B669" s="1"/>
      <c r="C669" s="1"/>
      <c r="D669" s="1"/>
    </row>
    <row r="670" spans="1:4" ht="14.25" x14ac:dyDescent="0.2">
      <c r="A670" s="1"/>
      <c r="B670" s="1"/>
      <c r="C670" s="1"/>
      <c r="D670" s="1"/>
    </row>
    <row r="671" spans="1:4" ht="14.25" x14ac:dyDescent="0.2">
      <c r="A671" s="1"/>
      <c r="B671" s="1"/>
      <c r="C671" s="1"/>
      <c r="D671" s="1"/>
    </row>
    <row r="672" spans="1:4" ht="14.25" x14ac:dyDescent="0.2">
      <c r="A672" s="1"/>
      <c r="B672" s="1"/>
      <c r="C672" s="1"/>
      <c r="D672" s="1"/>
    </row>
    <row r="673" spans="1:4" ht="14.25" x14ac:dyDescent="0.2">
      <c r="A673" s="1"/>
      <c r="B673" s="1"/>
      <c r="C673" s="1"/>
      <c r="D673" s="1"/>
    </row>
    <row r="674" spans="1:4" ht="14.25" x14ac:dyDescent="0.2">
      <c r="A674" s="1"/>
      <c r="B674" s="1"/>
      <c r="C674" s="1"/>
      <c r="D674" s="1"/>
    </row>
    <row r="675" spans="1:4" ht="14.25" x14ac:dyDescent="0.2">
      <c r="A675" s="1"/>
      <c r="B675" s="1"/>
      <c r="C675" s="1"/>
      <c r="D675" s="1"/>
    </row>
    <row r="676" spans="1:4" ht="14.25" x14ac:dyDescent="0.2">
      <c r="A676" s="1"/>
      <c r="B676" s="1"/>
      <c r="C676" s="1"/>
      <c r="D676" s="1"/>
    </row>
    <row r="677" spans="1:4" ht="14.25" x14ac:dyDescent="0.2">
      <c r="A677" s="1"/>
      <c r="B677" s="1"/>
      <c r="C677" s="1"/>
      <c r="D677" s="1"/>
    </row>
    <row r="678" spans="1:4" ht="14.25" x14ac:dyDescent="0.2">
      <c r="A678" s="1"/>
      <c r="B678" s="1"/>
      <c r="C678" s="1"/>
      <c r="D678" s="1"/>
    </row>
    <row r="679" spans="1:4" ht="14.25" x14ac:dyDescent="0.2">
      <c r="A679" s="1"/>
      <c r="B679" s="1"/>
      <c r="C679" s="1"/>
      <c r="D679" s="1"/>
    </row>
    <row r="680" spans="1:4" ht="14.25" x14ac:dyDescent="0.2">
      <c r="A680" s="1"/>
      <c r="B680" s="1"/>
      <c r="C680" s="1"/>
      <c r="D680" s="1"/>
    </row>
    <row r="681" spans="1:4" ht="14.25" x14ac:dyDescent="0.2">
      <c r="A681" s="1"/>
      <c r="B681" s="1"/>
      <c r="C681" s="1"/>
      <c r="D681" s="1"/>
    </row>
    <row r="682" spans="1:4" ht="14.25" x14ac:dyDescent="0.2">
      <c r="A682" s="1"/>
      <c r="B682" s="1"/>
      <c r="C682" s="1"/>
      <c r="D682" s="1"/>
    </row>
    <row r="683" spans="1:4" ht="14.25" x14ac:dyDescent="0.2">
      <c r="A683" s="1"/>
      <c r="B683" s="1"/>
      <c r="C683" s="1"/>
      <c r="D683" s="1"/>
    </row>
    <row r="684" spans="1:4" ht="14.25" x14ac:dyDescent="0.2">
      <c r="A684" s="1"/>
      <c r="B684" s="1"/>
      <c r="C684" s="1"/>
      <c r="D684" s="1"/>
    </row>
    <row r="685" spans="1:4" ht="14.25" x14ac:dyDescent="0.2">
      <c r="A685" s="1"/>
      <c r="B685" s="1"/>
      <c r="C685" s="1"/>
      <c r="D685" s="1"/>
    </row>
    <row r="686" spans="1:4" ht="14.25" x14ac:dyDescent="0.2">
      <c r="A686" s="1"/>
      <c r="B686" s="1"/>
      <c r="C686" s="1"/>
      <c r="D686" s="1"/>
    </row>
    <row r="687" spans="1:4" ht="14.25" x14ac:dyDescent="0.2">
      <c r="A687" s="1"/>
      <c r="B687" s="1"/>
      <c r="C687" s="1"/>
      <c r="D687" s="1"/>
    </row>
    <row r="688" spans="1:4" ht="14.25" x14ac:dyDescent="0.2">
      <c r="A688" s="1"/>
      <c r="B688" s="1"/>
      <c r="C688" s="1"/>
      <c r="D688" s="1"/>
    </row>
    <row r="689" spans="1:4" ht="14.25" x14ac:dyDescent="0.2">
      <c r="A689" s="1"/>
      <c r="B689" s="1"/>
      <c r="C689" s="1"/>
      <c r="D689" s="1"/>
    </row>
    <row r="690" spans="1:4" ht="14.25" x14ac:dyDescent="0.2">
      <c r="A690" s="1"/>
      <c r="B690" s="1"/>
      <c r="C690" s="1"/>
      <c r="D690" s="1"/>
    </row>
    <row r="691" spans="1:4" ht="14.25" x14ac:dyDescent="0.2">
      <c r="A691" s="1"/>
      <c r="B691" s="1"/>
      <c r="C691" s="1"/>
      <c r="D691" s="1"/>
    </row>
    <row r="692" spans="1:4" ht="14.25" x14ac:dyDescent="0.2">
      <c r="A692" s="1"/>
      <c r="B692" s="1"/>
      <c r="C692" s="1"/>
      <c r="D692" s="1"/>
    </row>
    <row r="693" spans="1:4" ht="14.25" x14ac:dyDescent="0.2">
      <c r="A693" s="1"/>
      <c r="B693" s="1"/>
      <c r="C693" s="1"/>
      <c r="D693" s="1"/>
    </row>
    <row r="694" spans="1:4" ht="14.25" x14ac:dyDescent="0.2">
      <c r="A694" s="1"/>
      <c r="B694" s="1"/>
      <c r="C694" s="1"/>
      <c r="D694" s="1"/>
    </row>
    <row r="695" spans="1:4" ht="14.25" x14ac:dyDescent="0.2">
      <c r="A695" s="1"/>
      <c r="B695" s="1"/>
      <c r="C695" s="1"/>
      <c r="D695" s="1"/>
    </row>
    <row r="696" spans="1:4" ht="14.25" x14ac:dyDescent="0.2">
      <c r="A696" s="1"/>
      <c r="B696" s="1"/>
      <c r="C696" s="1"/>
      <c r="D696" s="1"/>
    </row>
    <row r="697" spans="1:4" ht="14.25" x14ac:dyDescent="0.2">
      <c r="A697" s="1"/>
      <c r="B697" s="1"/>
      <c r="C697" s="1"/>
      <c r="D697" s="1"/>
    </row>
    <row r="698" spans="1:4" ht="14.25" x14ac:dyDescent="0.2">
      <c r="A698" s="1"/>
      <c r="B698" s="1"/>
      <c r="C698" s="1"/>
      <c r="D698" s="1"/>
    </row>
    <row r="699" spans="1:4" ht="14.25" x14ac:dyDescent="0.2">
      <c r="A699" s="1"/>
      <c r="B699" s="1"/>
      <c r="C699" s="1"/>
      <c r="D699" s="1"/>
    </row>
    <row r="700" spans="1:4" ht="14.25" x14ac:dyDescent="0.2">
      <c r="A700" s="1"/>
      <c r="B700" s="1"/>
      <c r="C700" s="1"/>
      <c r="D700" s="1"/>
    </row>
    <row r="701" spans="1:4" ht="14.25" x14ac:dyDescent="0.2">
      <c r="A701" s="1"/>
      <c r="B701" s="1"/>
      <c r="C701" s="1"/>
      <c r="D701" s="1"/>
    </row>
    <row r="702" spans="1:4" ht="14.25" x14ac:dyDescent="0.2">
      <c r="A702" s="1"/>
      <c r="B702" s="1"/>
      <c r="C702" s="1"/>
      <c r="D702" s="1"/>
    </row>
    <row r="703" spans="1:4" ht="14.25" x14ac:dyDescent="0.2">
      <c r="A703" s="1"/>
      <c r="B703" s="1"/>
      <c r="C703" s="1"/>
      <c r="D703" s="1"/>
    </row>
    <row r="704" spans="1:4" ht="14.25" x14ac:dyDescent="0.2">
      <c r="A704" s="1"/>
      <c r="B704" s="1"/>
      <c r="C704" s="1"/>
      <c r="D704" s="1"/>
    </row>
    <row r="705" spans="1:4" ht="14.25" x14ac:dyDescent="0.2">
      <c r="A705" s="1"/>
      <c r="B705" s="1"/>
      <c r="C705" s="1"/>
      <c r="D705" s="1"/>
    </row>
    <row r="706" spans="1:4" ht="14.25" x14ac:dyDescent="0.2">
      <c r="A706" s="1"/>
      <c r="B706" s="1"/>
      <c r="C706" s="1"/>
      <c r="D706" s="1"/>
    </row>
    <row r="707" spans="1:4" ht="14.25" x14ac:dyDescent="0.2">
      <c r="A707" s="1"/>
      <c r="B707" s="1"/>
      <c r="C707" s="1"/>
      <c r="D707" s="1"/>
    </row>
    <row r="708" spans="1:4" ht="14.25" x14ac:dyDescent="0.2">
      <c r="A708" s="1"/>
      <c r="B708" s="1"/>
      <c r="C708" s="1"/>
      <c r="D708" s="1"/>
    </row>
    <row r="709" spans="1:4" ht="14.25" x14ac:dyDescent="0.2">
      <c r="A709" s="1"/>
      <c r="B709" s="1"/>
      <c r="C709" s="1"/>
      <c r="D709" s="1"/>
    </row>
    <row r="710" spans="1:4" ht="14.25" x14ac:dyDescent="0.2">
      <c r="A710" s="1"/>
      <c r="B710" s="1"/>
      <c r="C710" s="1"/>
      <c r="D710" s="1"/>
    </row>
    <row r="711" spans="1:4" ht="14.25" x14ac:dyDescent="0.2">
      <c r="A711" s="1"/>
      <c r="B711" s="1"/>
      <c r="C711" s="1"/>
      <c r="D711" s="1"/>
    </row>
    <row r="712" spans="1:4" ht="14.25" x14ac:dyDescent="0.2">
      <c r="A712" s="1"/>
      <c r="B712" s="1"/>
      <c r="C712" s="1"/>
      <c r="D712" s="1"/>
    </row>
    <row r="713" spans="1:4" ht="14.25" x14ac:dyDescent="0.2">
      <c r="A713" s="1"/>
      <c r="B713" s="1"/>
      <c r="C713" s="1"/>
      <c r="D713" s="1"/>
    </row>
    <row r="714" spans="1:4" ht="14.25" x14ac:dyDescent="0.2">
      <c r="A714" s="1"/>
      <c r="B714" s="1"/>
      <c r="C714" s="1"/>
      <c r="D714" s="1"/>
    </row>
    <row r="715" spans="1:4" ht="14.25" x14ac:dyDescent="0.2">
      <c r="A715" s="1"/>
      <c r="B715" s="1"/>
      <c r="C715" s="1"/>
      <c r="D715" s="1"/>
    </row>
    <row r="716" spans="1:4" ht="14.25" x14ac:dyDescent="0.2">
      <c r="A716" s="1"/>
      <c r="B716" s="1"/>
      <c r="C716" s="1"/>
      <c r="D716" s="1"/>
    </row>
    <row r="717" spans="1:4" ht="14.25" x14ac:dyDescent="0.2">
      <c r="A717" s="1"/>
      <c r="B717" s="1"/>
      <c r="C717" s="1"/>
      <c r="D717" s="1"/>
    </row>
    <row r="718" spans="1:4" ht="14.25" x14ac:dyDescent="0.2">
      <c r="A718" s="1"/>
      <c r="B718" s="1"/>
      <c r="C718" s="1"/>
      <c r="D718" s="1"/>
    </row>
    <row r="719" spans="1:4" ht="14.25" x14ac:dyDescent="0.2">
      <c r="A719" s="1"/>
      <c r="B719" s="1"/>
      <c r="C719" s="1"/>
      <c r="D719" s="1"/>
    </row>
    <row r="720" spans="1:4" ht="14.25" x14ac:dyDescent="0.2">
      <c r="A720" s="1"/>
      <c r="B720" s="1"/>
      <c r="C720" s="1"/>
      <c r="D720" s="1"/>
    </row>
    <row r="721" spans="1:4" ht="14.25" x14ac:dyDescent="0.2">
      <c r="A721" s="1"/>
      <c r="B721" s="1"/>
      <c r="C721" s="1"/>
      <c r="D721" s="1"/>
    </row>
    <row r="722" spans="1:4" ht="14.25" x14ac:dyDescent="0.2">
      <c r="A722" s="1"/>
      <c r="B722" s="1"/>
      <c r="C722" s="1"/>
      <c r="D722" s="1"/>
    </row>
    <row r="723" spans="1:4" ht="14.25" x14ac:dyDescent="0.2">
      <c r="A723" s="1"/>
      <c r="B723" s="1"/>
      <c r="C723" s="1"/>
      <c r="D723" s="1"/>
    </row>
    <row r="724" spans="1:4" ht="14.25" x14ac:dyDescent="0.2">
      <c r="A724" s="1"/>
      <c r="B724" s="1"/>
      <c r="C724" s="1"/>
      <c r="D724" s="1"/>
    </row>
    <row r="725" spans="1:4" ht="14.25" x14ac:dyDescent="0.2">
      <c r="A725" s="1"/>
      <c r="B725" s="1"/>
      <c r="C725" s="1"/>
      <c r="D725" s="1"/>
    </row>
    <row r="726" spans="1:4" ht="14.25" x14ac:dyDescent="0.2">
      <c r="A726" s="1"/>
      <c r="B726" s="1"/>
      <c r="C726" s="1"/>
      <c r="D726" s="1"/>
    </row>
    <row r="727" spans="1:4" ht="14.25" x14ac:dyDescent="0.2">
      <c r="A727" s="1"/>
      <c r="B727" s="1"/>
      <c r="C727" s="1"/>
      <c r="D727" s="1"/>
    </row>
    <row r="728" spans="1:4" ht="14.25" x14ac:dyDescent="0.2">
      <c r="A728" s="1"/>
      <c r="B728" s="1"/>
      <c r="C728" s="1"/>
      <c r="D728" s="1"/>
    </row>
    <row r="729" spans="1:4" ht="14.25" x14ac:dyDescent="0.2">
      <c r="A729" s="1"/>
      <c r="B729" s="1"/>
      <c r="C729" s="1"/>
      <c r="D729" s="1"/>
    </row>
    <row r="730" spans="1:4" ht="14.25" x14ac:dyDescent="0.2">
      <c r="A730" s="1"/>
      <c r="B730" s="1"/>
      <c r="C730" s="1"/>
      <c r="D730" s="1"/>
    </row>
    <row r="731" spans="1:4" ht="14.25" x14ac:dyDescent="0.2">
      <c r="A731" s="1"/>
      <c r="B731" s="1"/>
      <c r="C731" s="1"/>
      <c r="D731" s="1"/>
    </row>
    <row r="732" spans="1:4" ht="14.25" x14ac:dyDescent="0.2">
      <c r="A732" s="1"/>
      <c r="B732" s="1"/>
      <c r="C732" s="1"/>
      <c r="D732" s="1"/>
    </row>
    <row r="733" spans="1:4" ht="14.25" x14ac:dyDescent="0.2">
      <c r="A733" s="1"/>
      <c r="B733" s="1"/>
      <c r="C733" s="1"/>
      <c r="D733" s="1"/>
    </row>
    <row r="734" spans="1:4" ht="14.25" x14ac:dyDescent="0.2">
      <c r="A734" s="1"/>
      <c r="B734" s="1"/>
      <c r="C734" s="1"/>
      <c r="D734" s="1"/>
    </row>
    <row r="735" spans="1:4" ht="14.25" x14ac:dyDescent="0.2">
      <c r="A735" s="1"/>
      <c r="B735" s="1"/>
      <c r="C735" s="1"/>
      <c r="D735" s="1"/>
    </row>
    <row r="736" spans="1:4" ht="14.25" x14ac:dyDescent="0.2">
      <c r="A736" s="1"/>
      <c r="B736" s="1"/>
      <c r="C736" s="1"/>
      <c r="D736" s="1"/>
    </row>
    <row r="737" spans="1:4" ht="14.25" x14ac:dyDescent="0.2">
      <c r="A737" s="1"/>
      <c r="B737" s="1"/>
      <c r="C737" s="1"/>
      <c r="D737" s="1"/>
    </row>
    <row r="738" spans="1:4" ht="14.25" x14ac:dyDescent="0.2">
      <c r="A738" s="1"/>
      <c r="B738" s="1"/>
      <c r="C738" s="1"/>
      <c r="D738" s="1"/>
    </row>
    <row r="739" spans="1:4" ht="14.25" x14ac:dyDescent="0.2">
      <c r="A739" s="1"/>
      <c r="B739" s="1"/>
      <c r="C739" s="1"/>
      <c r="D739" s="1"/>
    </row>
    <row r="740" spans="1:4" ht="14.25" x14ac:dyDescent="0.2">
      <c r="A740" s="1"/>
      <c r="B740" s="1"/>
      <c r="C740" s="1"/>
      <c r="D740" s="1"/>
    </row>
    <row r="741" spans="1:4" ht="14.25" x14ac:dyDescent="0.2">
      <c r="A741" s="1"/>
      <c r="B741" s="1"/>
      <c r="C741" s="1"/>
      <c r="D741" s="1"/>
    </row>
    <row r="742" spans="1:4" ht="14.25" x14ac:dyDescent="0.2">
      <c r="A742" s="1"/>
      <c r="B742" s="1"/>
      <c r="C742" s="1"/>
      <c r="D742" s="1"/>
    </row>
    <row r="743" spans="1:4" ht="14.25" x14ac:dyDescent="0.2">
      <c r="A743" s="1"/>
      <c r="B743" s="1"/>
      <c r="C743" s="1"/>
      <c r="D743" s="1"/>
    </row>
    <row r="744" spans="1:4" ht="14.25" x14ac:dyDescent="0.2">
      <c r="A744" s="1"/>
      <c r="B744" s="1"/>
      <c r="C744" s="1"/>
      <c r="D744" s="1"/>
    </row>
    <row r="745" spans="1:4" ht="14.25" x14ac:dyDescent="0.2">
      <c r="A745" s="1"/>
      <c r="B745" s="1"/>
      <c r="C745" s="1"/>
      <c r="D745" s="1"/>
    </row>
    <row r="746" spans="1:4" ht="14.25" x14ac:dyDescent="0.2">
      <c r="A746" s="1"/>
      <c r="B746" s="1"/>
      <c r="C746" s="1"/>
      <c r="D746" s="1"/>
    </row>
    <row r="747" spans="1:4" ht="14.25" x14ac:dyDescent="0.2">
      <c r="A747" s="1"/>
      <c r="B747" s="1"/>
      <c r="C747" s="1"/>
      <c r="D747" s="1"/>
    </row>
    <row r="748" spans="1:4" ht="14.25" x14ac:dyDescent="0.2">
      <c r="A748" s="1"/>
      <c r="B748" s="1"/>
      <c r="C748" s="1"/>
      <c r="D748" s="1"/>
    </row>
    <row r="749" spans="1:4" ht="14.25" x14ac:dyDescent="0.2">
      <c r="A749" s="1"/>
      <c r="B749" s="1"/>
      <c r="C749" s="1"/>
      <c r="D749" s="1"/>
    </row>
    <row r="750" spans="1:4" ht="14.25" x14ac:dyDescent="0.2">
      <c r="A750" s="1"/>
      <c r="B750" s="1"/>
      <c r="C750" s="1"/>
      <c r="D750" s="1"/>
    </row>
    <row r="751" spans="1:4" ht="14.25" x14ac:dyDescent="0.2">
      <c r="A751" s="1"/>
      <c r="B751" s="1"/>
      <c r="C751" s="1"/>
      <c r="D751" s="1"/>
    </row>
    <row r="752" spans="1:4" ht="14.25" x14ac:dyDescent="0.2">
      <c r="A752" s="1"/>
      <c r="B752" s="1"/>
      <c r="C752" s="1"/>
      <c r="D752" s="1"/>
    </row>
    <row r="753" spans="1:4" ht="14.25" x14ac:dyDescent="0.2">
      <c r="A753" s="1"/>
      <c r="B753" s="1"/>
      <c r="C753" s="1"/>
      <c r="D753" s="1"/>
    </row>
    <row r="754" spans="1:4" ht="14.25" x14ac:dyDescent="0.2">
      <c r="A754" s="1"/>
      <c r="B754" s="1"/>
      <c r="C754" s="1"/>
      <c r="D754" s="1"/>
    </row>
    <row r="755" spans="1:4" ht="14.25" x14ac:dyDescent="0.2">
      <c r="A755" s="1"/>
      <c r="B755" s="1"/>
      <c r="C755" s="1"/>
      <c r="D755" s="1"/>
    </row>
    <row r="756" spans="1:4" ht="14.25" x14ac:dyDescent="0.2">
      <c r="A756" s="1"/>
      <c r="B756" s="1"/>
      <c r="C756" s="1"/>
      <c r="D756" s="1"/>
    </row>
    <row r="757" spans="1:4" ht="14.25" x14ac:dyDescent="0.2">
      <c r="A757" s="1"/>
      <c r="B757" s="1"/>
      <c r="C757" s="1"/>
      <c r="D757" s="1"/>
    </row>
    <row r="758" spans="1:4" ht="14.25" x14ac:dyDescent="0.2">
      <c r="A758" s="1"/>
      <c r="B758" s="1"/>
      <c r="C758" s="1"/>
      <c r="D758" s="1"/>
    </row>
    <row r="759" spans="1:4" ht="14.25" x14ac:dyDescent="0.2">
      <c r="A759" s="1"/>
      <c r="B759" s="1"/>
      <c r="C759" s="1"/>
      <c r="D759" s="1"/>
    </row>
    <row r="760" spans="1:4" ht="14.25" x14ac:dyDescent="0.2">
      <c r="A760" s="1"/>
      <c r="B760" s="1"/>
      <c r="C760" s="1"/>
      <c r="D760" s="1"/>
    </row>
    <row r="761" spans="1:4" ht="14.25" x14ac:dyDescent="0.2">
      <c r="A761" s="1"/>
      <c r="B761" s="1"/>
      <c r="C761" s="1"/>
      <c r="D761" s="1"/>
    </row>
    <row r="762" spans="1:4" ht="14.25" x14ac:dyDescent="0.2">
      <c r="A762" s="1"/>
      <c r="B762" s="1"/>
      <c r="C762" s="1"/>
      <c r="D762" s="1"/>
    </row>
    <row r="763" spans="1:4" ht="14.25" x14ac:dyDescent="0.2">
      <c r="A763" s="1"/>
      <c r="B763" s="1"/>
      <c r="C763" s="1"/>
      <c r="D763" s="1"/>
    </row>
    <row r="764" spans="1:4" ht="14.25" x14ac:dyDescent="0.2">
      <c r="A764" s="1"/>
      <c r="B764" s="1"/>
      <c r="C764" s="1"/>
      <c r="D764" s="1"/>
    </row>
    <row r="765" spans="1:4" ht="14.25" x14ac:dyDescent="0.2">
      <c r="A765" s="1"/>
      <c r="B765" s="1"/>
      <c r="C765" s="1"/>
      <c r="D765" s="1"/>
    </row>
    <row r="766" spans="1:4" ht="14.25" x14ac:dyDescent="0.2">
      <c r="A766" s="1"/>
      <c r="B766" s="1"/>
      <c r="C766" s="1"/>
      <c r="D766" s="1"/>
    </row>
    <row r="767" spans="1:4" ht="14.25" x14ac:dyDescent="0.2">
      <c r="A767" s="1"/>
      <c r="B767" s="1"/>
      <c r="C767" s="1"/>
      <c r="D767" s="1"/>
    </row>
    <row r="768" spans="1:4" ht="14.25" x14ac:dyDescent="0.2">
      <c r="A768" s="1"/>
      <c r="B768" s="1"/>
      <c r="C768" s="1"/>
      <c r="D768" s="1"/>
    </row>
    <row r="769" spans="1:4" ht="14.25" x14ac:dyDescent="0.2">
      <c r="A769" s="1"/>
      <c r="B769" s="1"/>
      <c r="C769" s="1"/>
      <c r="D769" s="1"/>
    </row>
    <row r="770" spans="1:4" ht="14.25" x14ac:dyDescent="0.2">
      <c r="A770" s="1"/>
      <c r="B770" s="1"/>
      <c r="C770" s="1"/>
      <c r="D770" s="1"/>
    </row>
    <row r="771" spans="1:4" ht="14.25" x14ac:dyDescent="0.2">
      <c r="A771" s="1"/>
      <c r="B771" s="1"/>
      <c r="C771" s="1"/>
      <c r="D771" s="1"/>
    </row>
    <row r="772" spans="1:4" ht="14.25" x14ac:dyDescent="0.2">
      <c r="A772" s="1"/>
      <c r="B772" s="1"/>
      <c r="C772" s="1"/>
      <c r="D772" s="1"/>
    </row>
    <row r="773" spans="1:4" ht="14.25" x14ac:dyDescent="0.2">
      <c r="A773" s="1"/>
      <c r="B773" s="1"/>
      <c r="C773" s="1"/>
      <c r="D773" s="1"/>
    </row>
    <row r="774" spans="1:4" ht="14.25" x14ac:dyDescent="0.2">
      <c r="A774" s="1"/>
      <c r="B774" s="1"/>
      <c r="C774" s="1"/>
      <c r="D774" s="1"/>
    </row>
    <row r="775" spans="1:4" ht="14.25" x14ac:dyDescent="0.2">
      <c r="A775" s="1"/>
      <c r="B775" s="1"/>
      <c r="C775" s="1"/>
      <c r="D775" s="1"/>
    </row>
    <row r="776" spans="1:4" ht="14.25" x14ac:dyDescent="0.2">
      <c r="A776" s="1"/>
      <c r="B776" s="1"/>
      <c r="C776" s="1"/>
      <c r="D776" s="1"/>
    </row>
    <row r="777" spans="1:4" ht="14.25" x14ac:dyDescent="0.2">
      <c r="A777" s="1"/>
      <c r="B777" s="1"/>
      <c r="C777" s="1"/>
      <c r="D777" s="1"/>
    </row>
    <row r="778" spans="1:4" ht="14.25" x14ac:dyDescent="0.2">
      <c r="A778" s="1"/>
      <c r="B778" s="1"/>
      <c r="C778" s="1"/>
      <c r="D778" s="1"/>
    </row>
    <row r="779" spans="1:4" ht="14.25" x14ac:dyDescent="0.2">
      <c r="A779" s="1"/>
      <c r="B779" s="1"/>
      <c r="C779" s="1"/>
      <c r="D779" s="1"/>
    </row>
    <row r="780" spans="1:4" ht="14.25" x14ac:dyDescent="0.2">
      <c r="A780" s="1"/>
      <c r="B780" s="1"/>
      <c r="C780" s="1"/>
      <c r="D780" s="1"/>
    </row>
    <row r="781" spans="1:4" ht="14.25" x14ac:dyDescent="0.2">
      <c r="A781" s="1"/>
      <c r="B781" s="1"/>
      <c r="C781" s="1"/>
      <c r="D781" s="1"/>
    </row>
    <row r="782" spans="1:4" ht="14.25" x14ac:dyDescent="0.2">
      <c r="A782" s="1"/>
      <c r="B782" s="1"/>
      <c r="C782" s="1"/>
      <c r="D782" s="1"/>
    </row>
    <row r="783" spans="1:4" ht="14.25" x14ac:dyDescent="0.2">
      <c r="A783" s="1"/>
      <c r="B783" s="1"/>
      <c r="C783" s="1"/>
      <c r="D783" s="1"/>
    </row>
    <row r="784" spans="1:4" ht="14.25" x14ac:dyDescent="0.2">
      <c r="A784" s="1"/>
      <c r="B784" s="1"/>
      <c r="C784" s="1"/>
      <c r="D784" s="1"/>
    </row>
    <row r="785" spans="1:4" ht="14.25" x14ac:dyDescent="0.2">
      <c r="A785" s="1"/>
      <c r="B785" s="1"/>
      <c r="C785" s="1"/>
      <c r="D785" s="1"/>
    </row>
    <row r="786" spans="1:4" ht="14.25" x14ac:dyDescent="0.2">
      <c r="A786" s="1"/>
      <c r="B786" s="1"/>
      <c r="C786" s="1"/>
      <c r="D786" s="1"/>
    </row>
    <row r="787" spans="1:4" ht="14.25" x14ac:dyDescent="0.2">
      <c r="A787" s="1"/>
      <c r="B787" s="1"/>
      <c r="C787" s="1"/>
      <c r="D787" s="1"/>
    </row>
    <row r="788" spans="1:4" ht="14.25" x14ac:dyDescent="0.2">
      <c r="A788" s="1"/>
      <c r="B788" s="1"/>
      <c r="C788" s="1"/>
      <c r="D788" s="1"/>
    </row>
    <row r="789" spans="1:4" ht="14.25" x14ac:dyDescent="0.2">
      <c r="A789" s="1"/>
      <c r="B789" s="1"/>
      <c r="C789" s="1"/>
      <c r="D789" s="1"/>
    </row>
    <row r="790" spans="1:4" ht="14.25" x14ac:dyDescent="0.2">
      <c r="A790" s="1"/>
      <c r="B790" s="1"/>
      <c r="C790" s="1"/>
      <c r="D790" s="1"/>
    </row>
    <row r="791" spans="1:4" ht="14.25" x14ac:dyDescent="0.2">
      <c r="A791" s="1"/>
      <c r="B791" s="1"/>
      <c r="C791" s="1"/>
      <c r="D791" s="1"/>
    </row>
    <row r="792" spans="1:4" ht="14.25" x14ac:dyDescent="0.2">
      <c r="A792" s="1"/>
      <c r="B792" s="1"/>
      <c r="C792" s="1"/>
      <c r="D792" s="1"/>
    </row>
    <row r="793" spans="1:4" ht="14.25" x14ac:dyDescent="0.2">
      <c r="A793" s="1"/>
      <c r="B793" s="1"/>
      <c r="C793" s="1"/>
      <c r="D793" s="1"/>
    </row>
    <row r="794" spans="1:4" ht="14.25" x14ac:dyDescent="0.2">
      <c r="A794" s="1"/>
      <c r="B794" s="1"/>
      <c r="C794" s="1"/>
      <c r="D794" s="1"/>
    </row>
    <row r="795" spans="1:4" ht="14.25" x14ac:dyDescent="0.2">
      <c r="A795" s="1"/>
      <c r="B795" s="1"/>
      <c r="C795" s="1"/>
      <c r="D795" s="1"/>
    </row>
    <row r="796" spans="1:4" ht="14.25" x14ac:dyDescent="0.2">
      <c r="A796" s="1"/>
      <c r="B796" s="1"/>
      <c r="C796" s="1"/>
      <c r="D796" s="1"/>
    </row>
    <row r="797" spans="1:4" ht="14.25" x14ac:dyDescent="0.2">
      <c r="A797" s="1"/>
      <c r="B797" s="1"/>
      <c r="C797" s="1"/>
      <c r="D797" s="1"/>
    </row>
    <row r="798" spans="1:4" ht="14.25" x14ac:dyDescent="0.2">
      <c r="A798" s="1"/>
      <c r="B798" s="1"/>
      <c r="C798" s="1"/>
      <c r="D798" s="1"/>
    </row>
    <row r="799" spans="1:4" ht="14.25" x14ac:dyDescent="0.2">
      <c r="A799" s="1"/>
      <c r="B799" s="1"/>
      <c r="C799" s="1"/>
      <c r="D799" s="1"/>
    </row>
    <row r="800" spans="1:4" ht="14.25" x14ac:dyDescent="0.2">
      <c r="A800" s="1"/>
      <c r="B800" s="1"/>
      <c r="C800" s="1"/>
      <c r="D800" s="1"/>
    </row>
    <row r="801" spans="1:4" ht="14.25" x14ac:dyDescent="0.2">
      <c r="A801" s="1"/>
      <c r="B801" s="1"/>
      <c r="C801" s="1"/>
      <c r="D801" s="1"/>
    </row>
    <row r="802" spans="1:4" ht="14.25" x14ac:dyDescent="0.2">
      <c r="A802" s="1"/>
      <c r="B802" s="1"/>
      <c r="C802" s="1"/>
      <c r="D802" s="1"/>
    </row>
    <row r="803" spans="1:4" ht="14.25" x14ac:dyDescent="0.2">
      <c r="A803" s="1"/>
      <c r="B803" s="1"/>
      <c r="C803" s="1"/>
      <c r="D803" s="1"/>
    </row>
    <row r="804" spans="1:4" ht="14.25" x14ac:dyDescent="0.2">
      <c r="A804" s="1"/>
      <c r="B804" s="1"/>
      <c r="C804" s="1"/>
      <c r="D804" s="1"/>
    </row>
    <row r="805" spans="1:4" ht="14.25" x14ac:dyDescent="0.2">
      <c r="A805" s="1"/>
      <c r="B805" s="1"/>
      <c r="C805" s="1"/>
      <c r="D805" s="1"/>
    </row>
    <row r="806" spans="1:4" ht="14.25" x14ac:dyDescent="0.2">
      <c r="A806" s="1"/>
      <c r="B806" s="1"/>
      <c r="C806" s="1"/>
      <c r="D806" s="1"/>
    </row>
    <row r="807" spans="1:4" ht="14.25" x14ac:dyDescent="0.2">
      <c r="A807" s="1"/>
      <c r="B807" s="1"/>
      <c r="C807" s="1"/>
      <c r="D807" s="1"/>
    </row>
    <row r="808" spans="1:4" ht="14.25" x14ac:dyDescent="0.2">
      <c r="A808" s="1"/>
      <c r="B808" s="1"/>
      <c r="C808" s="1"/>
      <c r="D808" s="1"/>
    </row>
    <row r="809" spans="1:4" ht="14.25" x14ac:dyDescent="0.2">
      <c r="A809" s="1"/>
      <c r="B809" s="1"/>
      <c r="C809" s="1"/>
      <c r="D809" s="1"/>
    </row>
    <row r="810" spans="1:4" ht="14.25" x14ac:dyDescent="0.2">
      <c r="A810" s="1"/>
      <c r="B810" s="1"/>
      <c r="C810" s="1"/>
      <c r="D810" s="1"/>
    </row>
    <row r="811" spans="1:4" ht="14.25" x14ac:dyDescent="0.2">
      <c r="A811" s="1"/>
      <c r="B811" s="1"/>
      <c r="C811" s="1"/>
      <c r="D811" s="1"/>
    </row>
    <row r="812" spans="1:4" ht="14.25" x14ac:dyDescent="0.2">
      <c r="A812" s="1"/>
      <c r="B812" s="1"/>
      <c r="C812" s="1"/>
      <c r="D812" s="1"/>
    </row>
    <row r="813" spans="1:4" ht="14.25" x14ac:dyDescent="0.2">
      <c r="A813" s="1"/>
      <c r="B813" s="1"/>
      <c r="C813" s="1"/>
      <c r="D813" s="1"/>
    </row>
    <row r="814" spans="1:4" ht="14.25" x14ac:dyDescent="0.2">
      <c r="A814" s="1"/>
      <c r="B814" s="1"/>
      <c r="C814" s="1"/>
      <c r="D814" s="1"/>
    </row>
    <row r="815" spans="1:4" ht="14.25" x14ac:dyDescent="0.2">
      <c r="A815" s="1"/>
      <c r="B815" s="1"/>
      <c r="C815" s="1"/>
      <c r="D815" s="1"/>
    </row>
    <row r="816" spans="1:4" ht="14.25" x14ac:dyDescent="0.2">
      <c r="A816" s="1"/>
      <c r="B816" s="1"/>
      <c r="C816" s="1"/>
      <c r="D816" s="1"/>
    </row>
    <row r="817" spans="1:4" ht="14.25" x14ac:dyDescent="0.2">
      <c r="A817" s="1"/>
      <c r="B817" s="1"/>
      <c r="C817" s="1"/>
      <c r="D817" s="1"/>
    </row>
    <row r="818" spans="1:4" ht="14.25" x14ac:dyDescent="0.2">
      <c r="A818" s="1"/>
      <c r="B818" s="1"/>
      <c r="C818" s="1"/>
      <c r="D818" s="1"/>
    </row>
    <row r="819" spans="1:4" ht="14.25" x14ac:dyDescent="0.2">
      <c r="A819" s="1"/>
      <c r="B819" s="1"/>
      <c r="C819" s="1"/>
      <c r="D819" s="1"/>
    </row>
    <row r="820" spans="1:4" ht="14.25" x14ac:dyDescent="0.2">
      <c r="A820" s="1"/>
      <c r="B820" s="1"/>
      <c r="C820" s="1"/>
      <c r="D820" s="1"/>
    </row>
    <row r="821" spans="1:4" ht="14.25" x14ac:dyDescent="0.2">
      <c r="A821" s="1"/>
      <c r="B821" s="1"/>
      <c r="C821" s="1"/>
      <c r="D821" s="1"/>
    </row>
    <row r="822" spans="1:4" ht="14.25" x14ac:dyDescent="0.2">
      <c r="A822" s="1"/>
      <c r="B822" s="1"/>
      <c r="C822" s="1"/>
      <c r="D822" s="1"/>
    </row>
    <row r="823" spans="1:4" ht="14.25" x14ac:dyDescent="0.2">
      <c r="A823" s="1"/>
      <c r="B823" s="1"/>
      <c r="C823" s="1"/>
      <c r="D823" s="1"/>
    </row>
    <row r="824" spans="1:4" ht="14.25" x14ac:dyDescent="0.2">
      <c r="A824" s="1"/>
      <c r="B824" s="1"/>
      <c r="C824" s="1"/>
      <c r="D824" s="1"/>
    </row>
    <row r="825" spans="1:4" ht="14.25" x14ac:dyDescent="0.2">
      <c r="A825" s="1"/>
      <c r="B825" s="1"/>
      <c r="C825" s="1"/>
      <c r="D825" s="1"/>
    </row>
    <row r="826" spans="1:4" ht="14.25" x14ac:dyDescent="0.2">
      <c r="A826" s="1"/>
      <c r="B826" s="1"/>
      <c r="C826" s="1"/>
      <c r="D826" s="1"/>
    </row>
    <row r="827" spans="1:4" ht="14.25" x14ac:dyDescent="0.2">
      <c r="A827" s="1"/>
      <c r="B827" s="1"/>
      <c r="C827" s="1"/>
      <c r="D827" s="1"/>
    </row>
    <row r="828" spans="1:4" ht="14.25" x14ac:dyDescent="0.2">
      <c r="A828" s="1"/>
      <c r="B828" s="1"/>
      <c r="C828" s="1"/>
      <c r="D828" s="1"/>
    </row>
    <row r="829" spans="1:4" ht="14.25" x14ac:dyDescent="0.2">
      <c r="A829" s="1"/>
      <c r="B829" s="1"/>
      <c r="C829" s="1"/>
      <c r="D829" s="1"/>
    </row>
    <row r="830" spans="1:4" ht="14.25" x14ac:dyDescent="0.2">
      <c r="A830" s="1"/>
      <c r="B830" s="1"/>
      <c r="C830" s="1"/>
      <c r="D830" s="1"/>
    </row>
    <row r="831" spans="1:4" ht="14.25" x14ac:dyDescent="0.2">
      <c r="A831" s="1"/>
      <c r="B831" s="1"/>
      <c r="C831" s="1"/>
      <c r="D831" s="1"/>
    </row>
    <row r="832" spans="1:4" ht="14.25" x14ac:dyDescent="0.2">
      <c r="A832" s="1"/>
      <c r="B832" s="1"/>
      <c r="C832" s="1"/>
      <c r="D832" s="1"/>
    </row>
    <row r="833" spans="1:4" ht="14.25" x14ac:dyDescent="0.2">
      <c r="A833" s="1"/>
      <c r="B833" s="1"/>
      <c r="C833" s="1"/>
      <c r="D833" s="1"/>
    </row>
    <row r="834" spans="1:4" ht="14.25" x14ac:dyDescent="0.2">
      <c r="A834" s="1"/>
      <c r="B834" s="1"/>
      <c r="C834" s="1"/>
      <c r="D834" s="1"/>
    </row>
    <row r="835" spans="1:4" ht="14.25" x14ac:dyDescent="0.2">
      <c r="A835" s="1"/>
      <c r="B835" s="1"/>
      <c r="C835" s="1"/>
      <c r="D835" s="1"/>
    </row>
    <row r="836" spans="1:4" ht="14.25" x14ac:dyDescent="0.2">
      <c r="A836" s="1"/>
      <c r="B836" s="1"/>
      <c r="C836" s="1"/>
      <c r="D836" s="1"/>
    </row>
    <row r="837" spans="1:4" ht="14.25" x14ac:dyDescent="0.2">
      <c r="A837" s="1"/>
      <c r="B837" s="1"/>
      <c r="C837" s="1"/>
      <c r="D837" s="1"/>
    </row>
    <row r="838" spans="1:4" ht="14.25" x14ac:dyDescent="0.2">
      <c r="A838" s="1"/>
      <c r="B838" s="1"/>
      <c r="C838" s="1"/>
      <c r="D838" s="1"/>
    </row>
    <row r="839" spans="1:4" ht="14.25" x14ac:dyDescent="0.2">
      <c r="A839" s="1"/>
      <c r="B839" s="1"/>
      <c r="C839" s="1"/>
      <c r="D839" s="1"/>
    </row>
    <row r="840" spans="1:4" ht="14.25" x14ac:dyDescent="0.2">
      <c r="A840" s="1"/>
      <c r="B840" s="1"/>
      <c r="C840" s="1"/>
      <c r="D840" s="1"/>
    </row>
    <row r="841" spans="1:4" ht="14.25" x14ac:dyDescent="0.2">
      <c r="A841" s="1"/>
      <c r="B841" s="1"/>
      <c r="C841" s="1"/>
      <c r="D841" s="1"/>
    </row>
    <row r="842" spans="1:4" ht="14.25" x14ac:dyDescent="0.2">
      <c r="A842" s="1"/>
      <c r="B842" s="1"/>
      <c r="C842" s="1"/>
      <c r="D842" s="1"/>
    </row>
    <row r="843" spans="1:4" ht="14.25" x14ac:dyDescent="0.2">
      <c r="A843" s="1"/>
      <c r="B843" s="1"/>
      <c r="C843" s="1"/>
      <c r="D843" s="1"/>
    </row>
    <row r="844" spans="1:4" ht="14.25" x14ac:dyDescent="0.2">
      <c r="A844" s="1"/>
      <c r="B844" s="1"/>
      <c r="C844" s="1"/>
      <c r="D844" s="1"/>
    </row>
    <row r="845" spans="1:4" ht="14.25" x14ac:dyDescent="0.2">
      <c r="A845" s="1"/>
      <c r="B845" s="1"/>
      <c r="C845" s="1"/>
      <c r="D845" s="1"/>
    </row>
    <row r="846" spans="1:4" ht="14.25" x14ac:dyDescent="0.2">
      <c r="A846" s="1"/>
      <c r="B846" s="1"/>
      <c r="C846" s="1"/>
      <c r="D846" s="1"/>
    </row>
    <row r="847" spans="1:4" ht="14.25" x14ac:dyDescent="0.2">
      <c r="A847" s="1"/>
      <c r="B847" s="1"/>
      <c r="C847" s="1"/>
      <c r="D847" s="1"/>
    </row>
    <row r="848" spans="1:4" ht="14.25" x14ac:dyDescent="0.2">
      <c r="A848" s="1"/>
      <c r="B848" s="1"/>
      <c r="C848" s="1"/>
      <c r="D848" s="1"/>
    </row>
    <row r="849" spans="1:4" ht="14.25" x14ac:dyDescent="0.2">
      <c r="A849" s="1"/>
      <c r="B849" s="1"/>
      <c r="C849" s="1"/>
      <c r="D849" s="1"/>
    </row>
    <row r="850" spans="1:4" ht="14.25" x14ac:dyDescent="0.2">
      <c r="A850" s="1"/>
      <c r="B850" s="1"/>
      <c r="C850" s="1"/>
      <c r="D850" s="1"/>
    </row>
    <row r="851" spans="1:4" ht="14.25" x14ac:dyDescent="0.2">
      <c r="A851" s="1"/>
      <c r="B851" s="1"/>
      <c r="C851" s="1"/>
      <c r="D851" s="1"/>
    </row>
    <row r="852" spans="1:4" ht="14.25" x14ac:dyDescent="0.2">
      <c r="A852" s="1"/>
      <c r="B852" s="1"/>
      <c r="C852" s="1"/>
      <c r="D852" s="1"/>
    </row>
    <row r="853" spans="1:4" ht="14.25" x14ac:dyDescent="0.2">
      <c r="A853" s="1"/>
      <c r="B853" s="1"/>
      <c r="C853" s="1"/>
      <c r="D853" s="1"/>
    </row>
    <row r="854" spans="1:4" ht="14.25" x14ac:dyDescent="0.2">
      <c r="A854" s="1"/>
      <c r="B854" s="1"/>
      <c r="C854" s="1"/>
      <c r="D854" s="1"/>
    </row>
    <row r="855" spans="1:4" ht="14.25" x14ac:dyDescent="0.2">
      <c r="A855" s="1"/>
      <c r="B855" s="1"/>
      <c r="C855" s="1"/>
      <c r="D855" s="1"/>
    </row>
    <row r="856" spans="1:4" ht="14.25" x14ac:dyDescent="0.2">
      <c r="A856" s="1"/>
      <c r="B856" s="1"/>
      <c r="C856" s="1"/>
      <c r="D856" s="1"/>
    </row>
    <row r="857" spans="1:4" ht="14.25" x14ac:dyDescent="0.2">
      <c r="A857" s="1"/>
      <c r="B857" s="1"/>
      <c r="C857" s="1"/>
      <c r="D857" s="1"/>
    </row>
    <row r="858" spans="1:4" ht="14.25" x14ac:dyDescent="0.2">
      <c r="A858" s="1"/>
      <c r="B858" s="1"/>
      <c r="C858" s="1"/>
      <c r="D858" s="1"/>
    </row>
    <row r="859" spans="1:4" ht="14.25" x14ac:dyDescent="0.2">
      <c r="A859" s="1"/>
      <c r="B859" s="1"/>
      <c r="C859" s="1"/>
      <c r="D859" s="1"/>
    </row>
    <row r="860" spans="1:4" ht="14.25" x14ac:dyDescent="0.2">
      <c r="A860" s="1"/>
      <c r="B860" s="1"/>
      <c r="C860" s="1"/>
      <c r="D860" s="1"/>
    </row>
    <row r="861" spans="1:4" ht="14.25" x14ac:dyDescent="0.2">
      <c r="A861" s="1"/>
      <c r="B861" s="1"/>
      <c r="C861" s="1"/>
      <c r="D861" s="1"/>
    </row>
    <row r="862" spans="1:4" ht="14.25" x14ac:dyDescent="0.2">
      <c r="A862" s="1"/>
      <c r="B862" s="1"/>
      <c r="C862" s="1"/>
      <c r="D862" s="1"/>
    </row>
    <row r="863" spans="1:4" ht="14.25" x14ac:dyDescent="0.2">
      <c r="A863" s="1"/>
      <c r="B863" s="1"/>
      <c r="C863" s="1"/>
      <c r="D863" s="1"/>
    </row>
    <row r="864" spans="1:4" ht="14.25" x14ac:dyDescent="0.2">
      <c r="A864" s="1"/>
      <c r="B864" s="1"/>
      <c r="C864" s="1"/>
      <c r="D864" s="1"/>
    </row>
    <row r="865" spans="1:4" ht="14.25" x14ac:dyDescent="0.2">
      <c r="A865" s="1"/>
      <c r="B865" s="1"/>
      <c r="C865" s="1"/>
      <c r="D865" s="1"/>
    </row>
    <row r="866" spans="1:4" ht="14.25" x14ac:dyDescent="0.2">
      <c r="A866" s="1"/>
      <c r="B866" s="1"/>
      <c r="C866" s="1"/>
      <c r="D866" s="1"/>
    </row>
    <row r="867" spans="1:4" ht="14.25" x14ac:dyDescent="0.2">
      <c r="A867" s="1"/>
      <c r="B867" s="1"/>
      <c r="C867" s="1"/>
      <c r="D867" s="1"/>
    </row>
    <row r="868" spans="1:4" ht="14.25" x14ac:dyDescent="0.2">
      <c r="A868" s="1"/>
      <c r="B868" s="1"/>
      <c r="C868" s="1"/>
      <c r="D868" s="1"/>
    </row>
    <row r="869" spans="1:4" ht="14.25" x14ac:dyDescent="0.2">
      <c r="A869" s="1"/>
      <c r="B869" s="1"/>
      <c r="C869" s="1"/>
      <c r="D869" s="1"/>
    </row>
    <row r="870" spans="1:4" ht="14.25" x14ac:dyDescent="0.2">
      <c r="A870" s="1"/>
      <c r="B870" s="1"/>
      <c r="C870" s="1"/>
      <c r="D870" s="1"/>
    </row>
    <row r="871" spans="1:4" ht="14.25" x14ac:dyDescent="0.2">
      <c r="A871" s="1"/>
      <c r="B871" s="1"/>
      <c r="C871" s="1"/>
      <c r="D871" s="1"/>
    </row>
    <row r="872" spans="1:4" ht="14.25" x14ac:dyDescent="0.2">
      <c r="A872" s="1"/>
      <c r="B872" s="1"/>
      <c r="C872" s="1"/>
      <c r="D872" s="1"/>
    </row>
    <row r="1363" spans="11:11" x14ac:dyDescent="0.15">
      <c r="K1363" s="3"/>
    </row>
    <row r="1367" spans="11:11" x14ac:dyDescent="0.15">
      <c r="K1367" s="3"/>
    </row>
    <row r="1408" spans="11:11" x14ac:dyDescent="0.15">
      <c r="K1408" s="3"/>
    </row>
    <row r="1420" spans="11:11" x14ac:dyDescent="0.15">
      <c r="K1420" s="3"/>
    </row>
    <row r="1430" spans="11:11" x14ac:dyDescent="0.15">
      <c r="K1430" s="3"/>
    </row>
  </sheetData>
  <sortState ref="K36:O55">
    <sortCondition ref="K59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1"/>
  <sheetViews>
    <sheetView workbookViewId="0">
      <selection activeCell="E17" sqref="E17"/>
    </sheetView>
  </sheetViews>
  <sheetFormatPr defaultRowHeight="13.5" x14ac:dyDescent="0.15"/>
  <cols>
    <col min="1" max="1" width="37.125" customWidth="1"/>
    <col min="2" max="2" width="15" customWidth="1"/>
    <col min="3" max="4" width="15.375" bestFit="1" customWidth="1"/>
  </cols>
  <sheetData>
    <row r="1" spans="1:15" ht="49.5" x14ac:dyDescent="0.15">
      <c r="A1" s="5" t="s">
        <v>5</v>
      </c>
      <c r="B1" s="6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9" t="s">
        <v>28</v>
      </c>
      <c r="N1" s="8" t="s">
        <v>27</v>
      </c>
      <c r="O1" s="10" t="s">
        <v>29</v>
      </c>
    </row>
    <row r="2" spans="1:15" ht="63" x14ac:dyDescent="0.15">
      <c r="A2" s="21">
        <v>34040</v>
      </c>
      <c r="B2" s="15" t="s">
        <v>3753</v>
      </c>
      <c r="C2" s="15" t="s">
        <v>2068</v>
      </c>
      <c r="D2" s="15" t="s">
        <v>2069</v>
      </c>
      <c r="E2" s="15" t="s">
        <v>24</v>
      </c>
      <c r="F2" s="15" t="s">
        <v>25</v>
      </c>
      <c r="G2" s="22" t="s">
        <v>2070</v>
      </c>
      <c r="H2" s="22" t="s">
        <v>3758</v>
      </c>
      <c r="I2" s="15">
        <v>0</v>
      </c>
      <c r="J2" s="15">
        <v>0</v>
      </c>
      <c r="K2" s="15" t="s">
        <v>26</v>
      </c>
      <c r="L2" s="22" t="s">
        <v>3756</v>
      </c>
      <c r="M2" s="23" t="s">
        <v>3754</v>
      </c>
      <c r="N2" s="36" t="s">
        <v>3755</v>
      </c>
      <c r="O2" s="24" t="s">
        <v>3757</v>
      </c>
    </row>
    <row r="3" spans="1:15" x14ac:dyDescent="0.15">
      <c r="A3" s="25" t="s">
        <v>268</v>
      </c>
      <c r="B3" s="26"/>
      <c r="C3" s="26"/>
      <c r="D3" s="26"/>
      <c r="E3" s="26"/>
      <c r="F3" s="26"/>
      <c r="G3" s="26" t="s">
        <v>8739</v>
      </c>
      <c r="H3" s="26" t="s">
        <v>8870</v>
      </c>
      <c r="I3" s="26"/>
      <c r="J3" s="26"/>
      <c r="K3" s="26" t="s">
        <v>3405</v>
      </c>
      <c r="L3" s="26" t="s">
        <v>8742</v>
      </c>
      <c r="M3" s="27" t="s">
        <v>8743</v>
      </c>
      <c r="N3" s="27" t="s">
        <v>3405</v>
      </c>
      <c r="O3" s="28" t="s">
        <v>8744</v>
      </c>
    </row>
    <row r="4" spans="1:15" x14ac:dyDescent="0.15">
      <c r="A4" s="35" t="s">
        <v>8740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 t="s">
        <v>8745</v>
      </c>
      <c r="N4" s="27"/>
      <c r="O4" s="53" t="s">
        <v>8741</v>
      </c>
    </row>
    <row r="5" spans="1:15" x14ac:dyDescent="0.15">
      <c r="A5" s="34" t="s">
        <v>266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23"/>
      <c r="N5" s="23"/>
      <c r="O5" s="24"/>
    </row>
    <row r="6" spans="1:15" x14ac:dyDescent="0.15">
      <c r="A6" s="25" t="s">
        <v>3742</v>
      </c>
      <c r="B6" s="26"/>
      <c r="C6" s="26"/>
      <c r="D6" s="26"/>
      <c r="E6" s="26"/>
      <c r="F6" s="26"/>
      <c r="G6" s="26"/>
      <c r="H6" s="26" t="s">
        <v>8871</v>
      </c>
      <c r="I6" s="26"/>
      <c r="J6" s="26"/>
      <c r="K6" s="26"/>
      <c r="L6" s="26" t="s">
        <v>8746</v>
      </c>
      <c r="M6" s="27" t="s">
        <v>8747</v>
      </c>
      <c r="N6" s="27" t="s">
        <v>8890</v>
      </c>
      <c r="O6" s="28" t="s">
        <v>8878</v>
      </c>
    </row>
    <row r="7" spans="1:15" x14ac:dyDescent="0.15">
      <c r="A7" s="25" t="s">
        <v>8873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8872</v>
      </c>
      <c r="N7" s="27" t="s">
        <v>8874</v>
      </c>
      <c r="O7" s="28" t="s">
        <v>8879</v>
      </c>
    </row>
    <row r="8" spans="1:15" x14ac:dyDescent="0.15">
      <c r="A8" s="25" t="s">
        <v>8749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 t="s">
        <v>8750</v>
      </c>
      <c r="N8" s="27" t="s">
        <v>8751</v>
      </c>
      <c r="O8" s="28" t="s">
        <v>8880</v>
      </c>
    </row>
    <row r="9" spans="1:15" x14ac:dyDescent="0.15">
      <c r="A9" s="29" t="s">
        <v>8875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1" t="s">
        <v>8877</v>
      </c>
      <c r="N9" s="31" t="s">
        <v>8876</v>
      </c>
      <c r="O9" s="32" t="s">
        <v>8881</v>
      </c>
    </row>
    <row r="12" spans="1:15" x14ac:dyDescent="0.15">
      <c r="B12" s="5" t="s">
        <v>5</v>
      </c>
      <c r="C12" s="6" t="s">
        <v>8899</v>
      </c>
      <c r="D12" t="s">
        <v>8883</v>
      </c>
      <c r="E12" t="s">
        <v>8884</v>
      </c>
    </row>
    <row r="13" spans="1:15" x14ac:dyDescent="0.15">
      <c r="B13" s="21" t="s">
        <v>8900</v>
      </c>
      <c r="C13" s="15" t="s">
        <v>3753</v>
      </c>
      <c r="D13" t="s">
        <v>8885</v>
      </c>
      <c r="E13" t="s">
        <v>8886</v>
      </c>
    </row>
    <row r="14" spans="1:15" x14ac:dyDescent="0.15">
      <c r="A14" t="s">
        <v>8889</v>
      </c>
      <c r="D14" t="s">
        <v>8895</v>
      </c>
      <c r="E14" t="s">
        <v>8891</v>
      </c>
    </row>
    <row r="15" spans="1:15" x14ac:dyDescent="0.15">
      <c r="A15" t="s">
        <v>8892</v>
      </c>
      <c r="D15" t="s">
        <v>8896</v>
      </c>
      <c r="E15" t="s">
        <v>8893</v>
      </c>
    </row>
    <row r="16" spans="1:15" x14ac:dyDescent="0.15">
      <c r="A16" t="s">
        <v>8897</v>
      </c>
      <c r="D16" t="s">
        <v>8898</v>
      </c>
      <c r="E16" t="s">
        <v>8894</v>
      </c>
    </row>
    <row r="17" spans="1:16" ht="14.25" x14ac:dyDescent="0.2">
      <c r="A17" t="s">
        <v>8887</v>
      </c>
      <c r="D17" t="s">
        <v>8902</v>
      </c>
      <c r="E17" t="s">
        <v>8888</v>
      </c>
      <c r="N17" s="1"/>
      <c r="P17" s="1"/>
    </row>
    <row r="18" spans="1:16" ht="14.25" x14ac:dyDescent="0.2">
      <c r="K18" s="1"/>
      <c r="L18" s="1"/>
      <c r="N18" s="1"/>
      <c r="P18" s="1"/>
    </row>
    <row r="19" spans="1:16" ht="14.25" x14ac:dyDescent="0.2">
      <c r="H19" s="1"/>
      <c r="K19" s="1"/>
      <c r="L19" s="1"/>
      <c r="N19" s="1"/>
      <c r="P19" s="1"/>
    </row>
    <row r="20" spans="1:16" ht="14.25" x14ac:dyDescent="0.2">
      <c r="H20" s="1"/>
      <c r="K20" s="1"/>
      <c r="L20" s="1"/>
      <c r="N20" s="1"/>
      <c r="P20" s="1"/>
    </row>
    <row r="21" spans="1:16" ht="14.25" x14ac:dyDescent="0.2">
      <c r="H21" s="1"/>
      <c r="K21" s="1"/>
      <c r="L21" s="1"/>
      <c r="N21" s="1"/>
      <c r="P21" s="1"/>
    </row>
    <row r="22" spans="1:16" ht="14.25" x14ac:dyDescent="0.2">
      <c r="H22" s="1"/>
      <c r="K22" s="1"/>
      <c r="L22" s="1"/>
      <c r="N22" s="1"/>
      <c r="P22" s="1"/>
    </row>
    <row r="23" spans="1:16" ht="14.25" x14ac:dyDescent="0.2">
      <c r="H23" s="1"/>
      <c r="K23" s="1"/>
      <c r="L23" s="1"/>
      <c r="N23" s="1"/>
      <c r="P23" s="1"/>
    </row>
    <row r="24" spans="1:16" ht="14.25" x14ac:dyDescent="0.2">
      <c r="H24" s="1"/>
      <c r="K24" s="1"/>
      <c r="L24" s="1"/>
      <c r="N24" s="1"/>
      <c r="P24" s="1"/>
    </row>
    <row r="25" spans="1:16" ht="14.25" x14ac:dyDescent="0.2">
      <c r="H25" s="1"/>
      <c r="K25" s="1"/>
      <c r="L25" s="1"/>
      <c r="N25" s="1"/>
      <c r="P25" s="1"/>
    </row>
    <row r="26" spans="1:16" ht="14.25" x14ac:dyDescent="0.2">
      <c r="D26" s="1" t="s">
        <v>3719</v>
      </c>
      <c r="H26" s="1"/>
      <c r="K26" s="1"/>
      <c r="L26" s="1"/>
      <c r="N26" s="1"/>
      <c r="P26" s="1"/>
    </row>
    <row r="27" spans="1:16" ht="14.25" x14ac:dyDescent="0.2">
      <c r="D27" s="1" t="s">
        <v>3932</v>
      </c>
      <c r="H27" s="1"/>
      <c r="K27" s="1"/>
      <c r="L27" s="1"/>
      <c r="N27" s="1"/>
      <c r="P27" s="1"/>
    </row>
    <row r="28" spans="1:16" ht="14.25" x14ac:dyDescent="0.2">
      <c r="D28" s="1" t="s">
        <v>3732</v>
      </c>
      <c r="H28" s="1"/>
      <c r="K28" s="1"/>
      <c r="L28" s="1"/>
      <c r="N28" s="1"/>
      <c r="P28" s="1"/>
    </row>
    <row r="29" spans="1:16" ht="14.25" x14ac:dyDescent="0.2">
      <c r="D29" s="1" t="s">
        <v>3731</v>
      </c>
      <c r="H29" s="1"/>
      <c r="K29" s="1"/>
      <c r="L29" s="1"/>
      <c r="P29" s="1"/>
    </row>
    <row r="30" spans="1:16" ht="14.25" x14ac:dyDescent="0.2">
      <c r="D30" s="1" t="s">
        <v>3720</v>
      </c>
      <c r="H30" s="1"/>
      <c r="K30" s="1"/>
      <c r="L30" s="1"/>
      <c r="P30" s="1"/>
    </row>
    <row r="31" spans="1:16" ht="14.25" x14ac:dyDescent="0.2">
      <c r="D31" s="1" t="s">
        <v>3729</v>
      </c>
      <c r="H31" s="1"/>
      <c r="K31" s="1"/>
      <c r="L31" s="1"/>
      <c r="P31" s="1"/>
    </row>
    <row r="32" spans="1:16" ht="14.25" x14ac:dyDescent="0.2">
      <c r="D32" s="1" t="s">
        <v>3727</v>
      </c>
      <c r="H32" s="1"/>
      <c r="K32" s="1"/>
      <c r="L32" s="1"/>
      <c r="P32" s="1"/>
    </row>
    <row r="33" spans="4:16" ht="14.25" x14ac:dyDescent="0.2">
      <c r="D33" s="1" t="s">
        <v>3931</v>
      </c>
      <c r="H33" s="1"/>
      <c r="K33" s="1"/>
      <c r="L33" s="1"/>
      <c r="P33" s="1"/>
    </row>
    <row r="34" spans="4:16" ht="14.25" x14ac:dyDescent="0.2">
      <c r="D34" s="1" t="s">
        <v>3930</v>
      </c>
      <c r="H34" s="1"/>
      <c r="K34" s="1"/>
      <c r="L34" s="1"/>
      <c r="P34" s="1"/>
    </row>
    <row r="35" spans="4:16" ht="14.25" x14ac:dyDescent="0.2">
      <c r="D35" s="1" t="s">
        <v>3730</v>
      </c>
      <c r="H35" s="1"/>
      <c r="K35" s="1"/>
      <c r="L35" s="1"/>
      <c r="P35" s="1"/>
    </row>
    <row r="36" spans="4:16" ht="14.25" x14ac:dyDescent="0.2">
      <c r="D36" s="1" t="s">
        <v>3921</v>
      </c>
      <c r="H36" s="1"/>
      <c r="K36" s="1"/>
      <c r="L36" s="1"/>
      <c r="P36" s="1"/>
    </row>
    <row r="37" spans="4:16" ht="14.25" x14ac:dyDescent="0.2">
      <c r="D37" s="1" t="s">
        <v>3716</v>
      </c>
      <c r="H37" s="1"/>
      <c r="K37" s="1"/>
      <c r="L37" s="1"/>
      <c r="P37" s="1"/>
    </row>
    <row r="38" spans="4:16" ht="14.25" x14ac:dyDescent="0.2">
      <c r="D38" s="1" t="s">
        <v>3718</v>
      </c>
      <c r="H38" s="1"/>
      <c r="K38" s="1"/>
      <c r="L38" s="1"/>
    </row>
    <row r="39" spans="4:16" ht="14.25" x14ac:dyDescent="0.2">
      <c r="D39" s="1" t="s">
        <v>3929</v>
      </c>
      <c r="H39" s="1"/>
      <c r="K39" s="1"/>
      <c r="L39" s="1"/>
    </row>
    <row r="40" spans="4:16" ht="14.25" x14ac:dyDescent="0.2">
      <c r="H40" s="1"/>
      <c r="K40" s="1"/>
      <c r="L40" s="1"/>
    </row>
    <row r="41" spans="4:16" ht="14.25" x14ac:dyDescent="0.2">
      <c r="H41" s="1"/>
      <c r="K41" s="1"/>
      <c r="L41" s="1"/>
    </row>
    <row r="42" spans="4:16" ht="14.25" x14ac:dyDescent="0.2">
      <c r="H42" s="1"/>
      <c r="K42" s="1"/>
      <c r="L42" s="1"/>
    </row>
    <row r="43" spans="4:16" ht="14.25" x14ac:dyDescent="0.2">
      <c r="H43" s="1"/>
      <c r="K43" s="1"/>
      <c r="L43" s="1"/>
    </row>
    <row r="44" spans="4:16" ht="14.25" x14ac:dyDescent="0.2">
      <c r="H44" s="1"/>
      <c r="K44" s="1"/>
      <c r="L44" s="1"/>
    </row>
    <row r="45" spans="4:16" ht="14.25" x14ac:dyDescent="0.2">
      <c r="H45" s="1"/>
      <c r="K45" s="1"/>
      <c r="L45" s="1"/>
    </row>
    <row r="46" spans="4:16" ht="14.25" x14ac:dyDescent="0.2">
      <c r="H46" s="1"/>
      <c r="K46" s="1"/>
      <c r="L46" s="1"/>
    </row>
    <row r="47" spans="4:16" ht="14.25" x14ac:dyDescent="0.2">
      <c r="H47" s="1"/>
      <c r="K47" s="1"/>
      <c r="L47" s="1"/>
    </row>
    <row r="48" spans="4:16" ht="14.25" x14ac:dyDescent="0.2">
      <c r="H48" s="1"/>
      <c r="K48" s="1"/>
      <c r="L48" s="1"/>
    </row>
    <row r="49" spans="8:12" ht="14.25" x14ac:dyDescent="0.2">
      <c r="H49" s="1"/>
      <c r="K49" s="1"/>
      <c r="L49" s="1"/>
    </row>
    <row r="50" spans="8:12" ht="14.25" x14ac:dyDescent="0.2">
      <c r="H50" s="1"/>
      <c r="K50" s="1"/>
      <c r="L50" s="1"/>
    </row>
    <row r="51" spans="8:12" ht="14.25" x14ac:dyDescent="0.2">
      <c r="H51" s="1"/>
      <c r="K51" s="1"/>
      <c r="L51" s="1"/>
    </row>
    <row r="52" spans="8:12" ht="14.25" x14ac:dyDescent="0.2">
      <c r="H52" s="1"/>
      <c r="K52" s="1"/>
      <c r="L52" s="1"/>
    </row>
    <row r="53" spans="8:12" ht="14.25" x14ac:dyDescent="0.2">
      <c r="H53" s="1"/>
      <c r="K53" s="1"/>
      <c r="L53" s="1"/>
    </row>
    <row r="54" spans="8:12" ht="14.25" x14ac:dyDescent="0.2">
      <c r="H54" s="1"/>
      <c r="K54" s="1"/>
      <c r="L54" s="1"/>
    </row>
    <row r="55" spans="8:12" ht="14.25" x14ac:dyDescent="0.2">
      <c r="H55" s="1"/>
      <c r="K55" s="1"/>
      <c r="L55" s="1"/>
    </row>
    <row r="56" spans="8:12" ht="14.25" x14ac:dyDescent="0.2">
      <c r="H56" s="1"/>
      <c r="K56" s="1"/>
      <c r="L56" s="1"/>
    </row>
    <row r="57" spans="8:12" ht="14.25" x14ac:dyDescent="0.2">
      <c r="H57" s="1"/>
      <c r="K57" s="1"/>
      <c r="L57" s="1"/>
    </row>
    <row r="58" spans="8:12" ht="14.25" x14ac:dyDescent="0.2">
      <c r="H58" s="1"/>
      <c r="K58" s="1"/>
      <c r="L58" s="1"/>
    </row>
    <row r="59" spans="8:12" ht="14.25" x14ac:dyDescent="0.2">
      <c r="H59" s="1"/>
      <c r="K59" s="1"/>
      <c r="L59" s="1"/>
    </row>
    <row r="60" spans="8:12" ht="14.25" x14ac:dyDescent="0.2">
      <c r="H60" s="1"/>
      <c r="K60" s="1"/>
      <c r="L60" s="1"/>
    </row>
    <row r="61" spans="8:12" ht="14.25" x14ac:dyDescent="0.2">
      <c r="H61" s="1"/>
      <c r="K61" s="1"/>
      <c r="L61" s="1"/>
    </row>
    <row r="62" spans="8:12" ht="14.25" x14ac:dyDescent="0.2">
      <c r="H62" s="1"/>
      <c r="K62" s="1"/>
      <c r="L62" s="1"/>
    </row>
    <row r="63" spans="8:12" ht="14.25" x14ac:dyDescent="0.2">
      <c r="H63" s="1"/>
      <c r="K63" s="1"/>
      <c r="L63" s="1"/>
    </row>
    <row r="64" spans="8:12" ht="14.25" x14ac:dyDescent="0.2">
      <c r="H64" s="1"/>
      <c r="K64" s="1"/>
      <c r="L64" s="1"/>
    </row>
    <row r="65" spans="8:12" ht="14.25" x14ac:dyDescent="0.2">
      <c r="H65" s="1"/>
      <c r="K65" s="1"/>
      <c r="L65" s="1"/>
    </row>
    <row r="66" spans="8:12" ht="14.25" x14ac:dyDescent="0.2">
      <c r="H66" s="1"/>
      <c r="K66" s="1"/>
      <c r="L66" s="1"/>
    </row>
    <row r="67" spans="8:12" ht="14.25" x14ac:dyDescent="0.2">
      <c r="H67" s="1"/>
      <c r="K67" s="1"/>
      <c r="L67" s="1"/>
    </row>
    <row r="68" spans="8:12" ht="14.25" x14ac:dyDescent="0.2">
      <c r="H68" s="1"/>
      <c r="K68" s="1"/>
      <c r="L68" s="1"/>
    </row>
    <row r="69" spans="8:12" ht="14.25" x14ac:dyDescent="0.2">
      <c r="H69" s="1"/>
      <c r="K69" s="1"/>
      <c r="L69" s="1"/>
    </row>
    <row r="70" spans="8:12" ht="14.25" x14ac:dyDescent="0.2">
      <c r="H70" s="1"/>
      <c r="K70" s="1"/>
      <c r="L70" s="1"/>
    </row>
    <row r="71" spans="8:12" ht="14.25" x14ac:dyDescent="0.2">
      <c r="H71" s="1"/>
      <c r="K71" s="1"/>
      <c r="L71" s="1"/>
    </row>
    <row r="72" spans="8:12" ht="14.25" x14ac:dyDescent="0.2">
      <c r="H72" s="1"/>
      <c r="K72" s="1"/>
      <c r="L72" s="1"/>
    </row>
    <row r="73" spans="8:12" ht="14.25" x14ac:dyDescent="0.2">
      <c r="H73" s="1"/>
      <c r="K73" s="1"/>
      <c r="L73" s="1"/>
    </row>
    <row r="74" spans="8:12" ht="14.25" x14ac:dyDescent="0.2">
      <c r="H74" s="1"/>
      <c r="K74" s="1"/>
      <c r="L74" s="1"/>
    </row>
    <row r="75" spans="8:12" ht="14.25" x14ac:dyDescent="0.2">
      <c r="H75" s="1"/>
      <c r="K75" s="1"/>
      <c r="L75" s="1"/>
    </row>
    <row r="76" spans="8:12" ht="14.25" x14ac:dyDescent="0.2">
      <c r="H76" s="1"/>
      <c r="K76" s="1"/>
      <c r="L76" s="1"/>
    </row>
    <row r="77" spans="8:12" ht="14.25" x14ac:dyDescent="0.2">
      <c r="H77" s="1"/>
      <c r="K77" s="1"/>
      <c r="L77" s="1"/>
    </row>
    <row r="78" spans="8:12" ht="14.25" x14ac:dyDescent="0.2">
      <c r="H78" s="1"/>
      <c r="K78" s="1"/>
      <c r="L78" s="1"/>
    </row>
    <row r="79" spans="8:12" ht="14.25" x14ac:dyDescent="0.2">
      <c r="H79" s="1"/>
      <c r="K79" s="1"/>
      <c r="L79" s="1"/>
    </row>
    <row r="80" spans="8:12" ht="14.25" x14ac:dyDescent="0.2">
      <c r="H80" s="1"/>
      <c r="K80" s="1"/>
      <c r="L80" s="1"/>
    </row>
    <row r="81" spans="8:12" ht="14.25" x14ac:dyDescent="0.2">
      <c r="H81" s="1"/>
      <c r="K81" s="1"/>
      <c r="L81" s="1"/>
    </row>
    <row r="82" spans="8:12" ht="14.25" x14ac:dyDescent="0.2">
      <c r="H82" s="1"/>
      <c r="K82" s="1"/>
      <c r="L82" s="1"/>
    </row>
    <row r="83" spans="8:12" ht="14.25" x14ac:dyDescent="0.2">
      <c r="H83" s="1"/>
      <c r="K83" s="1"/>
      <c r="L83" s="1"/>
    </row>
    <row r="84" spans="8:12" ht="14.25" x14ac:dyDescent="0.2">
      <c r="H84" s="1"/>
      <c r="K84" s="1"/>
      <c r="L84" s="1"/>
    </row>
    <row r="85" spans="8:12" ht="14.25" x14ac:dyDescent="0.2">
      <c r="H85" s="1"/>
      <c r="K85" s="1"/>
      <c r="L85" s="1"/>
    </row>
    <row r="86" spans="8:12" ht="14.25" x14ac:dyDescent="0.2">
      <c r="H86" s="1"/>
      <c r="K86" s="1"/>
      <c r="L86" s="1"/>
    </row>
    <row r="87" spans="8:12" ht="14.25" x14ac:dyDescent="0.2">
      <c r="H87" s="1"/>
      <c r="K87" s="1"/>
      <c r="L87" s="1"/>
    </row>
    <row r="88" spans="8:12" ht="14.25" x14ac:dyDescent="0.2">
      <c r="H88" s="1"/>
      <c r="K88" s="1"/>
      <c r="L88" s="1"/>
    </row>
    <row r="89" spans="8:12" ht="14.25" x14ac:dyDescent="0.2">
      <c r="H89" s="1"/>
      <c r="K89" s="1"/>
      <c r="L89" s="1"/>
    </row>
    <row r="90" spans="8:12" ht="14.25" x14ac:dyDescent="0.2">
      <c r="H90" s="1"/>
      <c r="K90" s="1"/>
      <c r="L90" s="1"/>
    </row>
    <row r="91" spans="8:12" ht="14.25" x14ac:dyDescent="0.2">
      <c r="H91" s="1"/>
      <c r="K91" s="1"/>
      <c r="L91" s="1"/>
    </row>
    <row r="92" spans="8:12" ht="14.25" x14ac:dyDescent="0.2">
      <c r="H92" s="1"/>
      <c r="K92" s="1"/>
      <c r="L92" s="1"/>
    </row>
    <row r="93" spans="8:12" ht="14.25" x14ac:dyDescent="0.2">
      <c r="H93" s="1"/>
      <c r="K93" s="1"/>
      <c r="L93" s="1"/>
    </row>
    <row r="94" spans="8:12" ht="14.25" x14ac:dyDescent="0.2">
      <c r="H94" s="1"/>
      <c r="K94" s="1"/>
      <c r="L94" s="1"/>
    </row>
    <row r="95" spans="8:12" ht="14.25" x14ac:dyDescent="0.2">
      <c r="H95" s="1"/>
      <c r="K95" s="1"/>
      <c r="L95" s="1"/>
    </row>
    <row r="96" spans="8:12" ht="14.25" x14ac:dyDescent="0.2">
      <c r="H96" s="1"/>
      <c r="K96" s="1"/>
      <c r="L96" s="1"/>
    </row>
    <row r="97" spans="8:12" ht="14.25" x14ac:dyDescent="0.2">
      <c r="H97" s="1"/>
      <c r="K97" s="1"/>
      <c r="L97" s="1"/>
    </row>
    <row r="98" spans="8:12" ht="14.25" x14ac:dyDescent="0.2">
      <c r="H98" s="1"/>
      <c r="K98" s="1"/>
      <c r="L98" s="1"/>
    </row>
    <row r="99" spans="8:12" ht="14.25" x14ac:dyDescent="0.2">
      <c r="H99" s="1"/>
      <c r="K99" s="1"/>
      <c r="L99" s="1"/>
    </row>
    <row r="100" spans="8:12" ht="14.25" x14ac:dyDescent="0.2">
      <c r="H100" s="1"/>
      <c r="K100" s="1"/>
      <c r="L100" s="1"/>
    </row>
    <row r="101" spans="8:12" ht="14.25" x14ac:dyDescent="0.2">
      <c r="H101" s="1"/>
      <c r="K101" s="1"/>
      <c r="L101" s="1"/>
    </row>
    <row r="102" spans="8:12" ht="14.25" x14ac:dyDescent="0.2">
      <c r="H102" s="1"/>
      <c r="K102" s="1"/>
      <c r="L102" s="1"/>
    </row>
    <row r="103" spans="8:12" ht="14.25" x14ac:dyDescent="0.2">
      <c r="H103" s="1"/>
      <c r="K103" s="1"/>
      <c r="L103" s="1"/>
    </row>
    <row r="104" spans="8:12" ht="14.25" x14ac:dyDescent="0.2">
      <c r="H104" s="1"/>
      <c r="K104" s="1"/>
      <c r="L104" s="1"/>
    </row>
    <row r="105" spans="8:12" ht="14.25" x14ac:dyDescent="0.2">
      <c r="H105" s="1"/>
      <c r="K105" s="1"/>
      <c r="L105" s="1"/>
    </row>
    <row r="106" spans="8:12" ht="14.25" x14ac:dyDescent="0.2">
      <c r="H106" s="1"/>
      <c r="K106" s="1"/>
      <c r="L106" s="1"/>
    </row>
    <row r="107" spans="8:12" ht="14.25" x14ac:dyDescent="0.2">
      <c r="H107" s="1"/>
      <c r="K107" s="1"/>
      <c r="L107" s="1"/>
    </row>
    <row r="108" spans="8:12" ht="14.25" x14ac:dyDescent="0.2">
      <c r="H108" s="1"/>
      <c r="K108" s="1"/>
      <c r="L108" s="1"/>
    </row>
    <row r="109" spans="8:12" ht="14.25" x14ac:dyDescent="0.2">
      <c r="H109" s="1"/>
      <c r="K109" s="1"/>
      <c r="L109" s="1"/>
    </row>
    <row r="110" spans="8:12" ht="14.25" x14ac:dyDescent="0.2">
      <c r="H110" s="1"/>
      <c r="K110" s="1"/>
      <c r="L110" s="1"/>
    </row>
    <row r="111" spans="8:12" ht="14.25" x14ac:dyDescent="0.2">
      <c r="H111" s="1"/>
      <c r="K111" s="1"/>
      <c r="L111" s="1"/>
    </row>
    <row r="112" spans="8:12" ht="14.25" x14ac:dyDescent="0.2">
      <c r="H112" s="1"/>
      <c r="K112" s="1"/>
      <c r="L112" s="1"/>
    </row>
    <row r="113" spans="8:12" ht="14.25" x14ac:dyDescent="0.2">
      <c r="H113" s="1"/>
      <c r="K113" s="1"/>
      <c r="L113" s="1"/>
    </row>
    <row r="114" spans="8:12" ht="14.25" x14ac:dyDescent="0.2">
      <c r="H114" s="1"/>
      <c r="K114" s="1"/>
      <c r="L114" s="1"/>
    </row>
    <row r="115" spans="8:12" ht="14.25" x14ac:dyDescent="0.2">
      <c r="H115" s="1"/>
      <c r="K115" s="1"/>
      <c r="L115" s="1"/>
    </row>
    <row r="116" spans="8:12" ht="14.25" x14ac:dyDescent="0.2">
      <c r="H116" s="1"/>
      <c r="K116" s="1"/>
      <c r="L116" s="1"/>
    </row>
    <row r="117" spans="8:12" ht="14.25" x14ac:dyDescent="0.2">
      <c r="H117" s="1"/>
      <c r="K117" s="1"/>
      <c r="L117" s="1"/>
    </row>
    <row r="118" spans="8:12" ht="14.25" x14ac:dyDescent="0.2">
      <c r="H118" s="1"/>
      <c r="K118" s="1"/>
      <c r="L118" s="1"/>
    </row>
    <row r="119" spans="8:12" ht="14.25" x14ac:dyDescent="0.2">
      <c r="H119" s="1"/>
      <c r="K119" s="1"/>
      <c r="L119" s="1"/>
    </row>
    <row r="120" spans="8:12" ht="14.25" x14ac:dyDescent="0.2">
      <c r="H120" s="1"/>
      <c r="K120" s="1"/>
      <c r="L120" s="1"/>
    </row>
    <row r="121" spans="8:12" ht="14.25" x14ac:dyDescent="0.2">
      <c r="H121" s="1"/>
      <c r="K121" s="1"/>
      <c r="L121" s="1"/>
    </row>
    <row r="122" spans="8:12" ht="14.25" x14ac:dyDescent="0.2">
      <c r="H122" s="1"/>
      <c r="K122" s="1"/>
      <c r="L122" s="1"/>
    </row>
    <row r="123" spans="8:12" ht="14.25" x14ac:dyDescent="0.2">
      <c r="H123" s="1"/>
      <c r="K123" s="1"/>
      <c r="L123" s="1"/>
    </row>
    <row r="124" spans="8:12" ht="14.25" x14ac:dyDescent="0.2">
      <c r="H124" s="1"/>
      <c r="K124" s="1"/>
      <c r="L124" s="1"/>
    </row>
    <row r="125" spans="8:12" ht="14.25" x14ac:dyDescent="0.2">
      <c r="H125" s="1"/>
      <c r="K125" s="1"/>
      <c r="L125" s="1"/>
    </row>
    <row r="126" spans="8:12" ht="14.25" x14ac:dyDescent="0.2">
      <c r="H126" s="1"/>
      <c r="K126" s="1"/>
      <c r="L126" s="1"/>
    </row>
    <row r="127" spans="8:12" ht="14.25" x14ac:dyDescent="0.2">
      <c r="H127" s="1"/>
      <c r="K127" s="1"/>
      <c r="L127" s="1"/>
    </row>
    <row r="128" spans="8:12" ht="14.25" x14ac:dyDescent="0.2">
      <c r="H128" s="1"/>
      <c r="K128" s="1"/>
      <c r="L128" s="1"/>
    </row>
    <row r="129" spans="8:12" ht="14.25" x14ac:dyDescent="0.2">
      <c r="H129" s="1"/>
      <c r="K129" s="1"/>
      <c r="L129" s="1"/>
    </row>
    <row r="130" spans="8:12" ht="14.25" x14ac:dyDescent="0.2">
      <c r="H130" s="1"/>
      <c r="K130" s="1"/>
      <c r="L130" s="1"/>
    </row>
    <row r="131" spans="8:12" ht="14.25" x14ac:dyDescent="0.2">
      <c r="H131" s="1"/>
      <c r="K131" s="1"/>
      <c r="L131" s="1"/>
    </row>
    <row r="132" spans="8:12" ht="14.25" x14ac:dyDescent="0.2">
      <c r="H132" s="1"/>
      <c r="K132" s="1"/>
      <c r="L132" s="1"/>
    </row>
    <row r="133" spans="8:12" ht="14.25" x14ac:dyDescent="0.2">
      <c r="H133" s="1"/>
      <c r="K133" s="1"/>
      <c r="L133" s="1"/>
    </row>
    <row r="134" spans="8:12" ht="14.25" x14ac:dyDescent="0.2">
      <c r="H134" s="1"/>
      <c r="K134" s="1"/>
      <c r="L134" s="1"/>
    </row>
    <row r="135" spans="8:12" ht="14.25" x14ac:dyDescent="0.2">
      <c r="H135" s="1"/>
      <c r="K135" s="1"/>
      <c r="L135" s="1"/>
    </row>
    <row r="136" spans="8:12" ht="14.25" x14ac:dyDescent="0.2">
      <c r="H136" s="1"/>
      <c r="K136" s="1"/>
      <c r="L136" s="1"/>
    </row>
    <row r="137" spans="8:12" ht="14.25" x14ac:dyDescent="0.2">
      <c r="H137" s="1"/>
      <c r="K137" s="1"/>
      <c r="L137" s="1"/>
    </row>
    <row r="138" spans="8:12" ht="14.25" x14ac:dyDescent="0.2">
      <c r="H138" s="1"/>
      <c r="K138" s="1"/>
      <c r="L138" s="1"/>
    </row>
    <row r="139" spans="8:12" ht="14.25" x14ac:dyDescent="0.2">
      <c r="H139" s="1"/>
      <c r="K139" s="1"/>
      <c r="L139" s="1"/>
    </row>
    <row r="140" spans="8:12" ht="14.25" x14ac:dyDescent="0.2">
      <c r="H140" s="1"/>
      <c r="K140" s="1"/>
      <c r="L140" s="1"/>
    </row>
    <row r="141" spans="8:12" ht="14.25" x14ac:dyDescent="0.2">
      <c r="H141" s="1"/>
      <c r="K141" s="1"/>
      <c r="L141" s="1"/>
    </row>
    <row r="142" spans="8:12" ht="14.25" x14ac:dyDescent="0.2">
      <c r="H142" s="1"/>
      <c r="K142" s="1"/>
      <c r="L142" s="1"/>
    </row>
    <row r="143" spans="8:12" ht="14.25" x14ac:dyDescent="0.2">
      <c r="H143" s="1"/>
      <c r="K143" s="1"/>
      <c r="L143" s="1"/>
    </row>
    <row r="144" spans="8:12" ht="14.25" x14ac:dyDescent="0.2">
      <c r="H144" s="1"/>
      <c r="K144" s="1"/>
      <c r="L144" s="1"/>
    </row>
    <row r="145" spans="8:12" ht="14.25" x14ac:dyDescent="0.2">
      <c r="H145" s="1"/>
      <c r="K145" s="1"/>
      <c r="L145" s="1"/>
    </row>
    <row r="146" spans="8:12" ht="14.25" x14ac:dyDescent="0.2">
      <c r="H146" s="1"/>
      <c r="K146" s="1"/>
      <c r="L146" s="1"/>
    </row>
    <row r="147" spans="8:12" ht="14.25" x14ac:dyDescent="0.2">
      <c r="H147" s="1"/>
      <c r="K147" s="1"/>
      <c r="L147" s="1"/>
    </row>
    <row r="148" spans="8:12" ht="14.25" x14ac:dyDescent="0.2">
      <c r="H148" s="1"/>
      <c r="K148" s="1"/>
      <c r="L148" s="1"/>
    </row>
    <row r="149" spans="8:12" ht="14.25" x14ac:dyDescent="0.2">
      <c r="H149" s="1"/>
      <c r="K149" s="1"/>
      <c r="L149" s="1"/>
    </row>
    <row r="150" spans="8:12" ht="14.25" x14ac:dyDescent="0.2">
      <c r="H150" s="1"/>
      <c r="K150" s="1"/>
      <c r="L150" s="1"/>
    </row>
    <row r="151" spans="8:12" ht="14.25" x14ac:dyDescent="0.2">
      <c r="H151" s="1"/>
      <c r="K151" s="1"/>
      <c r="L151" s="1"/>
    </row>
    <row r="152" spans="8:12" ht="14.25" x14ac:dyDescent="0.2">
      <c r="H152" s="1"/>
      <c r="K152" s="1"/>
      <c r="L152" s="1"/>
    </row>
    <row r="153" spans="8:12" ht="14.25" x14ac:dyDescent="0.2">
      <c r="H153" s="1"/>
      <c r="K153" s="1"/>
      <c r="L153" s="1"/>
    </row>
    <row r="154" spans="8:12" ht="14.25" x14ac:dyDescent="0.2">
      <c r="H154" s="1"/>
      <c r="K154" s="1"/>
      <c r="L154" s="1"/>
    </row>
    <row r="155" spans="8:12" ht="14.25" x14ac:dyDescent="0.2">
      <c r="H155" s="1"/>
      <c r="K155" s="1"/>
      <c r="L155" s="1"/>
    </row>
    <row r="156" spans="8:12" ht="14.25" x14ac:dyDescent="0.2">
      <c r="H156" s="1"/>
      <c r="K156" s="1"/>
      <c r="L156" s="1"/>
    </row>
    <row r="157" spans="8:12" ht="14.25" x14ac:dyDescent="0.2">
      <c r="H157" s="1"/>
      <c r="K157" s="1"/>
      <c r="L157" s="1"/>
    </row>
    <row r="158" spans="8:12" ht="14.25" x14ac:dyDescent="0.2">
      <c r="H158" s="1"/>
      <c r="K158" s="1"/>
      <c r="L158" s="1"/>
    </row>
    <row r="159" spans="8:12" ht="14.25" x14ac:dyDescent="0.2">
      <c r="H159" s="1"/>
      <c r="K159" s="1"/>
      <c r="L159" s="1"/>
    </row>
    <row r="160" spans="8:12" ht="14.25" x14ac:dyDescent="0.2">
      <c r="H160" s="1"/>
      <c r="K160" s="1"/>
      <c r="L160" s="1"/>
    </row>
    <row r="161" spans="8:12" ht="14.25" x14ac:dyDescent="0.2">
      <c r="H161" s="1"/>
      <c r="K161" s="1"/>
      <c r="L161" s="1"/>
    </row>
    <row r="162" spans="8:12" ht="14.25" x14ac:dyDescent="0.2">
      <c r="H162" s="1"/>
      <c r="K162" s="1"/>
      <c r="L162" s="1"/>
    </row>
    <row r="163" spans="8:12" ht="14.25" x14ac:dyDescent="0.2">
      <c r="H163" s="1"/>
      <c r="K163" s="1"/>
      <c r="L163" s="1"/>
    </row>
    <row r="164" spans="8:12" ht="14.25" x14ac:dyDescent="0.2">
      <c r="H164" s="1"/>
      <c r="K164" s="1"/>
      <c r="L164" s="1"/>
    </row>
    <row r="165" spans="8:12" ht="14.25" x14ac:dyDescent="0.2">
      <c r="H165" s="1"/>
      <c r="K165" s="1"/>
      <c r="L165" s="1"/>
    </row>
    <row r="166" spans="8:12" ht="14.25" x14ac:dyDescent="0.2">
      <c r="H166" s="1" t="s">
        <v>2027</v>
      </c>
      <c r="K166" s="1" t="s">
        <v>1790</v>
      </c>
      <c r="L166" s="1" t="s">
        <v>1447</v>
      </c>
    </row>
    <row r="167" spans="8:12" ht="14.25" x14ac:dyDescent="0.2">
      <c r="H167" s="1" t="s">
        <v>160</v>
      </c>
      <c r="K167" s="1" t="s">
        <v>1928</v>
      </c>
      <c r="L167" s="1" t="s">
        <v>303</v>
      </c>
    </row>
    <row r="168" spans="8:12" ht="14.25" x14ac:dyDescent="0.2">
      <c r="H168" s="1" t="s">
        <v>1455</v>
      </c>
      <c r="K168" s="1" t="s">
        <v>1775</v>
      </c>
      <c r="L168" s="1" t="s">
        <v>302</v>
      </c>
    </row>
    <row r="169" spans="8:12" ht="14.25" x14ac:dyDescent="0.2">
      <c r="H169" s="1" t="s">
        <v>308</v>
      </c>
      <c r="K169" s="1" t="s">
        <v>1947</v>
      </c>
      <c r="L169" s="1" t="s">
        <v>282</v>
      </c>
    </row>
    <row r="170" spans="8:12" ht="14.25" x14ac:dyDescent="0.2">
      <c r="H170" s="1" t="s">
        <v>292</v>
      </c>
      <c r="K170" s="1" t="s">
        <v>1723</v>
      </c>
      <c r="L170" s="1" t="s">
        <v>2052</v>
      </c>
    </row>
    <row r="171" spans="8:12" ht="14.25" x14ac:dyDescent="0.2">
      <c r="H171" s="1" t="s">
        <v>2034</v>
      </c>
      <c r="K171" s="1" t="s">
        <v>1788</v>
      </c>
      <c r="L171" s="1" t="s">
        <v>1443</v>
      </c>
    </row>
    <row r="172" spans="8:12" ht="14.25" x14ac:dyDescent="0.2">
      <c r="H172" s="1" t="s">
        <v>2026</v>
      </c>
      <c r="K172" s="1" t="s">
        <v>1480</v>
      </c>
      <c r="L172" s="1" t="s">
        <v>87</v>
      </c>
    </row>
    <row r="173" spans="8:12" ht="14.25" x14ac:dyDescent="0.2">
      <c r="H173" s="1" t="s">
        <v>2047</v>
      </c>
      <c r="K173" s="1" t="s">
        <v>1594</v>
      </c>
      <c r="L173" s="1" t="s">
        <v>1422</v>
      </c>
    </row>
    <row r="174" spans="8:12" ht="14.25" x14ac:dyDescent="0.2">
      <c r="H174" s="1" t="s">
        <v>2041</v>
      </c>
      <c r="K174" s="1" t="s">
        <v>1521</v>
      </c>
      <c r="L174" s="1" t="s">
        <v>1454</v>
      </c>
    </row>
    <row r="175" spans="8:12" ht="14.25" x14ac:dyDescent="0.2">
      <c r="H175" s="1" t="s">
        <v>2054</v>
      </c>
      <c r="K175" s="1" t="s">
        <v>1748</v>
      </c>
      <c r="L175" s="1" t="s">
        <v>273</v>
      </c>
    </row>
    <row r="176" spans="8:12" ht="14.25" x14ac:dyDescent="0.2">
      <c r="K176" s="1" t="s">
        <v>1571</v>
      </c>
      <c r="L176" s="1" t="s">
        <v>1412</v>
      </c>
    </row>
    <row r="177" spans="11:12" ht="14.25" x14ac:dyDescent="0.2">
      <c r="K177" s="1" t="s">
        <v>1576</v>
      </c>
      <c r="L177" s="1" t="s">
        <v>2055</v>
      </c>
    </row>
    <row r="178" spans="11:12" ht="14.25" x14ac:dyDescent="0.2">
      <c r="K178" s="1" t="s">
        <v>1815</v>
      </c>
      <c r="L178" s="1" t="s">
        <v>101</v>
      </c>
    </row>
    <row r="179" spans="11:12" ht="14.25" x14ac:dyDescent="0.2">
      <c r="K179" s="1" t="s">
        <v>1988</v>
      </c>
      <c r="L179" s="1" t="s">
        <v>119</v>
      </c>
    </row>
    <row r="180" spans="11:12" ht="14.25" x14ac:dyDescent="0.2">
      <c r="K180" s="1" t="s">
        <v>1670</v>
      </c>
      <c r="L180" s="1" t="s">
        <v>2036</v>
      </c>
    </row>
    <row r="181" spans="11:12" ht="14.25" x14ac:dyDescent="0.2">
      <c r="K181" s="1" t="s">
        <v>1581</v>
      </c>
      <c r="L181" s="1" t="s">
        <v>2046</v>
      </c>
    </row>
    <row r="182" spans="11:12" ht="14.25" x14ac:dyDescent="0.2">
      <c r="K182" s="1" t="s">
        <v>1839</v>
      </c>
      <c r="L182" s="1" t="s">
        <v>122</v>
      </c>
    </row>
    <row r="183" spans="11:12" ht="14.25" x14ac:dyDescent="0.2">
      <c r="K183" s="1" t="s">
        <v>1688</v>
      </c>
      <c r="L183" s="1" t="s">
        <v>277</v>
      </c>
    </row>
    <row r="184" spans="11:12" ht="14.25" x14ac:dyDescent="0.2">
      <c r="K184" s="1" t="s">
        <v>1876</v>
      </c>
      <c r="L184" s="1" t="s">
        <v>3823</v>
      </c>
    </row>
    <row r="185" spans="11:12" ht="14.25" x14ac:dyDescent="0.2">
      <c r="K185" s="1" t="s">
        <v>1699</v>
      </c>
      <c r="L185" s="1" t="s">
        <v>1441</v>
      </c>
    </row>
    <row r="186" spans="11:12" ht="14.25" x14ac:dyDescent="0.2">
      <c r="K186" s="1" t="s">
        <v>1983</v>
      </c>
      <c r="L186" s="1" t="s">
        <v>79</v>
      </c>
    </row>
    <row r="187" spans="11:12" ht="14.25" x14ac:dyDescent="0.2">
      <c r="K187" s="1" t="s">
        <v>1572</v>
      </c>
      <c r="L187" s="1" t="s">
        <v>51</v>
      </c>
    </row>
    <row r="188" spans="11:12" ht="14.25" x14ac:dyDescent="0.2">
      <c r="K188" s="1" t="s">
        <v>1718</v>
      </c>
      <c r="L188" s="1" t="s">
        <v>3932</v>
      </c>
    </row>
    <row r="189" spans="11:12" ht="14.25" x14ac:dyDescent="0.2">
      <c r="K189" s="1" t="s">
        <v>1760</v>
      </c>
      <c r="L189" s="1" t="s">
        <v>309</v>
      </c>
    </row>
    <row r="190" spans="11:12" ht="14.25" x14ac:dyDescent="0.2">
      <c r="K190" s="1" t="s">
        <v>1745</v>
      </c>
      <c r="L190" s="1" t="s">
        <v>272</v>
      </c>
    </row>
    <row r="191" spans="11:12" ht="14.25" x14ac:dyDescent="0.2">
      <c r="K191" s="1" t="s">
        <v>1526</v>
      </c>
      <c r="L191" s="1" t="s">
        <v>2032</v>
      </c>
    </row>
    <row r="192" spans="11:12" ht="14.25" x14ac:dyDescent="0.2">
      <c r="K192" s="1" t="s">
        <v>1722</v>
      </c>
      <c r="L192" s="1" t="s">
        <v>311</v>
      </c>
    </row>
    <row r="193" spans="11:12" ht="14.25" x14ac:dyDescent="0.2">
      <c r="K193" s="1" t="s">
        <v>2058</v>
      </c>
      <c r="L193" s="1" t="s">
        <v>289</v>
      </c>
    </row>
    <row r="194" spans="11:12" ht="14.25" x14ac:dyDescent="0.2">
      <c r="K194" s="1" t="s">
        <v>1863</v>
      </c>
      <c r="L194" s="1" t="s">
        <v>2048</v>
      </c>
    </row>
    <row r="195" spans="11:12" ht="14.25" x14ac:dyDescent="0.2">
      <c r="K195" s="1" t="s">
        <v>1973</v>
      </c>
      <c r="L195" s="1" t="s">
        <v>283</v>
      </c>
    </row>
    <row r="196" spans="11:12" ht="14.25" x14ac:dyDescent="0.2">
      <c r="K196" s="1" t="s">
        <v>1743</v>
      </c>
      <c r="L196" s="1" t="s">
        <v>1446</v>
      </c>
    </row>
    <row r="197" spans="11:12" ht="14.25" x14ac:dyDescent="0.2">
      <c r="K197" s="1" t="s">
        <v>1758</v>
      </c>
      <c r="L197" s="1" t="s">
        <v>1451</v>
      </c>
    </row>
    <row r="198" spans="11:12" ht="14.25" x14ac:dyDescent="0.2">
      <c r="K198" s="1" t="s">
        <v>1664</v>
      </c>
      <c r="L198" s="1" t="s">
        <v>2027</v>
      </c>
    </row>
    <row r="199" spans="11:12" ht="14.25" x14ac:dyDescent="0.2">
      <c r="K199" s="1" t="s">
        <v>1544</v>
      </c>
      <c r="L199" s="1" t="s">
        <v>2049</v>
      </c>
    </row>
    <row r="200" spans="11:12" ht="14.25" x14ac:dyDescent="0.2">
      <c r="K200" s="1" t="s">
        <v>1946</v>
      </c>
      <c r="L200" s="1" t="s">
        <v>160</v>
      </c>
    </row>
    <row r="201" spans="11:12" ht="14.25" x14ac:dyDescent="0.2">
      <c r="K201" s="1" t="s">
        <v>1844</v>
      </c>
      <c r="L201" s="1" t="s">
        <v>1455</v>
      </c>
    </row>
    <row r="202" spans="11:12" ht="14.25" x14ac:dyDescent="0.2">
      <c r="K202" s="1" t="s">
        <v>1636</v>
      </c>
      <c r="L202" s="1" t="s">
        <v>308</v>
      </c>
    </row>
    <row r="203" spans="11:12" ht="14.25" x14ac:dyDescent="0.2">
      <c r="K203" s="1" t="s">
        <v>1515</v>
      </c>
      <c r="L203" s="1" t="s">
        <v>292</v>
      </c>
    </row>
    <row r="204" spans="11:12" ht="14.25" x14ac:dyDescent="0.2">
      <c r="K204" s="1" t="s">
        <v>1573</v>
      </c>
      <c r="L204" s="1" t="s">
        <v>2034</v>
      </c>
    </row>
    <row r="205" spans="11:12" ht="14.25" x14ac:dyDescent="0.2">
      <c r="K205" s="1" t="s">
        <v>1750</v>
      </c>
      <c r="L205" s="1" t="s">
        <v>2026</v>
      </c>
    </row>
    <row r="206" spans="11:12" ht="14.25" x14ac:dyDescent="0.2">
      <c r="K206" s="1" t="s">
        <v>1469</v>
      </c>
      <c r="L206" s="1" t="s">
        <v>8782</v>
      </c>
    </row>
    <row r="207" spans="11:12" ht="14.25" x14ac:dyDescent="0.2">
      <c r="K207" s="1" t="s">
        <v>1655</v>
      </c>
      <c r="L207" s="1" t="s">
        <v>2018</v>
      </c>
    </row>
    <row r="208" spans="11:12" ht="14.25" x14ac:dyDescent="0.2">
      <c r="K208" s="1" t="s">
        <v>1939</v>
      </c>
      <c r="L208" s="1" t="s">
        <v>2029</v>
      </c>
    </row>
    <row r="209" spans="11:12" ht="14.25" x14ac:dyDescent="0.2">
      <c r="K209" s="1" t="s">
        <v>1933</v>
      </c>
      <c r="L209" s="1" t="s">
        <v>3726</v>
      </c>
    </row>
    <row r="210" spans="11:12" ht="14.25" x14ac:dyDescent="0.2">
      <c r="K210" s="1" t="s">
        <v>1590</v>
      </c>
      <c r="L210" s="1" t="s">
        <v>2047</v>
      </c>
    </row>
    <row r="211" spans="11:12" ht="14.25" x14ac:dyDescent="0.2">
      <c r="K211" s="1" t="s">
        <v>1806</v>
      </c>
      <c r="L211" s="1" t="s">
        <v>3732</v>
      </c>
    </row>
    <row r="212" spans="11:12" ht="14.25" x14ac:dyDescent="0.2">
      <c r="K212" s="1" t="s">
        <v>1479</v>
      </c>
      <c r="L212" s="1" t="s">
        <v>3731</v>
      </c>
    </row>
    <row r="213" spans="11:12" ht="14.25" x14ac:dyDescent="0.2">
      <c r="K213" s="1" t="s">
        <v>1520</v>
      </c>
      <c r="L213" s="1" t="s">
        <v>3720</v>
      </c>
    </row>
    <row r="214" spans="11:12" ht="14.25" x14ac:dyDescent="0.2">
      <c r="K214" s="1" t="s">
        <v>1809</v>
      </c>
      <c r="L214" s="1" t="s">
        <v>3729</v>
      </c>
    </row>
    <row r="215" spans="11:12" ht="14.25" x14ac:dyDescent="0.2">
      <c r="K215" s="1" t="s">
        <v>1546</v>
      </c>
      <c r="L215" s="1" t="s">
        <v>3727</v>
      </c>
    </row>
    <row r="216" spans="11:12" ht="14.25" x14ac:dyDescent="0.2">
      <c r="K216" s="1" t="s">
        <v>1830</v>
      </c>
      <c r="L216" s="1" t="s">
        <v>3931</v>
      </c>
    </row>
    <row r="217" spans="11:12" ht="14.25" x14ac:dyDescent="0.2">
      <c r="K217" s="1" t="s">
        <v>1569</v>
      </c>
      <c r="L217" s="1" t="s">
        <v>2041</v>
      </c>
    </row>
    <row r="218" spans="11:12" ht="14.25" x14ac:dyDescent="0.2">
      <c r="K218" s="1" t="s">
        <v>1666</v>
      </c>
      <c r="L218" s="1" t="s">
        <v>3930</v>
      </c>
    </row>
    <row r="219" spans="11:12" ht="14.25" x14ac:dyDescent="0.2">
      <c r="K219" s="1" t="s">
        <v>1960</v>
      </c>
      <c r="L219" s="1" t="s">
        <v>3730</v>
      </c>
    </row>
    <row r="220" spans="11:12" ht="14.25" x14ac:dyDescent="0.2">
      <c r="K220" s="1" t="s">
        <v>1916</v>
      </c>
      <c r="L220" s="1" t="s">
        <v>2054</v>
      </c>
    </row>
    <row r="221" spans="11:12" ht="14.25" x14ac:dyDescent="0.2">
      <c r="K221" s="1" t="s">
        <v>1578</v>
      </c>
      <c r="L221" s="1" t="s">
        <v>3921</v>
      </c>
    </row>
    <row r="222" spans="11:12" ht="14.25" x14ac:dyDescent="0.2">
      <c r="K222" s="1" t="s">
        <v>1735</v>
      </c>
      <c r="L222" s="1" t="s">
        <v>3716</v>
      </c>
    </row>
    <row r="223" spans="11:12" ht="14.25" x14ac:dyDescent="0.2">
      <c r="K223" s="1" t="s">
        <v>1840</v>
      </c>
      <c r="L223" s="1" t="s">
        <v>3718</v>
      </c>
    </row>
    <row r="224" spans="11:12" ht="14.25" x14ac:dyDescent="0.2">
      <c r="K224" s="1" t="s">
        <v>1967</v>
      </c>
      <c r="L224" s="1" t="s">
        <v>3929</v>
      </c>
    </row>
    <row r="225" spans="11:11" ht="14.25" x14ac:dyDescent="0.2">
      <c r="K225" s="1" t="s">
        <v>1732</v>
      </c>
    </row>
    <row r="226" spans="11:11" ht="14.25" x14ac:dyDescent="0.2">
      <c r="K226" s="1" t="s">
        <v>1929</v>
      </c>
    </row>
    <row r="227" spans="11:11" ht="14.25" x14ac:dyDescent="0.2">
      <c r="K227" s="1" t="s">
        <v>1675</v>
      </c>
    </row>
    <row r="228" spans="11:11" ht="14.25" x14ac:dyDescent="0.2">
      <c r="K228" s="1" t="s">
        <v>1848</v>
      </c>
    </row>
    <row r="229" spans="11:11" ht="14.25" x14ac:dyDescent="0.2">
      <c r="K229" s="1" t="s">
        <v>1957</v>
      </c>
    </row>
    <row r="230" spans="11:11" ht="14.25" x14ac:dyDescent="0.2">
      <c r="K230" s="1" t="s">
        <v>1562</v>
      </c>
    </row>
    <row r="231" spans="11:11" ht="14.25" x14ac:dyDescent="0.2">
      <c r="K231" s="1" t="s">
        <v>1629</v>
      </c>
    </row>
    <row r="232" spans="11:11" ht="14.25" x14ac:dyDescent="0.2">
      <c r="K232" s="1" t="s">
        <v>1968</v>
      </c>
    </row>
    <row r="233" spans="11:11" ht="14.25" x14ac:dyDescent="0.2">
      <c r="K233" s="1" t="s">
        <v>1710</v>
      </c>
    </row>
    <row r="234" spans="11:11" ht="14.25" x14ac:dyDescent="0.2">
      <c r="K234" s="1" t="s">
        <v>1577</v>
      </c>
    </row>
    <row r="235" spans="11:11" ht="14.25" x14ac:dyDescent="0.2">
      <c r="K235" s="1" t="s">
        <v>1858</v>
      </c>
    </row>
    <row r="236" spans="11:11" ht="14.25" x14ac:dyDescent="0.2">
      <c r="K236" s="1" t="s">
        <v>1591</v>
      </c>
    </row>
    <row r="237" spans="11:11" ht="14.25" x14ac:dyDescent="0.2">
      <c r="K237" s="1" t="s">
        <v>1963</v>
      </c>
    </row>
    <row r="238" spans="11:11" ht="14.25" x14ac:dyDescent="0.2">
      <c r="K238" s="1" t="s">
        <v>1663</v>
      </c>
    </row>
    <row r="239" spans="11:11" ht="14.25" x14ac:dyDescent="0.2">
      <c r="K239" s="1" t="s">
        <v>1485</v>
      </c>
    </row>
    <row r="240" spans="11:11" ht="14.25" x14ac:dyDescent="0.2">
      <c r="K240" s="1" t="s">
        <v>1875</v>
      </c>
    </row>
    <row r="241" spans="11:11" ht="14.25" x14ac:dyDescent="0.2">
      <c r="K241" s="1" t="s">
        <v>1567</v>
      </c>
    </row>
    <row r="242" spans="11:11" ht="14.25" x14ac:dyDescent="0.2">
      <c r="K242" s="1" t="s">
        <v>2010</v>
      </c>
    </row>
    <row r="243" spans="11:11" ht="14.25" x14ac:dyDescent="0.2">
      <c r="K243" s="1" t="s">
        <v>1977</v>
      </c>
    </row>
    <row r="244" spans="11:11" ht="14.25" x14ac:dyDescent="0.2">
      <c r="K244" s="1" t="s">
        <v>1536</v>
      </c>
    </row>
    <row r="245" spans="11:11" ht="14.25" x14ac:dyDescent="0.2">
      <c r="K245" s="1" t="s">
        <v>1697</v>
      </c>
    </row>
    <row r="246" spans="11:11" ht="14.25" x14ac:dyDescent="0.2">
      <c r="K246" s="1" t="s">
        <v>1835</v>
      </c>
    </row>
    <row r="247" spans="11:11" ht="14.25" x14ac:dyDescent="0.2">
      <c r="K247" s="1" t="s">
        <v>1780</v>
      </c>
    </row>
    <row r="248" spans="11:11" ht="14.25" x14ac:dyDescent="0.2">
      <c r="K248" s="1" t="s">
        <v>1841</v>
      </c>
    </row>
    <row r="249" spans="11:11" ht="14.25" x14ac:dyDescent="0.2">
      <c r="K249" s="1" t="s">
        <v>1923</v>
      </c>
    </row>
    <row r="250" spans="11:11" ht="14.25" x14ac:dyDescent="0.2">
      <c r="K250" s="1" t="s">
        <v>1961</v>
      </c>
    </row>
    <row r="251" spans="11:11" ht="14.25" x14ac:dyDescent="0.2">
      <c r="K251" s="1" t="s">
        <v>1810</v>
      </c>
    </row>
    <row r="252" spans="11:11" ht="14.25" x14ac:dyDescent="0.2">
      <c r="K252" s="1" t="s">
        <v>1811</v>
      </c>
    </row>
    <row r="253" spans="11:11" ht="14.25" x14ac:dyDescent="0.2">
      <c r="K253" s="1" t="s">
        <v>1893</v>
      </c>
    </row>
    <row r="254" spans="11:11" ht="14.25" x14ac:dyDescent="0.2">
      <c r="K254" s="1" t="s">
        <v>1542</v>
      </c>
    </row>
    <row r="255" spans="11:11" ht="14.25" x14ac:dyDescent="0.2">
      <c r="K255" s="1" t="s">
        <v>1499</v>
      </c>
    </row>
    <row r="256" spans="11:11" ht="14.25" x14ac:dyDescent="0.2">
      <c r="K256" s="1" t="s">
        <v>1993</v>
      </c>
    </row>
    <row r="257" spans="11:11" ht="14.25" x14ac:dyDescent="0.2">
      <c r="K257" s="1" t="s">
        <v>1860</v>
      </c>
    </row>
    <row r="258" spans="11:11" ht="14.25" x14ac:dyDescent="0.2">
      <c r="K258" s="1" t="s">
        <v>1513</v>
      </c>
    </row>
    <row r="259" spans="11:11" ht="14.25" x14ac:dyDescent="0.2">
      <c r="K259" s="1" t="s">
        <v>1559</v>
      </c>
    </row>
    <row r="260" spans="11:11" ht="14.25" x14ac:dyDescent="0.2">
      <c r="K260" s="1" t="s">
        <v>1674</v>
      </c>
    </row>
    <row r="261" spans="11:11" ht="14.25" x14ac:dyDescent="0.2">
      <c r="K261" s="1" t="s">
        <v>1847</v>
      </c>
    </row>
    <row r="262" spans="11:11" ht="14.25" x14ac:dyDescent="0.2">
      <c r="K262" s="1" t="s">
        <v>1765</v>
      </c>
    </row>
    <row r="263" spans="11:11" ht="14.25" x14ac:dyDescent="0.2">
      <c r="K263" s="1" t="s">
        <v>1820</v>
      </c>
    </row>
    <row r="264" spans="11:11" ht="14.25" x14ac:dyDescent="0.2">
      <c r="K264" s="1" t="s">
        <v>1595</v>
      </c>
    </row>
    <row r="265" spans="11:11" ht="14.25" x14ac:dyDescent="0.2">
      <c r="K265" s="1" t="s">
        <v>1771</v>
      </c>
    </row>
    <row r="266" spans="11:11" ht="14.25" x14ac:dyDescent="0.2">
      <c r="K266" s="1" t="s">
        <v>1644</v>
      </c>
    </row>
    <row r="267" spans="11:11" ht="14.25" x14ac:dyDescent="0.2">
      <c r="K267" s="1" t="s">
        <v>1612</v>
      </c>
    </row>
    <row r="268" spans="11:11" ht="14.25" x14ac:dyDescent="0.2">
      <c r="K268" s="1" t="s">
        <v>1865</v>
      </c>
    </row>
    <row r="269" spans="11:11" ht="14.25" x14ac:dyDescent="0.2">
      <c r="K269" s="1" t="s">
        <v>1478</v>
      </c>
    </row>
    <row r="270" spans="11:11" ht="14.25" x14ac:dyDescent="0.2">
      <c r="K270" s="1" t="s">
        <v>1856</v>
      </c>
    </row>
    <row r="271" spans="11:11" ht="14.25" x14ac:dyDescent="0.2">
      <c r="K271" s="1" t="s">
        <v>1632</v>
      </c>
    </row>
    <row r="272" spans="11:11" ht="14.25" x14ac:dyDescent="0.2">
      <c r="K272" s="1" t="s">
        <v>1600</v>
      </c>
    </row>
    <row r="273" spans="11:11" ht="14.25" x14ac:dyDescent="0.2">
      <c r="K273" s="1" t="s">
        <v>1472</v>
      </c>
    </row>
    <row r="274" spans="11:11" ht="14.25" x14ac:dyDescent="0.2">
      <c r="K274" s="1" t="s">
        <v>1540</v>
      </c>
    </row>
    <row r="275" spans="11:11" ht="14.25" x14ac:dyDescent="0.2">
      <c r="K275" s="1" t="s">
        <v>1917</v>
      </c>
    </row>
    <row r="276" spans="11:11" ht="14.25" x14ac:dyDescent="0.2">
      <c r="K276" s="1" t="s">
        <v>1548</v>
      </c>
    </row>
    <row r="277" spans="11:11" ht="14.25" x14ac:dyDescent="0.2">
      <c r="K277" s="1" t="s">
        <v>1486</v>
      </c>
    </row>
    <row r="278" spans="11:11" ht="14.25" x14ac:dyDescent="0.2">
      <c r="K278" s="1" t="s">
        <v>1734</v>
      </c>
    </row>
    <row r="279" spans="11:11" ht="14.25" x14ac:dyDescent="0.2">
      <c r="K279" s="1" t="s">
        <v>1726</v>
      </c>
    </row>
    <row r="280" spans="11:11" ht="14.25" x14ac:dyDescent="0.2">
      <c r="K280" s="1" t="s">
        <v>1922</v>
      </c>
    </row>
    <row r="281" spans="11:11" ht="14.25" x14ac:dyDescent="0.2">
      <c r="K281" s="1" t="s">
        <v>1461</v>
      </c>
    </row>
    <row r="282" spans="11:11" ht="14.25" x14ac:dyDescent="0.2">
      <c r="K282" s="1" t="s">
        <v>1462</v>
      </c>
    </row>
    <row r="283" spans="11:11" ht="14.25" x14ac:dyDescent="0.2">
      <c r="K283" s="1" t="s">
        <v>1895</v>
      </c>
    </row>
    <row r="284" spans="11:11" ht="14.25" x14ac:dyDescent="0.2">
      <c r="K284" s="1" t="s">
        <v>1912</v>
      </c>
    </row>
    <row r="285" spans="11:11" ht="14.25" x14ac:dyDescent="0.2">
      <c r="K285" s="1" t="s">
        <v>1628</v>
      </c>
    </row>
    <row r="286" spans="11:11" ht="14.25" x14ac:dyDescent="0.2">
      <c r="K286" s="1" t="s">
        <v>1801</v>
      </c>
    </row>
    <row r="287" spans="11:11" ht="14.25" x14ac:dyDescent="0.2">
      <c r="K287" s="1" t="s">
        <v>1849</v>
      </c>
    </row>
    <row r="288" spans="11:11" ht="14.25" x14ac:dyDescent="0.2">
      <c r="K288" s="1" t="s">
        <v>1483</v>
      </c>
    </row>
    <row r="289" spans="11:11" ht="14.25" x14ac:dyDescent="0.2">
      <c r="K289" s="1" t="s">
        <v>1829</v>
      </c>
    </row>
    <row r="290" spans="11:11" ht="14.25" x14ac:dyDescent="0.2">
      <c r="K290" s="1" t="s">
        <v>1952</v>
      </c>
    </row>
    <row r="291" spans="11:11" ht="14.25" x14ac:dyDescent="0.2">
      <c r="K291" s="1" t="s">
        <v>1518</v>
      </c>
    </row>
    <row r="292" spans="11:11" ht="14.25" x14ac:dyDescent="0.2">
      <c r="K292" s="1" t="s">
        <v>1476</v>
      </c>
    </row>
    <row r="293" spans="11:11" ht="14.25" x14ac:dyDescent="0.2">
      <c r="K293" s="1" t="s">
        <v>1753</v>
      </c>
    </row>
    <row r="294" spans="11:11" ht="14.25" x14ac:dyDescent="0.2">
      <c r="K294" s="1" t="s">
        <v>1709</v>
      </c>
    </row>
    <row r="295" spans="11:11" ht="14.25" x14ac:dyDescent="0.2">
      <c r="K295" s="1" t="s">
        <v>1639</v>
      </c>
    </row>
    <row r="296" spans="11:11" ht="14.25" x14ac:dyDescent="0.2">
      <c r="K296" s="1" t="s">
        <v>1909</v>
      </c>
    </row>
    <row r="297" spans="11:11" ht="14.25" x14ac:dyDescent="0.2">
      <c r="K297" s="1" t="s">
        <v>1637</v>
      </c>
    </row>
    <row r="298" spans="11:11" ht="14.25" x14ac:dyDescent="0.2">
      <c r="K298" s="1" t="s">
        <v>2008</v>
      </c>
    </row>
    <row r="299" spans="11:11" ht="14.25" x14ac:dyDescent="0.2">
      <c r="K299" s="1" t="s">
        <v>1497</v>
      </c>
    </row>
    <row r="300" spans="11:11" ht="14.25" x14ac:dyDescent="0.2">
      <c r="K300" s="1" t="s">
        <v>1816</v>
      </c>
    </row>
    <row r="301" spans="11:11" ht="14.25" x14ac:dyDescent="0.2">
      <c r="K301" s="1" t="s">
        <v>1759</v>
      </c>
    </row>
    <row r="302" spans="11:11" ht="14.25" x14ac:dyDescent="0.2">
      <c r="K302" s="1" t="s">
        <v>1711</v>
      </c>
    </row>
    <row r="303" spans="11:11" ht="14.25" x14ac:dyDescent="0.2">
      <c r="K303" s="1" t="s">
        <v>1805</v>
      </c>
    </row>
    <row r="304" spans="11:11" ht="14.25" x14ac:dyDescent="0.2">
      <c r="K304" s="1" t="s">
        <v>1642</v>
      </c>
    </row>
    <row r="305" spans="11:11" ht="14.25" x14ac:dyDescent="0.2">
      <c r="K305" s="1" t="s">
        <v>1692</v>
      </c>
    </row>
    <row r="306" spans="11:11" ht="14.25" x14ac:dyDescent="0.2">
      <c r="K306" s="1" t="s">
        <v>1482</v>
      </c>
    </row>
    <row r="307" spans="11:11" ht="14.25" x14ac:dyDescent="0.2">
      <c r="K307" s="1" t="s">
        <v>1953</v>
      </c>
    </row>
    <row r="308" spans="11:11" ht="14.25" x14ac:dyDescent="0.2">
      <c r="K308" s="1" t="s">
        <v>1596</v>
      </c>
    </row>
    <row r="309" spans="11:11" ht="14.25" x14ac:dyDescent="0.2">
      <c r="K309" s="1" t="s">
        <v>1975</v>
      </c>
    </row>
    <row r="310" spans="11:11" ht="14.25" x14ac:dyDescent="0.2">
      <c r="K310" s="1" t="s">
        <v>1701</v>
      </c>
    </row>
    <row r="311" spans="11:11" ht="14.25" x14ac:dyDescent="0.2">
      <c r="K311" s="1" t="s">
        <v>1582</v>
      </c>
    </row>
    <row r="312" spans="11:11" ht="14.25" x14ac:dyDescent="0.2">
      <c r="K312" s="1" t="s">
        <v>1800</v>
      </c>
    </row>
    <row r="313" spans="11:11" ht="14.25" x14ac:dyDescent="0.2">
      <c r="K313" s="1" t="s">
        <v>1597</v>
      </c>
    </row>
    <row r="314" spans="11:11" ht="14.25" x14ac:dyDescent="0.2">
      <c r="K314" s="1" t="s">
        <v>1796</v>
      </c>
    </row>
    <row r="315" spans="11:11" ht="14.25" x14ac:dyDescent="0.2">
      <c r="K315" s="1" t="s">
        <v>1505</v>
      </c>
    </row>
    <row r="316" spans="11:11" ht="14.25" x14ac:dyDescent="0.2">
      <c r="K316" s="1" t="s">
        <v>1776</v>
      </c>
    </row>
    <row r="317" spans="11:11" ht="14.25" x14ac:dyDescent="0.2">
      <c r="K317" s="1" t="s">
        <v>1868</v>
      </c>
    </row>
    <row r="318" spans="11:11" ht="14.25" x14ac:dyDescent="0.2">
      <c r="K318" s="1" t="s">
        <v>1869</v>
      </c>
    </row>
    <row r="319" spans="11:11" ht="14.25" x14ac:dyDescent="0.2">
      <c r="K319" s="1" t="s">
        <v>1686</v>
      </c>
    </row>
    <row r="320" spans="11:11" ht="14.25" x14ac:dyDescent="0.2">
      <c r="K320" s="1" t="s">
        <v>1525</v>
      </c>
    </row>
    <row r="321" spans="11:11" ht="14.25" x14ac:dyDescent="0.2">
      <c r="K321" s="1" t="s">
        <v>1795</v>
      </c>
    </row>
    <row r="322" spans="11:11" ht="14.25" x14ac:dyDescent="0.2">
      <c r="K322" s="1" t="s">
        <v>1630</v>
      </c>
    </row>
    <row r="323" spans="11:11" ht="14.25" x14ac:dyDescent="0.2">
      <c r="K323" s="1" t="s">
        <v>1812</v>
      </c>
    </row>
    <row r="324" spans="11:11" ht="14.25" x14ac:dyDescent="0.2">
      <c r="K324" s="1" t="s">
        <v>1897</v>
      </c>
    </row>
    <row r="325" spans="11:11" ht="14.25" x14ac:dyDescent="0.2">
      <c r="K325" s="1" t="s">
        <v>1837</v>
      </c>
    </row>
    <row r="326" spans="11:11" ht="14.25" x14ac:dyDescent="0.2">
      <c r="K326" s="1" t="s">
        <v>1881</v>
      </c>
    </row>
    <row r="327" spans="11:11" ht="14.25" x14ac:dyDescent="0.2">
      <c r="K327" s="1" t="s">
        <v>1937</v>
      </c>
    </row>
    <row r="328" spans="11:11" ht="14.25" x14ac:dyDescent="0.2">
      <c r="K328" s="1" t="s">
        <v>1444</v>
      </c>
    </row>
    <row r="329" spans="11:11" ht="14.25" x14ac:dyDescent="0.2">
      <c r="K329" s="1" t="s">
        <v>1522</v>
      </c>
    </row>
    <row r="330" spans="11:11" ht="14.25" x14ac:dyDescent="0.2">
      <c r="K330" s="1" t="s">
        <v>1625</v>
      </c>
    </row>
    <row r="331" spans="11:11" ht="14.25" x14ac:dyDescent="0.2">
      <c r="K331" s="1" t="s">
        <v>1990</v>
      </c>
    </row>
    <row r="332" spans="11:11" ht="14.25" x14ac:dyDescent="0.2">
      <c r="K332" s="1" t="s">
        <v>1684</v>
      </c>
    </row>
    <row r="333" spans="11:11" ht="14.25" x14ac:dyDescent="0.2">
      <c r="K333" s="1" t="s">
        <v>1633</v>
      </c>
    </row>
    <row r="334" spans="11:11" ht="14.25" x14ac:dyDescent="0.2">
      <c r="K334" s="1" t="s">
        <v>1769</v>
      </c>
    </row>
    <row r="335" spans="11:11" ht="14.25" x14ac:dyDescent="0.2">
      <c r="K335" s="1" t="s">
        <v>1631</v>
      </c>
    </row>
    <row r="336" spans="11:11" ht="14.25" x14ac:dyDescent="0.2">
      <c r="K336" s="1" t="s">
        <v>1496</v>
      </c>
    </row>
    <row r="337" spans="11:11" ht="14.25" x14ac:dyDescent="0.2">
      <c r="K337" s="1" t="s">
        <v>1944</v>
      </c>
    </row>
    <row r="338" spans="11:11" ht="14.25" x14ac:dyDescent="0.2">
      <c r="K338" s="1" t="s">
        <v>1970</v>
      </c>
    </row>
    <row r="339" spans="11:11" ht="14.25" x14ac:dyDescent="0.2">
      <c r="K339" s="1" t="s">
        <v>1660</v>
      </c>
    </row>
    <row r="340" spans="11:11" ht="14.25" x14ac:dyDescent="0.2">
      <c r="K340" s="1" t="s">
        <v>1797</v>
      </c>
    </row>
    <row r="341" spans="11:11" ht="14.25" x14ac:dyDescent="0.2">
      <c r="K341" s="1" t="s">
        <v>1791</v>
      </c>
    </row>
    <row r="342" spans="11:11" ht="14.25" x14ac:dyDescent="0.2">
      <c r="K342" s="1" t="s">
        <v>2060</v>
      </c>
    </row>
    <row r="343" spans="11:11" ht="14.25" x14ac:dyDescent="0.2">
      <c r="K343" s="1" t="s">
        <v>1826</v>
      </c>
    </row>
    <row r="344" spans="11:11" ht="14.25" x14ac:dyDescent="0.2">
      <c r="K344" s="1" t="s">
        <v>1715</v>
      </c>
    </row>
    <row r="345" spans="11:11" ht="14.25" x14ac:dyDescent="0.2">
      <c r="K345" s="1" t="s">
        <v>1730</v>
      </c>
    </row>
    <row r="346" spans="11:11" ht="14.25" x14ac:dyDescent="0.2">
      <c r="K346" s="1" t="s">
        <v>1818</v>
      </c>
    </row>
    <row r="347" spans="11:11" ht="14.25" x14ac:dyDescent="0.2">
      <c r="K347" s="1" t="s">
        <v>1678</v>
      </c>
    </row>
    <row r="348" spans="11:11" ht="14.25" x14ac:dyDescent="0.2">
      <c r="K348" s="1" t="s">
        <v>1531</v>
      </c>
    </row>
    <row r="349" spans="11:11" ht="14.25" x14ac:dyDescent="0.2">
      <c r="K349" s="1" t="s">
        <v>1557</v>
      </c>
    </row>
    <row r="350" spans="11:11" ht="14.25" x14ac:dyDescent="0.2">
      <c r="K350" s="1" t="s">
        <v>1998</v>
      </c>
    </row>
    <row r="351" spans="11:11" ht="14.25" x14ac:dyDescent="0.2">
      <c r="K351" s="1" t="s">
        <v>1862</v>
      </c>
    </row>
    <row r="352" spans="11:11" ht="14.25" x14ac:dyDescent="0.2">
      <c r="K352" s="1" t="s">
        <v>1873</v>
      </c>
    </row>
    <row r="353" spans="11:11" ht="14.25" x14ac:dyDescent="0.2">
      <c r="K353" s="1" t="s">
        <v>1728</v>
      </c>
    </row>
    <row r="354" spans="11:11" ht="14.25" x14ac:dyDescent="0.2">
      <c r="K354" s="1" t="s">
        <v>1985</v>
      </c>
    </row>
    <row r="355" spans="11:11" ht="14.25" x14ac:dyDescent="0.2">
      <c r="K355" s="1" t="s">
        <v>1626</v>
      </c>
    </row>
    <row r="356" spans="11:11" ht="14.25" x14ac:dyDescent="0.2">
      <c r="K356" s="1" t="s">
        <v>1976</v>
      </c>
    </row>
    <row r="357" spans="11:11" ht="14.25" x14ac:dyDescent="0.2">
      <c r="K357" s="1" t="s">
        <v>1924</v>
      </c>
    </row>
    <row r="358" spans="11:11" ht="14.25" x14ac:dyDescent="0.2">
      <c r="K358" s="1" t="s">
        <v>1943</v>
      </c>
    </row>
    <row r="359" spans="11:11" ht="14.25" x14ac:dyDescent="0.2">
      <c r="K359" s="1" t="s">
        <v>1813</v>
      </c>
    </row>
    <row r="360" spans="11:11" ht="14.25" x14ac:dyDescent="0.2">
      <c r="K360" s="1" t="s">
        <v>1747</v>
      </c>
    </row>
    <row r="361" spans="11:11" ht="14.25" x14ac:dyDescent="0.2">
      <c r="K361" s="1" t="s">
        <v>1740</v>
      </c>
    </row>
    <row r="362" spans="11:11" ht="14.25" x14ac:dyDescent="0.2">
      <c r="K362" s="1" t="s">
        <v>2006</v>
      </c>
    </row>
    <row r="363" spans="11:11" ht="14.25" x14ac:dyDescent="0.2">
      <c r="K363" s="1" t="s">
        <v>1777</v>
      </c>
    </row>
    <row r="364" spans="11:11" ht="14.25" x14ac:dyDescent="0.2">
      <c r="K364" s="1" t="s">
        <v>1538</v>
      </c>
    </row>
    <row r="365" spans="11:11" ht="14.25" x14ac:dyDescent="0.2">
      <c r="K365" s="1" t="s">
        <v>1465</v>
      </c>
    </row>
    <row r="366" spans="11:11" ht="14.25" x14ac:dyDescent="0.2">
      <c r="K366" s="1" t="s">
        <v>1608</v>
      </c>
    </row>
    <row r="367" spans="11:11" ht="14.25" x14ac:dyDescent="0.2">
      <c r="K367" s="1" t="s">
        <v>1558</v>
      </c>
    </row>
    <row r="368" spans="11:11" ht="14.25" x14ac:dyDescent="0.2">
      <c r="K368" s="1" t="s">
        <v>1979</v>
      </c>
    </row>
    <row r="369" spans="11:11" ht="14.25" x14ac:dyDescent="0.2">
      <c r="K369" s="1" t="s">
        <v>1899</v>
      </c>
    </row>
    <row r="370" spans="11:11" ht="14.25" x14ac:dyDescent="0.2">
      <c r="K370" s="1" t="s">
        <v>1654</v>
      </c>
    </row>
    <row r="371" spans="11:11" ht="14.25" x14ac:dyDescent="0.2">
      <c r="K371" s="1" t="s">
        <v>1890</v>
      </c>
    </row>
    <row r="372" spans="11:11" ht="14.25" x14ac:dyDescent="0.2">
      <c r="K372" s="1" t="s">
        <v>1502</v>
      </c>
    </row>
    <row r="373" spans="11:11" ht="14.25" x14ac:dyDescent="0.2">
      <c r="K373" s="1" t="s">
        <v>1527</v>
      </c>
    </row>
    <row r="374" spans="11:11" ht="14.25" x14ac:dyDescent="0.2">
      <c r="K374" s="1" t="s">
        <v>1902</v>
      </c>
    </row>
    <row r="375" spans="11:11" ht="14.25" x14ac:dyDescent="0.2">
      <c r="K375" s="1" t="s">
        <v>1620</v>
      </c>
    </row>
    <row r="376" spans="11:11" ht="14.25" x14ac:dyDescent="0.2">
      <c r="K376" s="1" t="s">
        <v>1874</v>
      </c>
    </row>
    <row r="377" spans="11:11" ht="14.25" x14ac:dyDescent="0.2">
      <c r="K377" s="1" t="s">
        <v>1648</v>
      </c>
    </row>
    <row r="378" spans="11:11" ht="14.25" x14ac:dyDescent="0.2">
      <c r="K378" s="1" t="s">
        <v>1799</v>
      </c>
    </row>
    <row r="379" spans="11:11" ht="14.25" x14ac:dyDescent="0.2">
      <c r="K379" s="1" t="s">
        <v>1864</v>
      </c>
    </row>
    <row r="380" spans="11:11" ht="14.25" x14ac:dyDescent="0.2">
      <c r="K380" s="1" t="s">
        <v>1778</v>
      </c>
    </row>
    <row r="381" spans="11:11" ht="14.25" x14ac:dyDescent="0.2">
      <c r="K381" s="1" t="s">
        <v>1605</v>
      </c>
    </row>
    <row r="382" spans="11:11" ht="14.25" x14ac:dyDescent="0.2">
      <c r="K382" s="1" t="s">
        <v>1677</v>
      </c>
    </row>
    <row r="383" spans="11:11" ht="14.25" x14ac:dyDescent="0.2">
      <c r="K383" s="1" t="s">
        <v>1627</v>
      </c>
    </row>
    <row r="384" spans="11:11" ht="14.25" x14ac:dyDescent="0.2">
      <c r="K384" s="1" t="s">
        <v>1910</v>
      </c>
    </row>
    <row r="385" spans="11:11" ht="14.25" x14ac:dyDescent="0.2">
      <c r="K385" s="1" t="s">
        <v>1659</v>
      </c>
    </row>
    <row r="386" spans="11:11" ht="14.25" x14ac:dyDescent="0.2">
      <c r="K386" s="1" t="s">
        <v>1607</v>
      </c>
    </row>
    <row r="387" spans="11:11" ht="14.25" x14ac:dyDescent="0.2">
      <c r="K387" s="1" t="s">
        <v>1787</v>
      </c>
    </row>
    <row r="388" spans="11:11" ht="14.25" x14ac:dyDescent="0.2">
      <c r="K388" s="1" t="s">
        <v>1617</v>
      </c>
    </row>
    <row r="389" spans="11:11" ht="14.25" x14ac:dyDescent="0.2">
      <c r="K389" s="1" t="s">
        <v>1793</v>
      </c>
    </row>
    <row r="390" spans="11:11" ht="14.25" x14ac:dyDescent="0.2">
      <c r="K390" s="1" t="s">
        <v>1649</v>
      </c>
    </row>
    <row r="391" spans="11:11" ht="14.25" x14ac:dyDescent="0.2">
      <c r="K391" s="1" t="s">
        <v>1755</v>
      </c>
    </row>
    <row r="392" spans="11:11" ht="14.25" x14ac:dyDescent="0.2">
      <c r="K392" s="1" t="s">
        <v>1506</v>
      </c>
    </row>
    <row r="393" spans="11:11" ht="14.25" x14ac:dyDescent="0.2">
      <c r="K393" s="1" t="s">
        <v>1913</v>
      </c>
    </row>
    <row r="394" spans="11:11" ht="14.25" x14ac:dyDescent="0.2">
      <c r="K394" s="1" t="s">
        <v>1494</v>
      </c>
    </row>
    <row r="395" spans="11:11" ht="14.25" x14ac:dyDescent="0.2">
      <c r="K395" s="1" t="s">
        <v>1707</v>
      </c>
    </row>
    <row r="396" spans="11:11" ht="14.25" x14ac:dyDescent="0.2">
      <c r="K396" s="1" t="s">
        <v>1550</v>
      </c>
    </row>
    <row r="397" spans="11:11" ht="14.25" x14ac:dyDescent="0.2">
      <c r="K397" s="1" t="s">
        <v>1941</v>
      </c>
    </row>
    <row r="398" spans="11:11" ht="14.25" x14ac:dyDescent="0.2">
      <c r="K398" s="1" t="s">
        <v>1751</v>
      </c>
    </row>
    <row r="399" spans="11:11" ht="14.25" x14ac:dyDescent="0.2">
      <c r="K399" s="1" t="s">
        <v>1535</v>
      </c>
    </row>
    <row r="400" spans="11:11" ht="14.25" x14ac:dyDescent="0.2">
      <c r="K400" s="1" t="s">
        <v>1616</v>
      </c>
    </row>
    <row r="401" spans="11:11" ht="14.25" x14ac:dyDescent="0.2">
      <c r="K401" s="1" t="s">
        <v>1889</v>
      </c>
    </row>
    <row r="402" spans="11:11" ht="14.25" x14ac:dyDescent="0.2">
      <c r="K402" s="1" t="s">
        <v>1503</v>
      </c>
    </row>
    <row r="403" spans="11:11" ht="14.25" x14ac:dyDescent="0.2">
      <c r="K403" s="1" t="s">
        <v>1832</v>
      </c>
    </row>
    <row r="404" spans="11:11" ht="14.25" x14ac:dyDescent="0.2">
      <c r="K404" s="1" t="s">
        <v>2009</v>
      </c>
    </row>
    <row r="405" spans="11:11" ht="14.25" x14ac:dyDescent="0.2">
      <c r="K405" s="1" t="s">
        <v>1857</v>
      </c>
    </row>
    <row r="406" spans="11:11" ht="14.25" x14ac:dyDescent="0.2">
      <c r="K406" s="1" t="s">
        <v>1843</v>
      </c>
    </row>
    <row r="407" spans="11:11" ht="14.25" x14ac:dyDescent="0.2">
      <c r="K407" s="1" t="s">
        <v>1547</v>
      </c>
    </row>
    <row r="408" spans="11:11" ht="14.25" x14ac:dyDescent="0.2">
      <c r="K408" s="1" t="s">
        <v>1911</v>
      </c>
    </row>
    <row r="409" spans="11:11" ht="14.25" x14ac:dyDescent="0.2">
      <c r="K409" s="1" t="s">
        <v>1951</v>
      </c>
    </row>
    <row r="410" spans="11:11" ht="14.25" x14ac:dyDescent="0.2">
      <c r="K410" s="1" t="s">
        <v>1846</v>
      </c>
    </row>
    <row r="411" spans="11:11" ht="14.25" x14ac:dyDescent="0.2">
      <c r="K411" s="1" t="s">
        <v>1471</v>
      </c>
    </row>
    <row r="412" spans="11:11" ht="14.25" x14ac:dyDescent="0.2">
      <c r="K412" s="1" t="s">
        <v>1756</v>
      </c>
    </row>
    <row r="413" spans="11:11" ht="14.25" x14ac:dyDescent="0.2">
      <c r="K413" s="1" t="s">
        <v>1768</v>
      </c>
    </row>
    <row r="414" spans="11:11" ht="14.25" x14ac:dyDescent="0.2">
      <c r="K414" s="1" t="s">
        <v>1882</v>
      </c>
    </row>
    <row r="415" spans="11:11" ht="14.25" x14ac:dyDescent="0.2">
      <c r="K415" s="1" t="s">
        <v>1511</v>
      </c>
    </row>
    <row r="416" spans="11:11" ht="14.25" x14ac:dyDescent="0.2">
      <c r="K416" s="1" t="s">
        <v>1888</v>
      </c>
    </row>
    <row r="417" spans="11:11" ht="14.25" x14ac:dyDescent="0.2">
      <c r="K417" s="1" t="s">
        <v>1624</v>
      </c>
    </row>
    <row r="418" spans="11:11" ht="14.25" x14ac:dyDescent="0.2">
      <c r="K418" s="1" t="s">
        <v>1900</v>
      </c>
    </row>
    <row r="419" spans="11:11" ht="14.25" x14ac:dyDescent="0.2">
      <c r="K419" s="1" t="s">
        <v>1763</v>
      </c>
    </row>
    <row r="420" spans="11:11" ht="14.25" x14ac:dyDescent="0.2">
      <c r="K420" s="1" t="s">
        <v>1978</v>
      </c>
    </row>
    <row r="421" spans="11:11" ht="14.25" x14ac:dyDescent="0.2">
      <c r="K421" s="1" t="s">
        <v>1552</v>
      </c>
    </row>
    <row r="422" spans="11:11" ht="14.25" x14ac:dyDescent="0.2">
      <c r="K422" s="1" t="s">
        <v>1669</v>
      </c>
    </row>
    <row r="423" spans="11:11" ht="14.25" x14ac:dyDescent="0.2">
      <c r="K423" s="1" t="s">
        <v>1930</v>
      </c>
    </row>
    <row r="424" spans="11:11" ht="14.25" x14ac:dyDescent="0.2">
      <c r="K424" s="1" t="s">
        <v>1691</v>
      </c>
    </row>
    <row r="425" spans="11:11" ht="14.25" x14ac:dyDescent="0.2">
      <c r="K425" s="1" t="s">
        <v>1682</v>
      </c>
    </row>
    <row r="426" spans="11:11" ht="14.25" x14ac:dyDescent="0.2">
      <c r="K426" s="1" t="s">
        <v>1997</v>
      </c>
    </row>
    <row r="427" spans="11:11" ht="14.25" x14ac:dyDescent="0.2">
      <c r="K427" s="1" t="s">
        <v>1549</v>
      </c>
    </row>
    <row r="428" spans="11:11" ht="14.25" x14ac:dyDescent="0.2">
      <c r="K428" s="1" t="s">
        <v>1459</v>
      </c>
    </row>
    <row r="429" spans="11:11" ht="14.25" x14ac:dyDescent="0.2">
      <c r="K429" s="1" t="s">
        <v>1534</v>
      </c>
    </row>
    <row r="430" spans="11:11" ht="14.25" x14ac:dyDescent="0.2">
      <c r="K430" s="1" t="s">
        <v>1512</v>
      </c>
    </row>
    <row r="431" spans="11:11" ht="14.25" x14ac:dyDescent="0.2">
      <c r="K431" s="1" t="s">
        <v>1463</v>
      </c>
    </row>
    <row r="432" spans="11:11" ht="14.25" x14ac:dyDescent="0.2">
      <c r="K432" s="1" t="s">
        <v>1757</v>
      </c>
    </row>
    <row r="433" spans="11:11" ht="14.25" x14ac:dyDescent="0.2">
      <c r="K433" s="1" t="s">
        <v>1703</v>
      </c>
    </row>
    <row r="434" spans="11:11" ht="14.25" x14ac:dyDescent="0.2">
      <c r="K434" s="1" t="s">
        <v>1466</v>
      </c>
    </row>
    <row r="435" spans="11:11" ht="14.25" x14ac:dyDescent="0.2">
      <c r="K435" s="1" t="s">
        <v>1996</v>
      </c>
    </row>
    <row r="436" spans="11:11" ht="14.25" x14ac:dyDescent="0.2">
      <c r="K436" s="1" t="s">
        <v>1508</v>
      </c>
    </row>
    <row r="437" spans="11:11" ht="14.25" x14ac:dyDescent="0.2">
      <c r="K437" s="1" t="s">
        <v>1974</v>
      </c>
    </row>
    <row r="438" spans="11:11" ht="14.25" x14ac:dyDescent="0.2">
      <c r="K438" s="1" t="s">
        <v>1955</v>
      </c>
    </row>
    <row r="439" spans="11:11" ht="14.25" x14ac:dyDescent="0.2">
      <c r="K439" s="1" t="s">
        <v>1619</v>
      </c>
    </row>
    <row r="440" spans="11:11" ht="14.25" x14ac:dyDescent="0.2">
      <c r="K440" s="1" t="s">
        <v>1938</v>
      </c>
    </row>
    <row r="441" spans="11:11" ht="14.25" x14ac:dyDescent="0.2">
      <c r="K441" s="1" t="s">
        <v>1621</v>
      </c>
    </row>
    <row r="442" spans="11:11" ht="14.25" x14ac:dyDescent="0.2">
      <c r="K442" s="1" t="s">
        <v>1694</v>
      </c>
    </row>
    <row r="443" spans="11:11" ht="14.25" x14ac:dyDescent="0.2">
      <c r="K443" s="1" t="s">
        <v>1712</v>
      </c>
    </row>
    <row r="444" spans="11:11" ht="14.25" x14ac:dyDescent="0.2">
      <c r="K444" s="1" t="s">
        <v>1827</v>
      </c>
    </row>
    <row r="445" spans="11:11" ht="14.25" x14ac:dyDescent="0.2">
      <c r="K445" s="1" t="s">
        <v>1954</v>
      </c>
    </row>
    <row r="446" spans="11:11" ht="14.25" x14ac:dyDescent="0.2">
      <c r="K446" s="1" t="s">
        <v>1638</v>
      </c>
    </row>
    <row r="447" spans="11:11" ht="14.25" x14ac:dyDescent="0.2">
      <c r="K447" s="1" t="s">
        <v>1817</v>
      </c>
    </row>
    <row r="448" spans="11:11" ht="14.25" x14ac:dyDescent="0.2">
      <c r="K448" s="1" t="s">
        <v>1781</v>
      </c>
    </row>
    <row r="449" spans="11:11" ht="14.25" x14ac:dyDescent="0.2">
      <c r="K449" s="1" t="s">
        <v>1601</v>
      </c>
    </row>
    <row r="450" spans="11:11" ht="14.25" x14ac:dyDescent="0.2">
      <c r="K450" s="1" t="s">
        <v>1668</v>
      </c>
    </row>
    <row r="451" spans="11:11" ht="14.25" x14ac:dyDescent="0.2">
      <c r="K451" s="1" t="s">
        <v>1887</v>
      </c>
    </row>
    <row r="452" spans="11:11" ht="14.25" x14ac:dyDescent="0.2">
      <c r="K452" s="1" t="s">
        <v>1903</v>
      </c>
    </row>
    <row r="453" spans="11:11" ht="14.25" x14ac:dyDescent="0.2">
      <c r="K453" s="1" t="s">
        <v>1713</v>
      </c>
    </row>
    <row r="454" spans="11:11" ht="14.25" x14ac:dyDescent="0.2">
      <c r="K454" s="1" t="s">
        <v>1574</v>
      </c>
    </row>
    <row r="455" spans="11:11" ht="14.25" x14ac:dyDescent="0.2">
      <c r="K455" s="1" t="s">
        <v>1529</v>
      </c>
    </row>
    <row r="456" spans="11:11" ht="14.25" x14ac:dyDescent="0.2">
      <c r="K456" s="1" t="s">
        <v>1906</v>
      </c>
    </row>
    <row r="457" spans="11:11" ht="14.25" x14ac:dyDescent="0.2">
      <c r="K457" s="1" t="s">
        <v>2059</v>
      </c>
    </row>
    <row r="458" spans="11:11" ht="14.25" x14ac:dyDescent="0.2">
      <c r="K458" s="1" t="s">
        <v>1680</v>
      </c>
    </row>
    <row r="459" spans="11:11" ht="14.25" x14ac:dyDescent="0.2">
      <c r="K459" s="1" t="s">
        <v>2015</v>
      </c>
    </row>
    <row r="460" spans="11:11" ht="14.25" x14ac:dyDescent="0.2">
      <c r="K460" s="1" t="s">
        <v>1956</v>
      </c>
    </row>
    <row r="461" spans="11:11" ht="14.25" x14ac:dyDescent="0.2">
      <c r="K461" s="1" t="s">
        <v>1467</v>
      </c>
    </row>
    <row r="462" spans="11:11" ht="14.25" x14ac:dyDescent="0.2">
      <c r="K462" s="1" t="s">
        <v>1926</v>
      </c>
    </row>
    <row r="463" spans="11:11" ht="14.25" x14ac:dyDescent="0.2">
      <c r="K463" s="1" t="s">
        <v>1792</v>
      </c>
    </row>
    <row r="464" spans="11:11" ht="14.25" x14ac:dyDescent="0.2">
      <c r="K464" s="1" t="s">
        <v>1698</v>
      </c>
    </row>
    <row r="465" spans="11:11" ht="14.25" x14ac:dyDescent="0.2">
      <c r="K465" s="1" t="s">
        <v>1635</v>
      </c>
    </row>
    <row r="466" spans="11:11" ht="14.25" x14ac:dyDescent="0.2">
      <c r="K466" s="1" t="s">
        <v>1880</v>
      </c>
    </row>
    <row r="467" spans="11:11" ht="14.25" x14ac:dyDescent="0.2">
      <c r="K467" s="1" t="s">
        <v>1614</v>
      </c>
    </row>
    <row r="468" spans="11:11" ht="14.25" x14ac:dyDescent="0.2">
      <c r="K468" s="1" t="s">
        <v>1931</v>
      </c>
    </row>
    <row r="469" spans="11:11" ht="14.25" x14ac:dyDescent="0.2">
      <c r="K469" s="1" t="s">
        <v>1995</v>
      </c>
    </row>
    <row r="470" spans="11:11" ht="14.25" x14ac:dyDescent="0.2">
      <c r="K470" s="1" t="s">
        <v>1533</v>
      </c>
    </row>
    <row r="471" spans="11:11" ht="14.25" x14ac:dyDescent="0.2">
      <c r="K471" s="1" t="s">
        <v>1622</v>
      </c>
    </row>
    <row r="472" spans="11:11" ht="14.25" x14ac:dyDescent="0.2">
      <c r="K472" s="1" t="s">
        <v>1999</v>
      </c>
    </row>
    <row r="473" spans="11:11" ht="14.25" x14ac:dyDescent="0.2">
      <c r="K473" s="1" t="s">
        <v>1786</v>
      </c>
    </row>
    <row r="474" spans="11:11" ht="14.25" x14ac:dyDescent="0.2">
      <c r="K474" s="1" t="s">
        <v>1965</v>
      </c>
    </row>
    <row r="475" spans="11:11" ht="14.25" x14ac:dyDescent="0.2">
      <c r="K475" s="1" t="s">
        <v>1738</v>
      </c>
    </row>
    <row r="476" spans="11:11" ht="14.25" x14ac:dyDescent="0.2">
      <c r="K476" s="1" t="s">
        <v>1935</v>
      </c>
    </row>
    <row r="477" spans="11:11" ht="14.25" x14ac:dyDescent="0.2">
      <c r="K477" s="1" t="s">
        <v>1611</v>
      </c>
    </row>
    <row r="478" spans="11:11" ht="14.25" x14ac:dyDescent="0.2">
      <c r="K478" s="1" t="s">
        <v>1653</v>
      </c>
    </row>
    <row r="479" spans="11:11" ht="14.25" x14ac:dyDescent="0.2">
      <c r="K479" s="1" t="s">
        <v>1854</v>
      </c>
    </row>
    <row r="480" spans="11:11" ht="14.25" x14ac:dyDescent="0.2">
      <c r="K480" s="1" t="s">
        <v>1667</v>
      </c>
    </row>
    <row r="481" spans="11:11" ht="14.25" x14ac:dyDescent="0.2">
      <c r="K481" s="1" t="s">
        <v>1539</v>
      </c>
    </row>
    <row r="482" spans="11:11" ht="14.25" x14ac:dyDescent="0.2">
      <c r="K482" s="1" t="s">
        <v>2005</v>
      </c>
    </row>
    <row r="483" spans="11:11" ht="14.25" x14ac:dyDescent="0.2">
      <c r="K483" s="1" t="s">
        <v>1493</v>
      </c>
    </row>
    <row r="484" spans="11:11" ht="14.25" x14ac:dyDescent="0.2">
      <c r="K484" s="1" t="s">
        <v>1554</v>
      </c>
    </row>
    <row r="485" spans="11:11" ht="14.25" x14ac:dyDescent="0.2">
      <c r="K485" s="1" t="s">
        <v>1971</v>
      </c>
    </row>
    <row r="486" spans="11:11" ht="14.25" x14ac:dyDescent="0.2">
      <c r="K486" s="1" t="s">
        <v>1579</v>
      </c>
    </row>
    <row r="487" spans="11:11" ht="14.25" x14ac:dyDescent="0.2">
      <c r="K487" s="1" t="s">
        <v>1986</v>
      </c>
    </row>
    <row r="488" spans="11:11" ht="14.25" x14ac:dyDescent="0.2">
      <c r="K488" s="1" t="s">
        <v>1850</v>
      </c>
    </row>
    <row r="489" spans="11:11" ht="14.25" x14ac:dyDescent="0.2">
      <c r="K489" s="1" t="s">
        <v>1523</v>
      </c>
    </row>
    <row r="490" spans="11:11" ht="14.25" x14ac:dyDescent="0.2">
      <c r="K490" s="1" t="s">
        <v>1871</v>
      </c>
    </row>
    <row r="491" spans="11:11" ht="14.25" x14ac:dyDescent="0.2">
      <c r="K491" s="1" t="s">
        <v>1720</v>
      </c>
    </row>
    <row r="492" spans="11:11" ht="14.25" x14ac:dyDescent="0.2">
      <c r="K492" s="1" t="s">
        <v>270</v>
      </c>
    </row>
    <row r="493" spans="11:11" ht="14.25" x14ac:dyDescent="0.2">
      <c r="K493" s="1" t="s">
        <v>91</v>
      </c>
    </row>
    <row r="494" spans="11:11" ht="14.25" x14ac:dyDescent="0.2">
      <c r="K494" s="1" t="s">
        <v>1662</v>
      </c>
    </row>
    <row r="495" spans="11:11" ht="14.25" x14ac:dyDescent="0.2">
      <c r="K495" s="1" t="s">
        <v>1901</v>
      </c>
    </row>
    <row r="496" spans="11:11" ht="14.25" x14ac:dyDescent="0.2">
      <c r="K496" s="1" t="s">
        <v>1767</v>
      </c>
    </row>
    <row r="497" spans="11:11" ht="14.25" x14ac:dyDescent="0.2">
      <c r="K497" s="1" t="s">
        <v>1804</v>
      </c>
    </row>
    <row r="498" spans="11:11" ht="14.25" x14ac:dyDescent="0.2">
      <c r="K498" s="1" t="s">
        <v>1851</v>
      </c>
    </row>
    <row r="499" spans="11:11" ht="14.25" x14ac:dyDescent="0.2">
      <c r="K499" s="1" t="s">
        <v>1920</v>
      </c>
    </row>
    <row r="500" spans="11:11" ht="14.25" x14ac:dyDescent="0.2">
      <c r="K500" s="1" t="s">
        <v>1661</v>
      </c>
    </row>
    <row r="501" spans="11:11" ht="14.25" x14ac:dyDescent="0.2">
      <c r="K501" s="1" t="s">
        <v>2003</v>
      </c>
    </row>
    <row r="502" spans="11:11" ht="14.25" x14ac:dyDescent="0.2">
      <c r="K502" s="1" t="s">
        <v>1563</v>
      </c>
    </row>
    <row r="503" spans="11:11" ht="14.25" x14ac:dyDescent="0.2">
      <c r="K503" s="1" t="s">
        <v>1477</v>
      </c>
    </row>
    <row r="504" spans="11:11" ht="14.25" x14ac:dyDescent="0.2">
      <c r="K504" s="1" t="s">
        <v>1836</v>
      </c>
    </row>
    <row r="505" spans="11:11" ht="14.25" x14ac:dyDescent="0.2">
      <c r="K505" s="1" t="s">
        <v>1808</v>
      </c>
    </row>
    <row r="506" spans="11:11" ht="14.25" x14ac:dyDescent="0.2">
      <c r="K506" s="1" t="s">
        <v>1507</v>
      </c>
    </row>
    <row r="507" spans="11:11" ht="14.25" x14ac:dyDescent="0.2">
      <c r="K507" s="1" t="s">
        <v>1894</v>
      </c>
    </row>
    <row r="508" spans="11:11" ht="14.25" x14ac:dyDescent="0.2">
      <c r="K508" s="1" t="s">
        <v>1704</v>
      </c>
    </row>
    <row r="509" spans="11:11" ht="14.25" x14ac:dyDescent="0.2">
      <c r="K509" s="1" t="s">
        <v>1802</v>
      </c>
    </row>
    <row r="510" spans="11:11" ht="14.25" x14ac:dyDescent="0.2">
      <c r="K510" s="1" t="s">
        <v>2001</v>
      </c>
    </row>
    <row r="511" spans="11:11" ht="14.25" x14ac:dyDescent="0.2">
      <c r="K511" s="1" t="s">
        <v>2014</v>
      </c>
    </row>
    <row r="512" spans="11:11" ht="14.25" x14ac:dyDescent="0.2">
      <c r="K512" s="1" t="s">
        <v>1867</v>
      </c>
    </row>
    <row r="513" spans="11:11" ht="14.25" x14ac:dyDescent="0.2">
      <c r="K513" s="1" t="s">
        <v>1530</v>
      </c>
    </row>
    <row r="514" spans="11:11" ht="14.25" x14ac:dyDescent="0.2">
      <c r="K514" s="1" t="s">
        <v>1556</v>
      </c>
    </row>
    <row r="515" spans="11:11" ht="14.25" x14ac:dyDescent="0.2">
      <c r="K515" s="1" t="s">
        <v>1566</v>
      </c>
    </row>
    <row r="516" spans="11:11" ht="14.25" x14ac:dyDescent="0.2">
      <c r="K516" s="1" t="s">
        <v>1855</v>
      </c>
    </row>
    <row r="517" spans="11:11" ht="14.25" x14ac:dyDescent="0.2">
      <c r="K517" s="1" t="s">
        <v>1537</v>
      </c>
    </row>
    <row r="518" spans="11:11" ht="14.25" x14ac:dyDescent="0.2">
      <c r="K518" s="1" t="s">
        <v>1891</v>
      </c>
    </row>
    <row r="519" spans="11:11" ht="14.25" x14ac:dyDescent="0.2">
      <c r="K519" s="1" t="s">
        <v>1934</v>
      </c>
    </row>
    <row r="520" spans="11:11" ht="14.25" x14ac:dyDescent="0.2">
      <c r="K520" s="1" t="s">
        <v>1886</v>
      </c>
    </row>
    <row r="521" spans="11:11" ht="14.25" x14ac:dyDescent="0.2">
      <c r="K521" s="1" t="s">
        <v>1580</v>
      </c>
    </row>
    <row r="522" spans="11:11" ht="14.25" x14ac:dyDescent="0.2">
      <c r="K522" s="1" t="s">
        <v>1583</v>
      </c>
    </row>
    <row r="523" spans="11:11" ht="14.25" x14ac:dyDescent="0.2">
      <c r="K523" s="1" t="s">
        <v>1987</v>
      </c>
    </row>
    <row r="524" spans="11:11" ht="14.25" x14ac:dyDescent="0.2">
      <c r="K524" s="1" t="s">
        <v>1822</v>
      </c>
    </row>
    <row r="525" spans="11:11" ht="14.25" x14ac:dyDescent="0.2">
      <c r="K525" s="1" t="s">
        <v>1733</v>
      </c>
    </row>
    <row r="526" spans="11:11" ht="14.25" x14ac:dyDescent="0.2">
      <c r="K526" s="1" t="s">
        <v>1495</v>
      </c>
    </row>
    <row r="527" spans="11:11" ht="14.25" x14ac:dyDescent="0.2">
      <c r="K527" s="1" t="s">
        <v>1618</v>
      </c>
    </row>
    <row r="528" spans="11:11" ht="14.25" x14ac:dyDescent="0.2">
      <c r="K528" s="1" t="s">
        <v>1821</v>
      </c>
    </row>
    <row r="529" spans="11:11" ht="14.25" x14ac:dyDescent="0.2">
      <c r="K529" s="1" t="s">
        <v>1584</v>
      </c>
    </row>
    <row r="530" spans="11:11" ht="14.25" x14ac:dyDescent="0.2">
      <c r="K530" s="1" t="s">
        <v>1681</v>
      </c>
    </row>
    <row r="531" spans="11:11" ht="14.25" x14ac:dyDescent="0.2">
      <c r="K531" s="1" t="s">
        <v>1991</v>
      </c>
    </row>
    <row r="532" spans="11:11" ht="14.25" x14ac:dyDescent="0.2">
      <c r="K532" s="1" t="s">
        <v>1685</v>
      </c>
    </row>
    <row r="533" spans="11:11" ht="14.25" x14ac:dyDescent="0.2">
      <c r="K533" s="1" t="s">
        <v>1679</v>
      </c>
    </row>
    <row r="534" spans="11:11" ht="14.25" x14ac:dyDescent="0.2">
      <c r="K534" s="1" t="s">
        <v>1470</v>
      </c>
    </row>
    <row r="535" spans="11:11" ht="14.25" x14ac:dyDescent="0.2">
      <c r="K535" s="1" t="s">
        <v>1460</v>
      </c>
    </row>
    <row r="536" spans="11:11" ht="14.25" x14ac:dyDescent="0.2">
      <c r="K536" s="1" t="s">
        <v>2000</v>
      </c>
    </row>
    <row r="537" spans="11:11" ht="14.25" x14ac:dyDescent="0.2">
      <c r="K537" s="1" t="s">
        <v>1593</v>
      </c>
    </row>
    <row r="538" spans="11:11" ht="14.25" x14ac:dyDescent="0.2">
      <c r="K538" s="1" t="s">
        <v>1992</v>
      </c>
    </row>
    <row r="539" spans="11:11" ht="14.25" x14ac:dyDescent="0.2">
      <c r="K539" s="1" t="s">
        <v>1458</v>
      </c>
    </row>
    <row r="540" spans="11:11" ht="14.25" x14ac:dyDescent="0.2">
      <c r="K540" s="1" t="s">
        <v>1610</v>
      </c>
    </row>
    <row r="541" spans="11:11" ht="14.25" x14ac:dyDescent="0.2">
      <c r="K541" s="1" t="s">
        <v>1623</v>
      </c>
    </row>
    <row r="542" spans="11:11" ht="14.25" x14ac:dyDescent="0.2">
      <c r="K542" s="1" t="s">
        <v>1602</v>
      </c>
    </row>
    <row r="543" spans="11:11" ht="14.25" x14ac:dyDescent="0.2">
      <c r="K543" s="1" t="s">
        <v>1721</v>
      </c>
    </row>
    <row r="544" spans="11:11" ht="14.25" x14ac:dyDescent="0.2">
      <c r="K544" s="1" t="s">
        <v>1754</v>
      </c>
    </row>
    <row r="545" spans="11:11" ht="14.25" x14ac:dyDescent="0.2">
      <c r="K545" s="1" t="s">
        <v>1962</v>
      </c>
    </row>
    <row r="546" spans="11:11" ht="14.25" x14ac:dyDescent="0.2">
      <c r="K546" s="1" t="s">
        <v>1940</v>
      </c>
    </row>
    <row r="547" spans="11:11" ht="14.25" x14ac:dyDescent="0.2">
      <c r="K547" s="1" t="s">
        <v>1872</v>
      </c>
    </row>
    <row r="548" spans="11:11" ht="14.25" x14ac:dyDescent="0.2">
      <c r="K548" s="1" t="s">
        <v>1650</v>
      </c>
    </row>
    <row r="549" spans="11:11" ht="14.25" x14ac:dyDescent="0.2">
      <c r="K549" s="1" t="s">
        <v>1742</v>
      </c>
    </row>
    <row r="550" spans="11:11" ht="14.25" x14ac:dyDescent="0.2">
      <c r="K550" s="1" t="s">
        <v>1598</v>
      </c>
    </row>
    <row r="551" spans="11:11" ht="14.25" x14ac:dyDescent="0.2">
      <c r="K551" s="1" t="s">
        <v>1958</v>
      </c>
    </row>
    <row r="552" spans="11:11" ht="14.25" x14ac:dyDescent="0.2">
      <c r="K552" s="1" t="s">
        <v>1500</v>
      </c>
    </row>
    <row r="553" spans="11:11" ht="14.25" x14ac:dyDescent="0.2">
      <c r="K553" s="1" t="s">
        <v>1772</v>
      </c>
    </row>
    <row r="554" spans="11:11" ht="14.25" x14ac:dyDescent="0.2">
      <c r="K554" s="1" t="s">
        <v>1814</v>
      </c>
    </row>
    <row r="555" spans="11:11" ht="14.25" x14ac:dyDescent="0.2">
      <c r="K555" s="1" t="s">
        <v>1643</v>
      </c>
    </row>
    <row r="556" spans="11:11" ht="14.25" x14ac:dyDescent="0.2">
      <c r="K556" s="1" t="s">
        <v>1819</v>
      </c>
    </row>
    <row r="557" spans="11:11" ht="14.25" x14ac:dyDescent="0.2">
      <c r="K557" s="1" t="s">
        <v>1914</v>
      </c>
    </row>
    <row r="558" spans="11:11" ht="14.25" x14ac:dyDescent="0.2">
      <c r="K558" s="1" t="s">
        <v>1652</v>
      </c>
    </row>
    <row r="559" spans="11:11" ht="14.25" x14ac:dyDescent="0.2">
      <c r="K559" s="1" t="s">
        <v>1672</v>
      </c>
    </row>
    <row r="560" spans="11:11" ht="14.25" x14ac:dyDescent="0.2">
      <c r="K560" s="1" t="s">
        <v>1852</v>
      </c>
    </row>
    <row r="561" spans="11:11" ht="14.25" x14ac:dyDescent="0.2">
      <c r="K561" s="1" t="s">
        <v>1475</v>
      </c>
    </row>
    <row r="562" spans="11:11" ht="14.25" x14ac:dyDescent="0.2">
      <c r="K562" s="1" t="s">
        <v>1729</v>
      </c>
    </row>
    <row r="563" spans="11:11" ht="14.25" x14ac:dyDescent="0.2">
      <c r="K563" s="1" t="s">
        <v>1491</v>
      </c>
    </row>
    <row r="564" spans="11:11" ht="14.25" x14ac:dyDescent="0.2">
      <c r="K564" s="1" t="s">
        <v>1861</v>
      </c>
    </row>
    <row r="565" spans="11:11" ht="14.25" x14ac:dyDescent="0.2">
      <c r="K565" s="1" t="s">
        <v>1516</v>
      </c>
    </row>
    <row r="566" spans="11:11" ht="14.25" x14ac:dyDescent="0.2">
      <c r="K566" s="1" t="s">
        <v>1555</v>
      </c>
    </row>
    <row r="567" spans="11:11" ht="14.25" x14ac:dyDescent="0.2">
      <c r="K567" s="1" t="s">
        <v>1785</v>
      </c>
    </row>
    <row r="568" spans="11:11" ht="14.25" x14ac:dyDescent="0.2">
      <c r="K568" s="1" t="s">
        <v>1489</v>
      </c>
    </row>
    <row r="569" spans="11:11" ht="14.25" x14ac:dyDescent="0.2">
      <c r="K569" s="1" t="s">
        <v>1825</v>
      </c>
    </row>
    <row r="570" spans="11:11" ht="14.25" x14ac:dyDescent="0.2">
      <c r="K570" s="1" t="s">
        <v>1541</v>
      </c>
    </row>
    <row r="571" spans="11:11" ht="14.25" x14ac:dyDescent="0.2">
      <c r="K571" s="1" t="s">
        <v>1501</v>
      </c>
    </row>
    <row r="572" spans="11:11" ht="14.25" x14ac:dyDescent="0.2">
      <c r="K572" s="1" t="s">
        <v>1919</v>
      </c>
    </row>
    <row r="573" spans="11:11" ht="14.25" x14ac:dyDescent="0.2">
      <c r="K573" s="1" t="s">
        <v>1690</v>
      </c>
    </row>
    <row r="574" spans="11:11" ht="14.25" x14ac:dyDescent="0.2">
      <c r="K574" s="1" t="s">
        <v>1604</v>
      </c>
    </row>
    <row r="575" spans="11:11" ht="14.25" x14ac:dyDescent="0.2">
      <c r="K575" s="1" t="s">
        <v>1783</v>
      </c>
    </row>
    <row r="576" spans="11:11" ht="14.25" x14ac:dyDescent="0.2">
      <c r="K576" s="1" t="s">
        <v>1932</v>
      </c>
    </row>
    <row r="577" spans="11:11" ht="14.25" x14ac:dyDescent="0.2">
      <c r="K577" s="1" t="s">
        <v>1936</v>
      </c>
    </row>
    <row r="578" spans="11:11" ht="14.25" x14ac:dyDescent="0.2">
      <c r="K578" s="1" t="s">
        <v>1719</v>
      </c>
    </row>
    <row r="579" spans="11:11" ht="14.25" x14ac:dyDescent="0.2">
      <c r="K579" s="1" t="s">
        <v>1609</v>
      </c>
    </row>
    <row r="580" spans="11:11" ht="14.25" x14ac:dyDescent="0.2">
      <c r="K580" s="1" t="s">
        <v>1879</v>
      </c>
    </row>
    <row r="581" spans="11:11" ht="14.25" x14ac:dyDescent="0.2">
      <c r="K581" s="1" t="s">
        <v>1551</v>
      </c>
    </row>
    <row r="582" spans="11:11" ht="14.25" x14ac:dyDescent="0.2">
      <c r="K582" s="1" t="s">
        <v>1519</v>
      </c>
    </row>
    <row r="583" spans="11:11" ht="14.25" x14ac:dyDescent="0.2">
      <c r="K583" s="1" t="s">
        <v>1789</v>
      </c>
    </row>
    <row r="584" spans="11:11" ht="14.25" x14ac:dyDescent="0.2">
      <c r="K584" s="1" t="s">
        <v>1687</v>
      </c>
    </row>
    <row r="585" spans="11:11" ht="14.25" x14ac:dyDescent="0.2">
      <c r="K585" s="1" t="s">
        <v>1896</v>
      </c>
    </row>
    <row r="586" spans="11:11" ht="14.25" x14ac:dyDescent="0.2">
      <c r="K586" s="1" t="s">
        <v>1774</v>
      </c>
    </row>
    <row r="587" spans="11:11" ht="14.25" x14ac:dyDescent="0.2">
      <c r="K587" s="1" t="s">
        <v>1706</v>
      </c>
    </row>
    <row r="588" spans="11:11" ht="14.25" x14ac:dyDescent="0.2">
      <c r="K588" s="1" t="s">
        <v>1885</v>
      </c>
    </row>
    <row r="589" spans="11:11" ht="14.25" x14ac:dyDescent="0.2">
      <c r="K589" s="1" t="s">
        <v>3723</v>
      </c>
    </row>
    <row r="590" spans="11:11" ht="14.25" x14ac:dyDescent="0.2">
      <c r="K590" s="1" t="s">
        <v>1658</v>
      </c>
    </row>
    <row r="591" spans="11:11" ht="14.25" x14ac:dyDescent="0.2">
      <c r="K591" s="1" t="s">
        <v>3724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统计</vt:lpstr>
      <vt:lpstr>错误mRNA总表</vt:lpstr>
      <vt:lpstr>INDEL位置信息</vt:lpstr>
      <vt:lpstr>用于纠正的INDEL</vt:lpstr>
      <vt:lpstr>最后核对情况</vt:lpstr>
      <vt:lpstr>区间变化核对</vt:lpstr>
      <vt:lpstr>染色体对应</vt:lpstr>
      <vt:lpstr>Sheet3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2016-12-06T08:26:53Z</dcterms:modified>
</cp:coreProperties>
</file>